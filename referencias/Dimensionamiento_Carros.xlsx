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base" sheetId="1" r:id="rId4"/>
    <sheet state="visible" name="parametros_carros" sheetId="2" r:id="rId5"/>
    <sheet state="visible" name="Plan mensual" sheetId="3" r:id="rId6"/>
    <sheet state="visible" name="Demanda por puesto" sheetId="4" r:id="rId7"/>
    <sheet state="visible" name="Resumen Capacidad" sheetId="5" r:id="rId8"/>
    <sheet state="visible" name="Proceso (Word)" sheetId="6" r:id="rId9"/>
  </sheets>
  <definedNames>
    <definedName name="Umbral_aprov">parametros_carros!$B$8</definedName>
  </definedNames>
  <calcPr/>
  <extLst>
    <ext uri="GoogleSheetsCustomDataVersion2">
      <go:sheetsCustomData xmlns:go="http://customooxmlschemas.google.com/" r:id="rId10" roundtripDataChecksum="CCeMmG7nEcfL4iC9GXWKmOYQ37CCIjTYsZdL17ZQw9w="/>
    </ext>
  </extLst>
</workbook>
</file>

<file path=xl/sharedStrings.xml><?xml version="1.0" encoding="utf-8"?>
<sst xmlns="http://schemas.openxmlformats.org/spreadsheetml/2006/main" count="995" uniqueCount="462">
  <si>
    <t>Carros terminados</t>
  </si>
  <si>
    <t>Carro ABC 25 kg</t>
  </si>
  <si>
    <t>Parámetro</t>
  </si>
  <si>
    <t>Producto</t>
  </si>
  <si>
    <t>Valor</t>
  </si>
  <si>
    <t>Tipo</t>
  </si>
  <si>
    <t>Nota</t>
  </si>
  <si>
    <t>Carro ABC 50 kg</t>
  </si>
  <si>
    <t>Ene</t>
  </si>
  <si>
    <t>Feb</t>
  </si>
  <si>
    <t>Días hábiles por mes</t>
  </si>
  <si>
    <t>Mar</t>
  </si>
  <si>
    <t>Carro ABC 70 kg</t>
  </si>
  <si>
    <t>Abr</t>
  </si>
  <si>
    <t>May</t>
  </si>
  <si>
    <t>Jun</t>
  </si>
  <si>
    <t>Jul</t>
  </si>
  <si>
    <t>Carro ABC 100 kg</t>
  </si>
  <si>
    <t>Ago</t>
  </si>
  <si>
    <t>Sep</t>
  </si>
  <si>
    <t>Oct</t>
  </si>
  <si>
    <t>Nov</t>
  </si>
  <si>
    <t>Dic</t>
  </si>
  <si>
    <t>Total anual</t>
  </si>
  <si>
    <t>Total terminados</t>
  </si>
  <si>
    <t>Año 2026 — carga (h/mes)</t>
  </si>
  <si>
    <t>Mismo valor que Manuales y que el Word (20 días por mes)</t>
  </si>
  <si>
    <t>Horas por día (1 turno)</t>
  </si>
  <si>
    <t>Terminado</t>
  </si>
  <si>
    <t>Jornada de 8 h</t>
  </si>
  <si>
    <t>Refrigerio y pausas (min/turno)</t>
  </si>
  <si>
    <t>Ajustado para que el turno productivo dé 410 min, como en el Word (ritmo pico = 410 min / 20 carros = 20,5 min por carro)</t>
  </si>
  <si>
    <t>Total anual (h)</t>
  </si>
  <si>
    <t>Mes pico (h/mes)</t>
  </si>
  <si>
    <t>Ocupación pico (1 puesto, 1 turno, con fijos)</t>
  </si>
  <si>
    <t>Horas productivas por turno</t>
  </si>
  <si>
    <t>Mes pico</t>
  </si>
  <si>
    <t>Horas/día − refrigerio y pausas (= 410 min)</t>
  </si>
  <si>
    <t>Cilindros vendidos vacíos</t>
  </si>
  <si>
    <t>Turnos por día</t>
  </si>
  <si>
    <t>Un solo turno (editable; los turnos por puesto se cargan en Resumen Capacidad)</t>
  </si>
  <si>
    <t>Horas productivas por mes</t>
  </si>
  <si>
    <t>Cilindros ABC 25 kg</t>
  </si>
  <si>
    <t>Cilindros ABC 50 kg</t>
  </si>
  <si>
    <t>Cilindros ABC 70 kg</t>
  </si>
  <si>
    <t>Cilindros ABC 100 kg</t>
  </si>
  <si>
    <t>Días × horas productivas × turnos</t>
  </si>
  <si>
    <t>Total cilindros</t>
  </si>
  <si>
    <t>Umbral de aprovechamiento (solo para resaltar)</t>
  </si>
  <si>
    <t>El Word toma 80 % del turno como límite para una persona. Las celdas que lo superan se pintan de rojo</t>
  </si>
  <si>
    <t>ESTACIONALIDAD (% de la demanda anual por mes)</t>
  </si>
  <si>
    <t>Modelo</t>
  </si>
  <si>
    <t>Total recipientes a fabricar</t>
  </si>
  <si>
    <t>Total</t>
  </si>
  <si>
    <t>25 kg</t>
  </si>
  <si>
    <t>Total por modelo (terminados + cilindros)</t>
  </si>
  <si>
    <t>Recipientes de 25 kg</t>
  </si>
  <si>
    <t>Perfil 'Industrial s/ruedas (25 – 100 kg)' (FLAMA, DATOS-BASE fila 104), igual para los 4 modelos</t>
  </si>
  <si>
    <t>50 kg</t>
  </si>
  <si>
    <t>70 kg</t>
  </si>
  <si>
    <t>100 kg</t>
  </si>
  <si>
    <t>Recipientes de 50 kg</t>
  </si>
  <si>
    <t>CAPACIDAD POR PUESTO (tiempos en minutos por recipiente, del Word)</t>
  </si>
  <si>
    <t>N°</t>
  </si>
  <si>
    <t>Puesto</t>
  </si>
  <si>
    <t>Máquina / equipo principal</t>
  </si>
  <si>
    <t>t 25 kg (min/u)</t>
  </si>
  <si>
    <t>t 50 kg (min/u)</t>
  </si>
  <si>
    <t>t 70 kg (min/u)</t>
  </si>
  <si>
    <t>t 100 kg (min/u)</t>
  </si>
  <si>
    <t>Alcance</t>
  </si>
  <si>
    <t>Tiempo ponderado (min/u)</t>
  </si>
  <si>
    <t>Disponibilidad</t>
  </si>
  <si>
    <t>Cap. real (u/h)</t>
  </si>
  <si>
    <t>Cap. real (u/mes)</t>
  </si>
  <si>
    <t>Control: min/día con el pico del Word</t>
  </si>
  <si>
    <t>Word: min/día pico</t>
  </si>
  <si>
    <t>SUPOSICIONES</t>
  </si>
  <si>
    <t>1</t>
  </si>
  <si>
    <t>Recepción de materia prima</t>
  </si>
  <si>
    <t>Recipientes de 70 kg</t>
  </si>
  <si>
    <t>Autoelevador Heli CPCD50 K2 (compartido con manuales) + balanza de plataforma + medidor de espesores Melisam MR017</t>
  </si>
  <si>
    <t>Recipientes de 100 kg</t>
  </si>
  <si>
    <t>Todos</t>
  </si>
  <si>
    <t>Fuente: Dimensionamiento-Tecnico-FLAMA.xlsx, hoja DATOS-BASE: terminados filas 7 a 10 ('ABC 25/50/70/100 kg s/ruedas') y cilindros filas 19 a 22. Las recargas de carros (fila 38) no pasan por la línea de fabricación y no se incluyen.</t>
  </si>
  <si>
    <t>Datos de cada modelo (Word, Tabla 0)</t>
  </si>
  <si>
    <t>Ø (mm)</t>
  </si>
  <si>
    <t>Chapa (mm)</t>
  </si>
  <si>
    <t>Altura cuerpo (mm)</t>
  </si>
  <si>
    <t>Cuerpo vacío (kg)</t>
  </si>
  <si>
    <t>Lleno de agua (kg)</t>
  </si>
  <si>
    <t>Volumen interior (l)</t>
  </si>
  <si>
    <t>Carro vacío c/ruedas (kg)</t>
  </si>
  <si>
    <t>Carro terminado (kg)</t>
  </si>
  <si>
    <t>Manga mínima (m)</t>
  </si>
  <si>
    <t>Casquete</t>
  </si>
  <si>
    <t>Carro 25 kg</t>
  </si>
  <si>
    <t>10" (MP-15)</t>
  </si>
  <si>
    <t>Carro 50 kg</t>
  </si>
  <si>
    <t>12" (MP-16)</t>
  </si>
  <si>
    <t>Carro 70 kg</t>
  </si>
  <si>
    <t>15" (MP-17)</t>
  </si>
  <si>
    <t>Carro 100 kg</t>
  </si>
  <si>
    <t>Chapa LAC 1500 × 3000 mm: 3,2 mm (25 y 50 kg) y 4,75 mm (70 y 100 kg). Cupla M30 × 1,5 (25 y 50 kg) y 2½" BSP (70 y 100 kg). Prueba hidráulica a 4 MPa; presión de servicio 14 bar (N₂).</t>
  </si>
  <si>
    <t>Tabla 4 del Word (min/mes en el pico de 400 carros): chapa 93 + casquetes 330 + polvo 110 + caño y barra 90 + otros insumos 90, repartidos por carro. La tabla suma 1.146 min/mes aunque el Word indica 1.199. Lo hace el operario de almacén</t>
  </si>
  <si>
    <t>2</t>
  </si>
  <si>
    <t>Corte de chapa (guillotina)</t>
  </si>
  <si>
    <t>Guillotina hidráulica CENA 8 × 3200, NC E21 (compartida con manuales) + mesa elevadora de tijera 3 t + ventosas</t>
  </si>
  <si>
    <t>Cilindro</t>
  </si>
  <si>
    <t>Hoja 25 kg: 10,6 min / 9 cuerpos + tiras de patas 3,5 min / 9. Hoja 50 kg: 8,8 min / 6 + tiras de 40 mm 5,5 min / 6. Hoja mixta 70+100: 14,5 min / 4 + tiras de placas (5 min cada 23 placas, 2 por cuerpo) + tiras de triángulos (12,1 min en 2 de cada 3 hojas mixtas). Todos: pata 0,2 min + piezas de accesorios a largo 0,8 min (4 cortes de 0,2). Las hojas de 4,75 mm las cortan dos personas</t>
  </si>
  <si>
    <t>2.1</t>
  </si>
  <si>
    <t>Marcado del cuerpo</t>
  </si>
  <si>
    <t>Marcadora por micropercusión DTMAQ MPE 150130 + mesa con topes + punzón DPS</t>
  </si>
  <si>
    <t>Tabla de secuencia del puesto 2.1: 1,5 min por cuerpo de 25 y 50 kg y 1,8 min en 70 y 100 kg (entre dos). Lo hace el operario de corte</t>
  </si>
  <si>
    <t>3</t>
  </si>
  <si>
    <t>Cilindrado</t>
  </si>
  <si>
    <t>Roladora hidráulica CNC de 4 rodillos W12 8 × 1500 (Anhui Runbang), exclusiva de carros</t>
  </si>
  <si>
    <t>Aprovechamiento por puesto (mes pico)</t>
  </si>
  <si>
    <t>Referencias</t>
  </si>
  <si>
    <t>Total recipientes</t>
  </si>
  <si>
    <t>Ciclo por pieza: 2,6 / 2,8 / 4,5 / 5,0 min. En 70 y 100 kg se suma la tanda de tiras de refuerzo (12 min cada 23 placas = 11,5 cuerpos). No se comparte con manuales (rodillos grandes)</t>
  </si>
  <si>
    <t>4</t>
  </si>
  <si>
    <t>Punteo del cuerpo</t>
  </si>
  <si>
    <t>Virador de soldadura Serecon ZJ R-410 sobre base fija + MIG/MAG Pampa 300</t>
  </si>
  <si>
    <t>3,0 / 3,3 min; 70 y 100 kg con los dos refuerzos 7,8 / 8,0 min + corte de placas (35 min por tanda de 23 placas = 11,5 cuerpos) + 1 min de ayuda para sacar el cuerpo de la roladora</t>
  </si>
  <si>
    <t>5</t>
  </si>
  <si>
    <t>Soldadura longitudinal</t>
  </si>
  <si>
    <t>Soldadora longitudinal automática ZH-1300 (Dragon Welding) + fuente MIG-350IX + chiller SDL-1000</t>
  </si>
  <si>
    <t>Agrega máquina</t>
  </si>
  <si>
    <t>Arco (490-900 mm a 500 mm/min en 3,2 mm y 350 mm/min en 4,75 mm) + 2 min de carga, mordazas, retiro e inspección. El mismo operario hace el punteo</t>
  </si>
  <si>
    <t>6</t>
  </si>
  <si>
    <t>Soldadura de cupla en la cúpula</t>
  </si>
  <si>
    <t>Posicionador VEVOR 30 kg sobre mesa Müller + soporte de torcha + MIG/MAG Pampa 300</t>
  </si>
  <si>
    <t>3,2 min por cúpula con cupla M30 (25 y 50 kg) y 4,0 min con cupla 2½" (70 y 100 kg). El Word lo asigna al operario de punteo y soldadura longitudinal</t>
  </si>
  <si>
    <t>7</t>
  </si>
  <si>
    <t>Armado y soldadura circunferencial</t>
  </si>
  <si>
    <t>Virador de 1.000 kg (USA Tools) con soporte fijo de torcha X-Y-Z + MIG/MAG Pampa 300</t>
  </si>
  <si>
    <t>Agrega turno</t>
  </si>
  <si>
    <t>Encastre, punteo, soldadura automática (cilindro girando, torcha fija) e inspección de fondo y cúpula: 14,6 / 15,2 / 19,4 min. Puesto más cargado de la línea: operario propio</t>
  </si>
  <si>
    <t>8</t>
  </si>
  <si>
    <t>Soldadura de accesorios</t>
  </si>
  <si>
    <t>Virador de 1.000 kg + MIG/MAG Pampa 300 (soldadura manual)</t>
  </si>
  <si>
    <t>Marcar posiciones, puntear y soldar manija, flejes, pata, triángulos y caño del eje: 15,7 / 15,9 / 17,6 min por carro. Operario propio</t>
  </si>
  <si>
    <t>8.1</t>
  </si>
  <si>
    <t>Fabricación de accesorios</t>
  </si>
  <si>
    <t>Sensitiva Bosch GCO 220 + prensa hidráulica 20 t + dobladora de caños 12 t + taladro de banco</t>
  </si>
  <si>
    <t>11,0 min por juego (manija, caño del eje, eje, 2 triángulos, 2 flejes y pata). El Word lo asigna al operario de cilindrado</t>
  </si>
  <si>
    <t>9</t>
  </si>
  <si>
    <t>Prueba hidráulica</t>
  </si>
  <si>
    <t>Agrega operario (puesto manual)</t>
  </si>
  <si>
    <t>Máquina de prueba Yukon M-000200 + 2 bandejas de prueba + tanque y bomba</t>
  </si>
  <si>
    <t>Estanquidad al 100 %: 7,9 min (25 kg) y 8,7 min (resto, con la ayuda para dar vuelta el cilindro y el juego provisorio) + expansión 4 min en la muestra (≈12 % del lote semanal)</t>
  </si>
  <si>
    <t>10</t>
  </si>
  <si>
    <t>Secado</t>
  </si>
  <si>
    <t>Secadora eléctrica Melisam MR011 (1 boca)</t>
  </si>
  <si>
    <t>Tercerizado</t>
  </si>
  <si>
    <t>Tiempo de máquina por modelo. El operario (el de prueba hidráulica) solo ocupa 2 min por carro: el secado corre solo</t>
  </si>
  <si>
    <t>11</t>
  </si>
  <si>
    <t>Pulmón de despacho y carga a pintura</t>
  </si>
  <si>
    <t>Autoelevador Heli CPCD50 + tarimas de carga con topes (2 operarios)</t>
  </si>
  <si>
    <t>Por cada uno de los 2 operarios (almacén y montaje): 5,8 min por tarima de 4 carros chicos y 4,4 min por tarima de 2 grandes</t>
  </si>
  <si>
    <t>12</t>
  </si>
  <si>
    <t>Recepción de pintados y cambio de juego</t>
  </si>
  <si>
    <t>Criques carrito 2 t + zorra de retorno (2 operarios). Pintura en polvo tercerizada</t>
  </si>
  <si>
    <t>Por operario: descarga igual que la carga (1,45 / 2,2 min) + la mitad del cambio de juego provisorio (3,0 / 3,3 min por carro). La pintura es tercerizada (3 días hábiles ida y vuelta; USD 13,5 / 20,3 / 27,5 / 32 por carro)</t>
  </si>
  <si>
    <t>13 B</t>
  </si>
  <si>
    <t>Carga de polvo y presurización</t>
  </si>
  <si>
    <t>Cargadora de polvo por vacío Yukon M-000121 + balanza 300 kg + batería de N₂ + llave dinamométrica</t>
  </si>
  <si>
    <t>Terminados</t>
  </si>
  <si>
    <t>Estación B: balanza, carga de polvo (≈5 s por kg), válvula, presurización a 14 bar y detector de fugas. Operario de carga</t>
  </si>
  <si>
    <t>13 A-C / 15</t>
  </si>
  <si>
    <t>Montaje, manga, precinto y etiquetado</t>
  </si>
  <si>
    <t>Puesto manual (estaciones A y C) + mesa de etiquetado</t>
  </si>
  <si>
    <t>Estaciones A y C: 3,6 / 3,6 / 4,3 / 5,3 min + placa de características y traslado al depósito (puesto 15) 2,5 min. Operario de montaje</t>
  </si>
  <si>
    <t>14-17</t>
  </si>
  <si>
    <t>Calidad: pérdidas, inspección final, liberación y ensayos de lote</t>
  </si>
  <si>
    <t>Sala de pérdidas 5 × 5 m (21 °C) + recinto de descarga + Yukon M-000200 + balanza</t>
  </si>
  <si>
    <t>Técnico de calidad, por carro: recepción de pintados 1 min + espesor 0,24; pérdidas 3 min × 25 % de muestra; inspección final 1,5; liberación 0,3; medidas 4 min × 25 %</t>
  </si>
  <si>
    <t>16</t>
  </si>
  <si>
    <t>Depósito de producto terminado y despacho</t>
  </si>
  <si>
    <t>Autoelevador + tarima de carga (2 operarios)</t>
  </si>
  <si>
    <t>Por cada uno de los 2 operarios: 1,2 min por carro chico y 2,0 min por carro grande</t>
  </si>
  <si>
    <t>Alcance: "Todos" = carros terminados + cilindros vendidos vacíos; "Terminados" = solo los que se cargan como matafuego (puestos 13 a 17, salvo el despacho).</t>
  </si>
  <si>
    <t>Tiempo ponderado = promedio de los 4 tiempos con la mezcla de modelos de 2035 (datos_base). Cap. real (u/h) = 60 / tiempo ponderado × disponibilidad. Cap. real (u/mes) = cap. real × horas productivas del mes.</t>
  </si>
  <si>
    <t>Control: carga en min/día con la mezcla del pico del Word (5 de 25 kg, 11 de 50 kg, 3 de 70 kg y 1 de 100 kg = 20 carros/día, más los tiempos fijos). Tiene que dar parecido a la columna del Word.</t>
  </si>
  <si>
    <t>Ocupación (Demanda por puesto y Resumen Capacidad) = (carga del mes pico + pérdida por cambios y tiempos fijos) / horas productivas del mes: es comparable con el '% del turno' del Word. En Resumen se divide por máquinas × turnos.</t>
  </si>
  <si>
    <t>Los puestos 11, 12 y 16 los hacen 2 operarios a la vez (almacén y montaje): el tiempo es el de cada uno. La guillotina y el autoelevador se comparten con la línea de manuales: su carga real es la suma de las dos planillas.</t>
  </si>
  <si>
    <t>DISPONIBILIDAD (cambios de modelo y tiempos fijos por día)</t>
  </si>
  <si>
    <t>Cambio (min/cambio)</t>
  </si>
  <si>
    <t>N° cambios/día</t>
  </si>
  <si>
    <t>Otros tiempos fijos (min/día)</t>
  </si>
  <si>
    <t>Pérdida total (min/día)</t>
  </si>
  <si>
    <t>Pérdida (h/mes)</t>
  </si>
  <si>
    <t>Carga diaria de los 2 carros de abastecimiento (20 min/día) + cuplas 33 min/mes</t>
  </si>
  <si>
    <t>6 cambios de tope por día (2 de patas + 4 de piezas) × 0,5 min; preparación 5 min + traer y devolver 2 paquetes 20 min</t>
  </si>
  <si>
    <t>3 cambios de modelo por día (mover el tope lateral) + 4 min de preparación (prueba de profundidad)</t>
  </si>
  <si>
    <t>3 cambios de programa por día × 4 min (programa, ajuste y primera pieza); traer y devolver carros 3 × 2 min</t>
  </si>
  <si>
    <t>Preparación: gas, soldadora y extracción</t>
  </si>
  <si>
    <t>3 cambios de programa por día × 1 min; preparación 5 min</t>
  </si>
  <si>
    <t>2 cambios de medida por día × 2 min (topes del adaptador y velocidad); preparación 5 min</t>
  </si>
  <si>
    <t>2 cambios de medida por día × 2 min; preparación 5 min</t>
  </si>
  <si>
    <t>2 cambios de modelo por día × 2 min; preparación 5 min</t>
  </si>
  <si>
    <t>3 cambios de modelo por día × 2 min; traslados 6 min + preparación 3 min</t>
  </si>
  <si>
    <t>Preparación: arranque, manómetro patrón, filtros y orden</t>
  </si>
  <si>
    <t>Sin cambios: el tiempo se programa por modelo</t>
  </si>
  <si>
    <t>10 min por viaje, 2 viajes por semana en el pico</t>
  </si>
  <si>
    <t>Recargas de la muestra 32 min/día + arranque, cierre y cambio de big bag 16 min/día</t>
  </si>
  <si>
    <t>Recargas, orden y preparación</t>
  </si>
  <si>
    <t>Fijo por día: actas, sala, registro, certificados y ensayos de lote (manga, rodadura y funcionamiento ≈13,5 carros por semana, 718 min/semana). Dependen de la cantidad de lotes, no del volumen</t>
  </si>
  <si>
    <t>10 min por viaje, 5 viajes por semana</t>
  </si>
  <si>
    <t>Celdas verdes = datos editables (tiempos, alcance, cambios y tiempos fijos). Disponibilidad = 1 − pérdida del mes / horas productivas del mes.</t>
  </si>
  <si>
    <t>Aprovechamiento máximo</t>
  </si>
  <si>
    <t>Máquinas/operarios en el puesto</t>
  </si>
  <si>
    <t>Producción de carros — proceso por puesto (resumen del Word 'PROCESO CARRO EN LIMPIO')</t>
  </si>
  <si>
    <t>Matafuegos de polvo ABC sobre ruedas de 25, 50, 70 y 100 kg: cuerpo de chapa LAC rolada y soldada, fondo y cúpula estampados y cupla roscada en la cúpula. Escenario del Word: pico de 20 carros por día (5 de 25 kg, 11 de 50 kg, 3 de 70 kg y 1 de 100 kg), promedio = 70 % del pico (14 por día), turno de 410 min.</t>
  </si>
  <si>
    <t>Qué se hace</t>
  </si>
  <si>
    <t>Entrada</t>
  </si>
  <si>
    <t>Salida</t>
  </si>
  <si>
    <t>Equipos y herramientas principales</t>
  </si>
  <si>
    <t>Quién lo hace</t>
  </si>
  <si>
    <t>Carga pico (Word)</t>
  </si>
  <si>
    <t>Carga promedio (Word)</t>
  </si>
  <si>
    <t>Superficie</t>
  </si>
  <si>
    <t>Controles / norma</t>
  </si>
  <si>
    <t>Descarga, cuarentena y control de la MP. Chapa: certificado de colada y espesor con ultrasonido en 3 puntos. Casquetes, cuplas y polvo por muestreo IRAM 15 (nivel II, AQL 6,5 % / 4 %). Etiqueta de color por mes de ingreso (verde, amarillo, azul, rojo). Carga diaria de 2 carros de abastecimiento a los puestos 6 y 7.</t>
  </si>
  <si>
    <t>Camión playo: chapa LAC en paquetes (20 hojas de 3,2 mm ≈2.260 kg; 15 de 4,75 mm ≈2.520 kg), casquetes en pallets (400 / 300 / 150 u), cuplas en cajas, polvo en big bags de 1.000 kg, caño y barra trefilada.</t>
  </si>
  <si>
    <t>MP aprobada en el almacén (calle de chapa, racks de casquetes e insumos, depósito de polvo). Rechazados a zona de retenidos.</t>
  </si>
  <si>
    <t>Autoelevador Heli CPCD50 K2 5 t; medidor de espesores Melisam MR017; cinta Pi Tape; calibre y micrómetro Insize; balanza de plataforma 1.500 kg; gancho big bag; calador; 2 carros Storage Compat FCEP10520.</t>
  </si>
  <si>
    <t>Operario de almacén (compartido con manuales) + señalero para la chapa</t>
  </si>
  <si>
    <t>60 min/día (14,6 %)</t>
  </si>
  <si>
    <t>43 min/día (10,5 %)</t>
  </si>
  <si>
    <t>≈191 m² (sin playón ni depósito de polvo)</t>
  </si>
  <si>
    <t>IRAM 3550 3.2.1 y 4.1.3.2 (espesor mínimo 2,9 / 4,5 mm), 6.1.4; IRAM 3569 para el polvo; muestreo IRAM 15 / IRAM 18.</t>
  </si>
  <si>
    <t>Corte de chapas</t>
  </si>
  <si>
    <t>Corte en dos fases en la guillotina: 1.ª columnas con el paquete en la mesa elevadora; 2.ª cuerpos. Hoja 25 kg: 9 cuerpos de 858 × 490; hoja 50 kg: 6 de 994 × 640; hoja mixta: 3 de 70 kg + 1 de 100 kg (1212 mm). De las orillas salen tiras para placas de refuerzo, terceras patas, flejes y triángulos.</t>
  </si>
  <si>
    <t>Paquetes de chapa traídos por el autoelevador a la mesa elevadora de tijera de 3 t.</t>
  </si>
  <si>
    <t>Cuerpos a la mesa de marcado (2.1); piezas de accesorios en cajas al 8.1; scrap (≈28 kg/día pico) al contenedor de 1.000 l.</t>
  </si>
  <si>
    <t>Guillotina CENA 8 × 3200 NC E21 (USD 36.800 + IVA, compartida con manuales); mesa elevadora SJG3.0-1.6; ventosas Hamilton VH3; carros de traslado; EFE 600; mesa FMT ME500.</t>
  </si>
  <si>
    <t>Operario de corte (compartido con manuales); hoja de 4,75 mm entre dos (ayuda el de cilindrado)</t>
  </si>
  <si>
    <t>107 min/día (26,1 %)</t>
  </si>
  <si>
    <t>77 min/día (18,8 %)</t>
  </si>
  <si>
    <t>≈44 m²</t>
  </si>
  <si>
    <t>Control interno: primera pieza ± 0,5 mm y escuadra. Aprovechamiento 84 % (3,2 mm) y 79 % (mixta).</t>
  </si>
  <si>
    <t>Grabado por micropercusión sobre la chapa plana: FLAMA + año, n.° de serie, PE 4 MPa y cuño DPS; marca de colada y planilla de trazabilidad.</t>
  </si>
  <si>
    <t>Cuerpos recién cortados desde la rampa trasera de la guillotina.</t>
  </si>
  <si>
    <t>Cuerpos grabados: 25 y 50 kg parados en el EFE 600; 70 y 100 kg acostados en la mesa móvil, con el grabado hacia abajo.</t>
  </si>
  <si>
    <t>Marcadora DTMAQ MPE 150130; mesa de marcado con topes; punzón DPS 15 × 7 mm; calibre con varilla de profundidad.</t>
  </si>
  <si>
    <t>Operario de corte</t>
  </si>
  <si>
    <t>37 min/día (9,0 %)</t>
  </si>
  <si>
    <t>27 min/día (6,7 %)</t>
  </si>
  <si>
    <t>≈9 m²</t>
  </si>
  <si>
    <t>IRAM 3550 5.1 y Res. 349/07 (cuño DPS). Profundidad ≤ 0,2 mm (espesor mínimo 4.1.3.2).</t>
  </si>
  <si>
    <t>Rolado de cada cuerpo en una pasada con precurvado de ambos extremos; un programa por diámetro (276,5 / 320 / 390 mm y 380 mm para las tiras de refuerzo), por tandas.</t>
  </si>
  <si>
    <t>Cuerpos grabados en el EFE 600 y la mesa móvil; tiras de refuerzo cada 2,9 días.</t>
  </si>
  <si>
    <t>Virolas (cilindro abierto) al pulmón de 1,8 × 1,2 m; 70 y 100 kg en la cuna volcadora.</t>
  </si>
  <si>
    <t>Roladora CNC 4 rodillos W12 8 × 1500 (Anhui Runbang), exclusiva de carros; cintas Pi Tape; cuna volcadora Indumov.</t>
  </si>
  <si>
    <t>Operario de cilindrado (también ayuda en el corte y el punteo y hace el 8.1)</t>
  </si>
  <si>
    <t>Roladora 84 min/día (20,6 %); operario 109 min (26,6 %)</t>
  </si>
  <si>
    <t>Roladora 65 min (15,8 %); operario 81 min (19,8 %)</t>
  </si>
  <si>
    <t>≈35 m²</t>
  </si>
  <si>
    <t>Control interno: Ø ± 1 mm; escalón de junta ≤ ¼ del espesor.</t>
  </si>
  <si>
    <t>Cierre de la junta longitudinal con 5 a 7 puntos MIG; en 70 y 100 kg se puntean 2 placas de refuerzo por dentro. Corte de placas de las tiras roladas con amoladora.</t>
  </si>
  <si>
    <t>Virolas del cilindrado (70 y 100 kg en la cuna, entre dos).</t>
  </si>
  <si>
    <t>Cuerpo punteado al pulmón de 1,6 × 1,2 m o en la cuna.</t>
  </si>
  <si>
    <t>Virador Serecon ZJ R-410 (2.613,60 €) sobre base fija; MIG/MAG Pampa 300 trifásica ($1.830.535); pinzas de presión; amoladora 115 mm; extracción de humos.</t>
  </si>
  <si>
    <t>Operario de punteo y soldadura longitudinal</t>
  </si>
  <si>
    <t>104 min/día (25,4 %)</t>
  </si>
  <si>
    <t>74 min/día (18,0 %)</t>
  </si>
  <si>
    <t>≈27 m²</t>
  </si>
  <si>
    <t>Control interno: junta alineada, puntos sin poros, Ø ± 1 mm, placas a 100 mm del borde.</t>
  </si>
  <si>
    <t>Costura longitudinal automática de punta a punta en una pasada (mandril con barra de cobre y mordazas tipo piano). Inspección del 100 % por dentro y por fuera.</t>
  </si>
  <si>
    <t>Cuerpos punteados (el mismo operario adelanta el punteo mientras suelda la máquina).</t>
  </si>
  <si>
    <t>Tubo cerrado al pulmón del armado; rechazados a zona de no conforme.</t>
  </si>
  <si>
    <t>Soldadora longitudinal ZH-1300 Dragon Welding (USD 6.200) + fuente MIG-350IX (USD 2.100) + chiller SDL-1000 (USD 790); lámpara LED.</t>
  </si>
  <si>
    <t>76 min/día (18,5 %)</t>
  </si>
  <si>
    <t>55 min/día (13,5 %)</t>
  </si>
  <si>
    <t>≈22 m²</t>
  </si>
  <si>
    <t>IRAM 3550 3.2.2.1 (una sola costura longitudinal), 3.2.2.2 (proceso automático), 6.1.2 (aspecto de costuras).</t>
  </si>
  <si>
    <t>Punteo de la cupla en 3 puntos y cordón de filete en una vuelta con la cúpula girando en un posicionador y la torcha fija. Calibre pasa/no pasa de la rosca.</t>
  </si>
  <si>
    <t>Cúpulas y cuplas del carro 1 de abastecimiento.</t>
  </si>
  <si>
    <t>Cúpulas soldadas al carro canasto (pulmón hacia el puesto 7).</t>
  </si>
  <si>
    <t>Posicionador VEVOR 30 kg (USD 564); mesa Müller Weld Block 2.0; MIG/MAG Pampa 300; tapones centradores; calibres tampón; spray antiproyecciones.</t>
  </si>
  <si>
    <t>Operario de punteo y soldadura longitudinal (propuesta del Word)</t>
  </si>
  <si>
    <t>76 min/día (18,6 %)</t>
  </si>
  <si>
    <t>56 min/día (13,7 %)</t>
  </si>
  <si>
    <t>≈16 m²</t>
  </si>
  <si>
    <t>IRAM 3550 3.2.2.1 y 3.2.2.2 (no alcanzada); estanqueidad en la prueba hidráulica (4.1.4).</t>
  </si>
  <si>
    <t>Encastre de fondo y cúpula, punteo en 4 puntos y soldadura circunferencial automática (cilindro girando en el virador, torcha fija). Fondo inspeccionado antes de cerrar.</t>
  </si>
  <si>
    <t>Cuerpos soldados, cúpulas con cupla (carro canasto) y fondos (carro 2).</t>
  </si>
  <si>
    <t>Cilindro cerrado con la boca tapada al pulmón del puesto 8; 70 y 100 kg en cuna.</t>
  </si>
  <si>
    <t>Virador 1.000 kg USA Tools (USD 1.493) con soporte de torcha X-Y-Z; MIG/MAG Pampa 300; galgas; boroscopio.</t>
  </si>
  <si>
    <t>Operario propio</t>
  </si>
  <si>
    <t>327 min/día (79,8 %)</t>
  </si>
  <si>
    <t>231 min/día (56,4 %)</t>
  </si>
  <si>
    <t>IRAM 3550 3.2.2.1 (máx. 2 costuras transversales), 3.2.2.2, 6.1.2.</t>
  </si>
  <si>
    <t>Marcado de posiciones desde la costura longitudinal y soldadura manual de manija, flejes de manga, pata, triángulos y caño del eje. Se monta el juego provisorio de eje y ruedas.</t>
  </si>
  <si>
    <t>Cilindro cerrado y kit de accesorios del 8.1.</t>
  </si>
  <si>
    <t>Carro sobre su juego provisorio, rodando a la prueba hidráulica.</t>
  </si>
  <si>
    <t>Virador 1.000 kg; MIG/MAG Pampa 300; cinta flexible pipe wrap; escuadra; 177 juegos provisorios (354 ruedas y 177 ejes).</t>
  </si>
  <si>
    <t>Soldador propio</t>
  </si>
  <si>
    <t>333 min/día (81,2 %)</t>
  </si>
  <si>
    <t>236 min/día (57,6 %)</t>
  </si>
  <si>
    <t>≈29 m²</t>
  </si>
  <si>
    <t>IRAM 3550 6.1.1: todas las soldaduras del tren de rodaje antes de formar los lotes.</t>
  </si>
  <si>
    <t>Corte, aplastado, curvado y agujereado de manija, caño del eje, eje, triángulos y flejes; armado de un kit por carro. No se suelda.</t>
  </si>
  <si>
    <t>Caño de 1" y 1¼", barra trefilada de 3/4" y 1", piezas de chapa del corte.</t>
  </si>
  <si>
    <t>TOTAL máquinas / puestos</t>
  </si>
  <si>
    <t>Kits al carro de kits del puesto 8; ejes en cajón por modelo.</t>
  </si>
  <si>
    <t>Sensitiva Bosch GCO 220 ($514.605); prensa Lusqtoff 20 t ($1.452.683); dobladora TOR-QUE 12 t ($774.001); perforadora Barbero 16 mm ($590.799); rack de barras.</t>
  </si>
  <si>
    <t>Operario de cilindrado (propuesta del Word)</t>
  </si>
  <si>
    <t>235 min/día (57,3 %)</t>
  </si>
  <si>
    <t>169 min/día (41,2 %)</t>
  </si>
  <si>
    <t>≈32 m²</t>
  </si>
  <si>
    <t>IRAM 3550 3.12.3 (estabilidad), 3.8.2 (soporte de manga); rodadura en ensayos de lote.</t>
  </si>
  <si>
    <t>Estanquidad al 100 % a 4 MPa durante 1 min y expansión en el 10 % de cada lote semanal. Llenado con bomba y vaciado con aire a 1 bar; dos bandejas de prueba en paralelo.</t>
  </si>
  <si>
    <t>Carro con accesorios sobre su juego provisorio.</t>
  </si>
  <si>
    <t>Carro vacío, rodando al secado.</t>
  </si>
  <si>
    <t>Máquina de prueba Yukon M-000200; 2 bandejas con rejilla; tanque Rotoplas 1.000 l; bomba periférica Czerweny; bomba sumergible; pantalla de policarbonato.</t>
  </si>
  <si>
    <t>Operario de prueba hidráulica</t>
  </si>
  <si>
    <t>190 min/día (46,3 %)</t>
  </si>
  <si>
    <t>136 min/día (33,2 %)</t>
  </si>
  <si>
    <t>IRAM 3550 4.1.4, 4.1.6, 6.1.3.1 y 6.1.3.2, 7.1.3.</t>
  </si>
  <si>
    <t>Aire caliente por lanza hasta secar el interior (8 / 10 / 12 / 14 min de máquina), control con linterna y boca tapada con cinta.</t>
  </si>
  <si>
    <t>Carros vacíos de la prueba hidráulica.</t>
  </si>
  <si>
    <t>Carros secos al pulmón de despacho.</t>
  </si>
  <si>
    <t>Secadora eléctrica Melisam MR011; linterna LED.</t>
  </si>
  <si>
    <t>Operario 43 min/día (10,5 %); máquina 200 min</t>
  </si>
  <si>
    <t>Operario 31 min/día (7,6 %); máquina 140 min</t>
  </si>
  <si>
    <t>≈7,5 m²</t>
  </si>
  <si>
    <t>Control interno: interior 100 % seco.</t>
  </si>
  <si>
    <t>Pulmón de despacho y transporte a pintura</t>
  </si>
  <si>
    <t>Espera hasta aprobar el lote semanal en la prueba hidráulica; carga al camión con tarima y autoelevador (≈80 carros por semirremolque).</t>
  </si>
  <si>
    <t>Carros secos con la boca tapada.</t>
  </si>
  <si>
    <t>Lote aprobado en camión a la pintura tercerizada.</t>
  </si>
  <si>
    <t>Autoelevador Heli CPCD50; 2 tarimas de carga con topes; fajas con criquet.</t>
  </si>
  <si>
    <t>Operario de almacén + operario de montaje</t>
  </si>
  <si>
    <t>36 min/día cada uno</t>
  </si>
  <si>
    <t>25 min/día cada uno</t>
  </si>
  <si>
    <t>≈70 m² (120 carros)</t>
  </si>
  <si>
    <t>Solo sale el lote aprobado (IRAM 3550 6.1.3).</t>
  </si>
  <si>
    <t>Pintura tercerizada y recepción de pintados</t>
  </si>
  <si>
    <t>Pintura en polvo poliéster roja (IRAM-DEF D 10-54) en un pintor externo, 3 días hábiles ida y vuelta. Al volver: descarga, cambio del juego provisorio por eje y ruedas nuevas e inspección al 100 %.</t>
  </si>
  <si>
    <t>Carros pintados en el camión.</t>
  </si>
  <si>
    <t>Carros sobre ruedas nuevas al pulmón de pintados; juegos provisorios de vuelta al puesto 8.</t>
  </si>
  <si>
    <t>Servicio de pintura (USD 13,5 / 20,3 / 27,5 / 32 por carro); 2 criques carrito 2 t; zorra de retorno; medidor de espesor UNI-T UT343D.</t>
  </si>
  <si>
    <t>Operario de almacén + operario de montaje + técnico de calidad</t>
  </si>
  <si>
    <t>67 min/día por operario; calidad 30 min</t>
  </si>
  <si>
    <t>Cantidad de turnos</t>
  </si>
  <si>
    <t>47 min/día por operario; calidad 21 min</t>
  </si>
  <si>
    <t>≈79 m²</t>
  </si>
  <si>
    <t>IRAM 3550 3.11 (color), 3.2.1 (recubrimiento), 5.1 (grabado legible).</t>
  </si>
  <si>
    <t>13</t>
  </si>
  <si>
    <t>Carga, armado y presurización</t>
  </si>
  <si>
    <t>A: cinta e interior. B: carga de polvo por vacío al peso (±3 %), válvula con manómetro y pescante, presurización con N₂ a 14 bar y detector de fugas. C: manga, traba, precinto y tarjeta.</t>
  </si>
  <si>
    <t>Carros pintados sobre ruedas nuevas; válvulas, manómetros, mangas, polvo en big bag, N₂ en batería.</t>
  </si>
  <si>
    <t>Matafuego cargado: muestra a la sala de pérdidas (14), resto al etiquetado (15).</t>
  </si>
  <si>
    <t>Cargadora por vacío Yukon M-000121; balanza 300 kg; bastidor de big bag con tolva; batería de N₂ 11 tubos; regulador; llave dinamométrica; colector de polvo.</t>
  </si>
  <si>
    <t>Operario de carga (B) + operario de montaje (A y C)</t>
  </si>
  <si>
    <t>Carga 273 min (66,6 %); montaje 147 min (35,9 %)</t>
  </si>
  <si>
    <t>Carga 205 min (50,0 %); montaje 109 min (26,6 %)</t>
  </si>
  <si>
    <t>≈60 m²</t>
  </si>
  <si>
    <t>IRAM 3550 4.6, 7.5, 3.9, 4.7, 3.10, 3.6, 3.4.2, 4.8.1.</t>
  </si>
  <si>
    <t>14</t>
  </si>
  <si>
    <t>Ensayo de pérdidas (Camino B)</t>
  </si>
  <si>
    <t>La muestra del lote (IRAM 15) pasa 7 días en una sala a 21 °C; se lee el manómetro el día 1 y el día 7.</t>
  </si>
  <si>
    <t>Carros de la muestra con tarjeta naranja.</t>
  </si>
  <si>
    <t>Carros al puesto 17 o al etiquetado.</t>
  </si>
  <si>
    <t>Sala de paneles 5 × 5 m; split BGH 3000F; registrador Elitech RC-5.</t>
  </si>
  <si>
    <t>Técnico de calidad</t>
  </si>
  <si>
    <t>19 min/día</t>
  </si>
  <si>
    <t>17 min/día</t>
  </si>
  <si>
    <t>≈25 m² (30 lugares)</t>
  </si>
  <si>
    <t>IRAM 3550 4.9 y 7.8; aceptación IRAM 15 AQL 6,5 %.</t>
  </si>
  <si>
    <t>15</t>
  </si>
  <si>
    <t>Etiquetado e inspección final (Camino A)</t>
  </si>
  <si>
    <t>Calcomanía de características (vinilo UV con corte de seguridad) y etiqueta del polvo; inspección visual al 100 %; tarjeta amarilla de RETENIDO.</t>
  </si>
  <si>
    <t>Carros cargados del puesto 13 y muestras que vuelven.</t>
  </si>
  <si>
    <t>Carros retenidos al depósito (16).</t>
  </si>
  <si>
    <t>Calcomanías en rollo de 1.000; plantilla con imán; espátula de fieltro; alcohol isopropílico.</t>
  </si>
  <si>
    <t>Operario de montaje + técnico de calidad</t>
  </si>
  <si>
    <t>Montaje 50 min (en el 13); calidad 35 min</t>
  </si>
  <si>
    <t>Montaje 35 min; calidad 26 min</t>
  </si>
  <si>
    <t>IRAM 3550 5.2.2 a 5.2.6, 6.2.1, 7.11.</t>
  </si>
  <si>
    <t>Depósito de producto retenido, liberado y despacho</t>
  </si>
  <si>
    <t>Zonas amarilla (retenidos, 180 carros), verde (liberados, 100) y roja; liberación del lote por calidad y despacho a clientes (lo más viejo primero).</t>
  </si>
  <si>
    <t>Carros etiquetados con tarjeta de RETENIDO.</t>
  </si>
  <si>
    <t>Carros liberados a clientes con remito y certificado del lote.</t>
  </si>
  <si>
    <t>Autoelevador; tarimas de carga; fajas con criquet.</t>
  </si>
  <si>
    <t>Técnico de calidad + operarios de almacén y montaje</t>
  </si>
  <si>
    <t>Calidad 14 min; carga 37 min por operario</t>
  </si>
  <si>
    <t>Calidad 12 min; carga 28 min por operario</t>
  </si>
  <si>
    <t>≈200 m²</t>
  </si>
  <si>
    <t>IRAM 3550 6.2.3 (decisión del lote con AQL 4 % y 6,5 %).</t>
  </si>
  <si>
    <t>17</t>
  </si>
  <si>
    <t>Ensayos de lote (Camino B)</t>
  </si>
  <si>
    <t>Sobre la muestra: medidas, prueba hidrostática de la manga a 4 MPa, rodadura (1 km, caída de 20 cm y choque) y funcionamiento continuo / intermitente en recinto cerrado. Los carros vuelven al 13 para recargarse.</t>
  </si>
  <si>
    <t>Carros de la muestra con 7 días en la sala.</t>
  </si>
  <si>
    <t>Informe del lote; carros descargados a recarga (13).</t>
  </si>
  <si>
    <t>Recinto de descarga 12 × 3 m; colector de polvo 3 HP; balanza 300 kg; anemómetro; cronómetro; Yukon M-000200.</t>
  </si>
  <si>
    <t>Técnico de calidad + operario de almacén (rodadura)</t>
  </si>
  <si>
    <t>164 min/día (técnico)</t>
  </si>
  <si>
    <t>160 min/día (técnico)</t>
  </si>
  <si>
    <t>≈70 m² (sin el patio)</t>
  </si>
  <si>
    <t>IRAM 3550 4.1.5, 4.3, 4.8, 4.10, 4.11, 7.3, 7.7, 7.9, 7.10.</t>
  </si>
  <si>
    <t>Personal propuesto en el Word (mes pico, turno de 410 min)</t>
  </si>
  <si>
    <t>Persona</t>
  </si>
  <si>
    <t>Puestos</t>
  </si>
  <si>
    <t>Pico (min/día)</t>
  </si>
  <si>
    <t>Promedio (min/día)</t>
  </si>
  <si>
    <t>2 y 2.1 (el resto del turno corta para manuales)</t>
  </si>
  <si>
    <t>144 (35 %)</t>
  </si>
  <si>
    <t>104 (25 %)</t>
  </si>
  <si>
    <t>Operario de cilindrado</t>
  </si>
  <si>
    <t>3 + ayudas en el corte y el punteo + 8.1</t>
  </si>
  <si>
    <t>342 (83,4 %)</t>
  </si>
  <si>
    <t>250 (61,0 %)</t>
  </si>
  <si>
    <t>4 + 5 + 6 (cupla)</t>
  </si>
  <si>
    <t>230 a 256 (56 a 62 %)</t>
  </si>
  <si>
    <t>≈185 (45 %)</t>
  </si>
  <si>
    <t>Operario de armado y soldadura circunferencial</t>
  </si>
  <si>
    <t>327 (79,8 %)</t>
  </si>
  <si>
    <t>231 (56,4 %)</t>
  </si>
  <si>
    <t>Soldador de accesorios</t>
  </si>
  <si>
    <t>333 (81,2 %)</t>
  </si>
  <si>
    <t>236 (57,6 %)</t>
  </si>
  <si>
    <t>9 + 10 + juegos provisorios</t>
  </si>
  <si>
    <t>233 (56,8 %)</t>
  </si>
  <si>
    <t>167 (40,7 %)</t>
  </si>
  <si>
    <t>Operario de carga</t>
  </si>
  <si>
    <t>13 B + recargas de la muestra</t>
  </si>
  <si>
    <t>273 (66,6 %)</t>
  </si>
  <si>
    <t>205 (50,0 %)</t>
  </si>
  <si>
    <t>Operario de montaje</t>
  </si>
  <si>
    <t>13 A y C, 15, cambio de juego (12) y camiones (11, 12 y 16)</t>
  </si>
  <si>
    <t>287 (70,0 %)</t>
  </si>
  <si>
    <t>209 (51,0 %)</t>
  </si>
  <si>
    <t>12, 14, 15, 16 y 17</t>
  </si>
  <si>
    <t>262 (63,9 %)</t>
  </si>
  <si>
    <t>Operario de almacén (compartido con manuales)</t>
  </si>
  <si>
    <t>1, camiones (11, 12 y 16), cambio de juego, big bag y rodadura</t>
  </si>
  <si>
    <t>247 (60,2 %)</t>
  </si>
  <si>
    <t>186 (45,4 %)</t>
  </si>
  <si>
    <t>El promedio del operario de punteo y soldadura longitudinal se estimó como 129 + 56 min (no figura en el Word).</t>
  </si>
  <si>
    <t>Recorrido de un lote (producción semanal de un modelo)</t>
  </si>
  <si>
    <t>Semana 1</t>
  </si>
  <si>
    <t>Se suelda (7, 8 y 8.1), se prueba (9), se seca (10) y espera en el pulmón de despacho (11). Al final de la semana se aprueba en la prueba hidráulica.</t>
  </si>
  <si>
    <t>Semana 2</t>
  </si>
  <si>
    <t>Viaja a la pintura el lunes y vuelve unos 3 días hábiles después; al bajarlo se cambia el juego provisorio por eje y ruedas nuevas (12).</t>
  </si>
  <si>
    <t>Semana 3</t>
  </si>
  <si>
    <t>Se carga y presuriza (13), primero la muestra, que entra a la sala de pérdidas (14). El resto se etiqueta y queda retenido (15 y 16).</t>
  </si>
  <si>
    <t>Semana 4</t>
  </si>
  <si>
    <t>La muestra cumple 7 días, se hacen los ensayos de lote (17) y se decide el lote. Si se acepta, se libera y se despacha.</t>
  </si>
  <si>
    <t>Cantidad de turnos en el año</t>
  </si>
  <si>
    <t>Año 2027 — carga (h/mes)</t>
  </si>
  <si>
    <t>Año 2028 — carga (h/mes)</t>
  </si>
  <si>
    <t>Año 2029 — carga (h/mes)</t>
  </si>
  <si>
    <t>Año 2030 — carga (h/mes)</t>
  </si>
  <si>
    <t>Año 2031 — carga (h/mes)</t>
  </si>
  <si>
    <t>Año 2032 — carga (h/mes)</t>
  </si>
  <si>
    <t>Año 2033 — carga (h/mes)</t>
  </si>
  <si>
    <t>Año 2034 — carga (h/mes)</t>
  </si>
  <si>
    <t>Año 2035 — carga (h/mes)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</si>
</sst>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0.0"/>
    <numFmt numFmtId="166" formatCode="0.0%"/>
  </numFmts>
  <fonts count="6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i/>
      <sz val="10.0"/>
      <color rgb="FF595959"/>
      <name val="Arial"/>
    </font>
    <font/>
    <font>
      <b/>
      <sz val="13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Border="1" applyFont="1"/>
    <xf borderId="1" fillId="3" fontId="2" numFmtId="3" xfId="0" applyBorder="1" applyFill="1" applyFont="1" applyNumberFormat="1"/>
    <xf borderId="1" fillId="0" fontId="2" numFmtId="0" xfId="0" applyAlignment="1" applyBorder="1" applyFont="1">
      <alignment shrinkToFit="0" vertical="top" wrapText="1"/>
    </xf>
    <xf borderId="1" fillId="0" fontId="2" numFmtId="1" xfId="0" applyBorder="1" applyFont="1" applyNumberFormat="1"/>
    <xf borderId="1" fillId="0" fontId="1" numFmtId="0" xfId="0" applyBorder="1" applyFont="1"/>
    <xf borderId="1" fillId="0" fontId="2" numFmtId="1" xfId="0" applyAlignment="1" applyBorder="1" applyFont="1" applyNumberFormat="1">
      <alignment readingOrder="0"/>
    </xf>
    <xf borderId="1" fillId="0" fontId="1" numFmtId="3" xfId="0" applyBorder="1" applyFont="1" applyNumberFormat="1"/>
    <xf borderId="1" fillId="0" fontId="2" numFmtId="164" xfId="0" applyBorder="1" applyFont="1" applyNumberFormat="1"/>
    <xf borderId="1" fillId="0" fontId="2" numFmtId="2" xfId="0" applyBorder="1" applyFont="1" applyNumberFormat="1"/>
    <xf borderId="1" fillId="0" fontId="2" numFmtId="165" xfId="0" applyBorder="1" applyFont="1" applyNumberFormat="1"/>
    <xf borderId="1" fillId="0" fontId="2" numFmtId="9" xfId="0" applyAlignment="1" applyBorder="1" applyFont="1" applyNumberFormat="1">
      <alignment readingOrder="0"/>
    </xf>
    <xf borderId="0" fillId="0" fontId="1" numFmtId="0" xfId="0" applyFont="1"/>
    <xf borderId="1" fillId="2" fontId="1" numFmtId="0" xfId="0" applyBorder="1" applyFill="1" applyFont="1"/>
    <xf borderId="1" fillId="2" fontId="1" numFmtId="3" xfId="0" applyBorder="1" applyFill="1" applyFont="1" applyNumberFormat="1"/>
    <xf borderId="1" fillId="0" fontId="2" numFmtId="166" xfId="0" applyBorder="1" applyFont="1" applyNumberFormat="1"/>
    <xf borderId="1" fillId="0" fontId="1" numFmtId="164" xfId="0" applyBorder="1" applyFont="1" applyNumberFormat="1"/>
    <xf borderId="1" fillId="0" fontId="2" numFmtId="9" xfId="0" applyBorder="1" applyFont="1" applyNumberFormat="1"/>
    <xf borderId="0" fillId="0" fontId="2" numFmtId="0" xfId="0" applyAlignment="1" applyFont="1">
      <alignment shrinkToFit="0" vertical="top" wrapText="1"/>
    </xf>
    <xf borderId="1" fillId="0" fontId="2" numFmtId="3" xfId="0" applyBorder="1" applyFont="1" applyNumberFormat="1"/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top" wrapText="1"/>
    </xf>
    <xf borderId="1" fillId="0" fontId="2" numFmtId="2" xfId="0" applyAlignment="1" applyBorder="1" applyFont="1" applyNumberFormat="1">
      <alignment horizontal="center" shrinkToFit="0" vertical="center" wrapText="1"/>
    </xf>
    <xf borderId="0" fillId="0" fontId="3" numFmtId="0" xfId="0" applyFont="1"/>
    <xf borderId="1" fillId="0" fontId="2" numFmtId="166" xfId="0" applyAlignment="1" applyBorder="1" applyFont="1" applyNumberFormat="1">
      <alignment horizontal="center" shrinkToFit="0" vertical="center" wrapText="1"/>
    </xf>
    <xf borderId="1" fillId="0" fontId="1" numFmtId="2" xfId="0" applyAlignment="1" applyBorder="1" applyFont="1" applyNumberFormat="1">
      <alignment horizontal="center" shrinkToFit="0" vertical="center" wrapText="1"/>
    </xf>
    <xf borderId="1" fillId="0" fontId="2" numFmtId="3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2" fontId="2" numFmtId="0" xfId="0" applyBorder="1" applyFill="1" applyFont="1"/>
    <xf borderId="1" fillId="2" fontId="1" numFmtId="164" xfId="0" applyBorder="1" applyFill="1" applyFont="1" applyNumberFormat="1"/>
    <xf borderId="1" fillId="0" fontId="2" numFmtId="9" xfId="0" applyAlignment="1" applyBorder="1" applyFont="1" applyNumberFormat="1">
      <alignment horizontal="center" shrinkToFit="0" vertical="center" wrapText="1"/>
    </xf>
    <xf borderId="1" fillId="0" fontId="1" numFmtId="9" xfId="0" applyBorder="1" applyFont="1" applyNumberFormat="1"/>
    <xf borderId="1" fillId="4" fontId="2" numFmtId="0" xfId="0" applyBorder="1" applyFill="1" applyFont="1"/>
    <xf borderId="1" fillId="5" fontId="2" numFmtId="0" xfId="0" applyBorder="1" applyFill="1" applyFont="1"/>
    <xf borderId="1" fillId="6" fontId="2" numFmtId="0" xfId="0" applyBorder="1" applyFill="1" applyFont="1"/>
    <xf borderId="1" fillId="7" fontId="2" numFmtId="0" xfId="0" applyBorder="1" applyFill="1" applyFont="1"/>
    <xf borderId="0" fillId="0" fontId="3" numFmtId="0" xfId="0" applyAlignment="1" applyFont="1">
      <alignment shrinkToFit="0" vertical="top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3" fontId="2" numFmtId="165" xfId="0" applyAlignment="1" applyBorder="1" applyFill="1" applyFont="1" applyNumberFormat="1">
      <alignment horizontal="center" shrinkToFit="0" vertical="center" wrapText="1"/>
    </xf>
    <xf borderId="1" fillId="3" fontId="2" numFmtId="1" xfId="0" applyAlignment="1" applyBorder="1" applyFill="1" applyFont="1" applyNumberFormat="1">
      <alignment horizontal="center" shrinkToFit="0" vertical="center" wrapText="1"/>
    </xf>
    <xf borderId="0" fillId="0" fontId="3" numFmtId="9" xfId="0" applyFont="1" applyNumberFormat="1"/>
    <xf borderId="1" fillId="0" fontId="2" numFmtId="165" xfId="0" applyAlignment="1" applyBorder="1" applyFont="1" applyNumberFormat="1">
      <alignment horizontal="center" shrinkToFit="0" vertical="center" wrapText="1"/>
    </xf>
    <xf borderId="1" fillId="0" fontId="1" numFmtId="166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shrinkToFit="0" vertical="top" wrapText="1"/>
    </xf>
    <xf borderId="1" fillId="2" fontId="1" numFmtId="9" xfId="0" applyAlignment="1" applyBorder="1" applyFill="1" applyFont="1" applyNumberFormat="1">
      <alignment horizontal="center" shrinkToFit="0" vertical="center" wrapText="1"/>
    </xf>
    <xf borderId="0" fillId="0" fontId="5" numFmtId="0" xfId="0" applyFont="1"/>
    <xf borderId="1" fillId="2" fontId="1" numFmtId="1" xfId="0" applyAlignment="1" applyBorder="1" applyFill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0.0"/>
    <col customWidth="1" min="2" max="11" width="12.0"/>
    <col customWidth="1" min="12" max="26" width="8.86"/>
  </cols>
  <sheetData>
    <row r="1" ht="14.25" customHeight="1">
      <c r="A1" s="1" t="s">
        <v>0</v>
      </c>
      <c r="B1" s="1">
        <v>2026.0</v>
      </c>
      <c r="C1" s="1">
        <v>2027.0</v>
      </c>
      <c r="D1" s="1">
        <v>2028.0</v>
      </c>
      <c r="E1" s="1">
        <v>2029.0</v>
      </c>
      <c r="F1" s="1">
        <v>2030.0</v>
      </c>
      <c r="G1" s="1">
        <v>2031.0</v>
      </c>
      <c r="H1" s="1">
        <v>2032.0</v>
      </c>
      <c r="I1" s="1">
        <v>2033.0</v>
      </c>
      <c r="J1" s="1">
        <v>2034.0</v>
      </c>
      <c r="K1" s="1">
        <v>2035.0</v>
      </c>
    </row>
    <row r="2" ht="14.25" customHeight="1">
      <c r="A2" s="2" t="s">
        <v>1</v>
      </c>
      <c r="B2" s="3">
        <v>34.0</v>
      </c>
      <c r="C2" s="3">
        <v>58.0</v>
      </c>
      <c r="D2" s="3">
        <v>76.0</v>
      </c>
      <c r="E2" s="3">
        <v>100.0</v>
      </c>
      <c r="F2" s="3">
        <v>156.0</v>
      </c>
      <c r="G2" s="3">
        <v>212.0</v>
      </c>
      <c r="H2" s="3">
        <v>273.0</v>
      </c>
      <c r="I2" s="3">
        <v>338.0</v>
      </c>
      <c r="J2" s="3">
        <v>393.0</v>
      </c>
      <c r="K2" s="3">
        <v>453.0</v>
      </c>
    </row>
    <row r="3" ht="14.25" customHeight="1">
      <c r="A3" s="2" t="s">
        <v>7</v>
      </c>
      <c r="B3" s="3">
        <v>75.0</v>
      </c>
      <c r="C3" s="3">
        <v>128.0</v>
      </c>
      <c r="D3" s="3">
        <v>166.0</v>
      </c>
      <c r="E3" s="3">
        <v>221.0</v>
      </c>
      <c r="F3" s="3">
        <v>343.0</v>
      </c>
      <c r="G3" s="3">
        <v>466.0</v>
      </c>
      <c r="H3" s="3">
        <v>599.0</v>
      </c>
      <c r="I3" s="3">
        <v>743.0</v>
      </c>
      <c r="J3" s="3">
        <v>866.0</v>
      </c>
      <c r="K3" s="3">
        <v>997.0</v>
      </c>
    </row>
    <row r="4" ht="14.25" customHeight="1">
      <c r="A4" s="2" t="s">
        <v>12</v>
      </c>
      <c r="B4" s="3">
        <v>16.0</v>
      </c>
      <c r="C4" s="3">
        <v>29.0</v>
      </c>
      <c r="D4" s="3">
        <v>36.0</v>
      </c>
      <c r="E4" s="3">
        <v>48.0</v>
      </c>
      <c r="F4" s="3">
        <v>74.0</v>
      </c>
      <c r="G4" s="3">
        <v>101.0</v>
      </c>
      <c r="H4" s="3">
        <v>131.0</v>
      </c>
      <c r="I4" s="3">
        <v>163.0</v>
      </c>
      <c r="J4" s="3">
        <v>189.0</v>
      </c>
      <c r="K4" s="3">
        <v>218.0</v>
      </c>
    </row>
    <row r="5" ht="14.25" customHeight="1">
      <c r="A5" s="2" t="s">
        <v>17</v>
      </c>
      <c r="B5" s="3">
        <v>11.0</v>
      </c>
      <c r="C5" s="3">
        <v>18.0</v>
      </c>
      <c r="D5" s="3">
        <v>24.0</v>
      </c>
      <c r="E5" s="3">
        <v>33.0</v>
      </c>
      <c r="F5" s="3">
        <v>50.0</v>
      </c>
      <c r="G5" s="3">
        <v>67.0</v>
      </c>
      <c r="H5" s="3">
        <v>87.0</v>
      </c>
      <c r="I5" s="3">
        <v>108.0</v>
      </c>
      <c r="J5" s="3">
        <v>126.0</v>
      </c>
      <c r="K5" s="3">
        <v>145.0</v>
      </c>
    </row>
    <row r="6" ht="14.25" customHeight="1">
      <c r="A6" s="6" t="s">
        <v>24</v>
      </c>
      <c r="B6" s="8">
        <f t="shared" ref="B6:K6" si="1">SUM(B2:B5)</f>
        <v>136</v>
      </c>
      <c r="C6" s="8">
        <f t="shared" si="1"/>
        <v>233</v>
      </c>
      <c r="D6" s="8">
        <f t="shared" si="1"/>
        <v>302</v>
      </c>
      <c r="E6" s="8">
        <f t="shared" si="1"/>
        <v>402</v>
      </c>
      <c r="F6" s="8">
        <f t="shared" si="1"/>
        <v>623</v>
      </c>
      <c r="G6" s="8">
        <f t="shared" si="1"/>
        <v>846</v>
      </c>
      <c r="H6" s="8">
        <f t="shared" si="1"/>
        <v>1090</v>
      </c>
      <c r="I6" s="8">
        <f t="shared" si="1"/>
        <v>1352</v>
      </c>
      <c r="J6" s="8">
        <f t="shared" si="1"/>
        <v>1574</v>
      </c>
      <c r="K6" s="8">
        <f t="shared" si="1"/>
        <v>1813</v>
      </c>
    </row>
    <row r="7" ht="14.25" customHeight="1"/>
    <row r="8" ht="14.25" customHeight="1">
      <c r="A8" s="1" t="s">
        <v>38</v>
      </c>
      <c r="B8" s="1">
        <v>2026.0</v>
      </c>
      <c r="C8" s="1">
        <v>2027.0</v>
      </c>
      <c r="D8" s="1">
        <v>2028.0</v>
      </c>
      <c r="E8" s="1">
        <v>2029.0</v>
      </c>
      <c r="F8" s="1">
        <v>2030.0</v>
      </c>
      <c r="G8" s="1">
        <v>2031.0</v>
      </c>
      <c r="H8" s="1">
        <v>2032.0</v>
      </c>
      <c r="I8" s="1">
        <v>2033.0</v>
      </c>
      <c r="J8" s="1">
        <v>2034.0</v>
      </c>
      <c r="K8" s="1">
        <v>2035.0</v>
      </c>
    </row>
    <row r="9" ht="14.25" customHeight="1">
      <c r="A9" s="2" t="s">
        <v>42</v>
      </c>
      <c r="B9" s="3">
        <v>0.0</v>
      </c>
      <c r="C9" s="3">
        <v>0.0</v>
      </c>
      <c r="D9" s="3">
        <v>14.0</v>
      </c>
      <c r="E9" s="3">
        <v>50.0</v>
      </c>
      <c r="F9" s="3">
        <v>93.0</v>
      </c>
      <c r="G9" s="3">
        <v>135.0</v>
      </c>
      <c r="H9" s="3">
        <v>191.0</v>
      </c>
      <c r="I9" s="3">
        <v>247.0</v>
      </c>
      <c r="J9" s="3">
        <v>277.0</v>
      </c>
      <c r="K9" s="3">
        <v>322.0</v>
      </c>
    </row>
    <row r="10" ht="14.25" customHeight="1">
      <c r="A10" s="2" t="s">
        <v>43</v>
      </c>
      <c r="B10" s="3">
        <v>0.0</v>
      </c>
      <c r="C10" s="3">
        <v>0.0</v>
      </c>
      <c r="D10" s="3">
        <v>32.0</v>
      </c>
      <c r="E10" s="3">
        <v>111.0</v>
      </c>
      <c r="F10" s="3">
        <v>205.0</v>
      </c>
      <c r="G10" s="3">
        <v>298.0</v>
      </c>
      <c r="H10" s="3">
        <v>421.0</v>
      </c>
      <c r="I10" s="3">
        <v>544.0</v>
      </c>
      <c r="J10" s="3">
        <v>610.0</v>
      </c>
      <c r="K10" s="3">
        <v>708.0</v>
      </c>
    </row>
    <row r="11" ht="14.25" customHeight="1">
      <c r="A11" s="2" t="s">
        <v>44</v>
      </c>
      <c r="B11" s="3">
        <v>0.0</v>
      </c>
      <c r="C11" s="3">
        <v>0.0</v>
      </c>
      <c r="D11" s="3">
        <v>7.0</v>
      </c>
      <c r="E11" s="3">
        <v>24.0</v>
      </c>
      <c r="F11" s="3">
        <v>45.0</v>
      </c>
      <c r="G11" s="3">
        <v>65.0</v>
      </c>
      <c r="H11" s="3">
        <v>92.0</v>
      </c>
      <c r="I11" s="3">
        <v>119.0</v>
      </c>
      <c r="J11" s="3">
        <v>133.0</v>
      </c>
      <c r="K11" s="3">
        <v>155.0</v>
      </c>
    </row>
    <row r="12" ht="14.25" customHeight="1">
      <c r="A12" s="2" t="s">
        <v>45</v>
      </c>
      <c r="B12" s="3">
        <v>0.0</v>
      </c>
      <c r="C12" s="3">
        <v>0.0</v>
      </c>
      <c r="D12" s="3">
        <v>5.0</v>
      </c>
      <c r="E12" s="3">
        <v>16.0</v>
      </c>
      <c r="F12" s="3">
        <v>30.0</v>
      </c>
      <c r="G12" s="3">
        <v>43.0</v>
      </c>
      <c r="H12" s="3">
        <v>60.0</v>
      </c>
      <c r="I12" s="3">
        <v>78.0</v>
      </c>
      <c r="J12" s="3">
        <v>88.0</v>
      </c>
      <c r="K12" s="3">
        <v>102.0</v>
      </c>
    </row>
    <row r="13" ht="14.25" customHeight="1">
      <c r="A13" s="6" t="s">
        <v>47</v>
      </c>
      <c r="B13" s="8">
        <f t="shared" ref="B13:K13" si="2">SUM(B9:B12)</f>
        <v>0</v>
      </c>
      <c r="C13" s="8">
        <f t="shared" si="2"/>
        <v>0</v>
      </c>
      <c r="D13" s="8">
        <f t="shared" si="2"/>
        <v>58</v>
      </c>
      <c r="E13" s="8">
        <f t="shared" si="2"/>
        <v>201</v>
      </c>
      <c r="F13" s="8">
        <f t="shared" si="2"/>
        <v>373</v>
      </c>
      <c r="G13" s="8">
        <f t="shared" si="2"/>
        <v>541</v>
      </c>
      <c r="H13" s="8">
        <f t="shared" si="2"/>
        <v>764</v>
      </c>
      <c r="I13" s="8">
        <f t="shared" si="2"/>
        <v>988</v>
      </c>
      <c r="J13" s="8">
        <f t="shared" si="2"/>
        <v>1108</v>
      </c>
      <c r="K13" s="8">
        <f t="shared" si="2"/>
        <v>1287</v>
      </c>
    </row>
    <row r="14" ht="14.25" customHeight="1"/>
    <row r="15" ht="14.25" customHeight="1">
      <c r="A15" s="14" t="s">
        <v>52</v>
      </c>
      <c r="B15" s="15">
        <f t="shared" ref="B15:K15" si="3">B6+B13</f>
        <v>136</v>
      </c>
      <c r="C15" s="15">
        <f t="shared" si="3"/>
        <v>233</v>
      </c>
      <c r="D15" s="15">
        <f t="shared" si="3"/>
        <v>360</v>
      </c>
      <c r="E15" s="15">
        <f t="shared" si="3"/>
        <v>603</v>
      </c>
      <c r="F15" s="15">
        <f t="shared" si="3"/>
        <v>996</v>
      </c>
      <c r="G15" s="15">
        <f t="shared" si="3"/>
        <v>1387</v>
      </c>
      <c r="H15" s="15">
        <f t="shared" si="3"/>
        <v>1854</v>
      </c>
      <c r="I15" s="15">
        <f t="shared" si="3"/>
        <v>2340</v>
      </c>
      <c r="J15" s="15">
        <f t="shared" si="3"/>
        <v>2682</v>
      </c>
      <c r="K15" s="15">
        <f t="shared" si="3"/>
        <v>3100</v>
      </c>
    </row>
    <row r="16" ht="14.25" customHeight="1"/>
    <row r="17" ht="14.25" customHeight="1">
      <c r="A17" s="1" t="s">
        <v>55</v>
      </c>
      <c r="B17" s="1">
        <v>2026.0</v>
      </c>
      <c r="C17" s="1">
        <v>2027.0</v>
      </c>
      <c r="D17" s="1">
        <v>2028.0</v>
      </c>
      <c r="E17" s="1">
        <v>2029.0</v>
      </c>
      <c r="F17" s="1">
        <v>2030.0</v>
      </c>
      <c r="G17" s="1">
        <v>2031.0</v>
      </c>
      <c r="H17" s="1">
        <v>2032.0</v>
      </c>
      <c r="I17" s="1">
        <v>2033.0</v>
      </c>
      <c r="J17" s="1">
        <v>2034.0</v>
      </c>
      <c r="K17" s="1">
        <v>2035.0</v>
      </c>
    </row>
    <row r="18" ht="14.25" customHeight="1">
      <c r="A18" s="2" t="s">
        <v>56</v>
      </c>
      <c r="B18" s="20">
        <f t="shared" ref="B18:K18" si="4">B2+B9</f>
        <v>34</v>
      </c>
      <c r="C18" s="20">
        <f t="shared" si="4"/>
        <v>58</v>
      </c>
      <c r="D18" s="20">
        <f t="shared" si="4"/>
        <v>90</v>
      </c>
      <c r="E18" s="20">
        <f t="shared" si="4"/>
        <v>150</v>
      </c>
      <c r="F18" s="20">
        <f t="shared" si="4"/>
        <v>249</v>
      </c>
      <c r="G18" s="20">
        <f t="shared" si="4"/>
        <v>347</v>
      </c>
      <c r="H18" s="20">
        <f t="shared" si="4"/>
        <v>464</v>
      </c>
      <c r="I18" s="20">
        <f t="shared" si="4"/>
        <v>585</v>
      </c>
      <c r="J18" s="20">
        <f t="shared" si="4"/>
        <v>670</v>
      </c>
      <c r="K18" s="20">
        <f t="shared" si="4"/>
        <v>775</v>
      </c>
    </row>
    <row r="19" ht="14.25" customHeight="1">
      <c r="A19" s="2" t="s">
        <v>61</v>
      </c>
      <c r="B19" s="20">
        <f t="shared" ref="B19:K19" si="5">B3+B10</f>
        <v>75</v>
      </c>
      <c r="C19" s="20">
        <f t="shared" si="5"/>
        <v>128</v>
      </c>
      <c r="D19" s="20">
        <f t="shared" si="5"/>
        <v>198</v>
      </c>
      <c r="E19" s="20">
        <f t="shared" si="5"/>
        <v>332</v>
      </c>
      <c r="F19" s="20">
        <f t="shared" si="5"/>
        <v>548</v>
      </c>
      <c r="G19" s="20">
        <f t="shared" si="5"/>
        <v>764</v>
      </c>
      <c r="H19" s="20">
        <f t="shared" si="5"/>
        <v>1020</v>
      </c>
      <c r="I19" s="20">
        <f t="shared" si="5"/>
        <v>1287</v>
      </c>
      <c r="J19" s="20">
        <f t="shared" si="5"/>
        <v>1476</v>
      </c>
      <c r="K19" s="20">
        <f t="shared" si="5"/>
        <v>1705</v>
      </c>
    </row>
    <row r="20" ht="14.25" customHeight="1">
      <c r="A20" s="2" t="s">
        <v>80</v>
      </c>
      <c r="B20" s="20">
        <f t="shared" ref="B20:K20" si="6">B4+B11</f>
        <v>16</v>
      </c>
      <c r="C20" s="20">
        <f t="shared" si="6"/>
        <v>29</v>
      </c>
      <c r="D20" s="20">
        <f t="shared" si="6"/>
        <v>43</v>
      </c>
      <c r="E20" s="20">
        <f t="shared" si="6"/>
        <v>72</v>
      </c>
      <c r="F20" s="20">
        <f t="shared" si="6"/>
        <v>119</v>
      </c>
      <c r="G20" s="20">
        <f t="shared" si="6"/>
        <v>166</v>
      </c>
      <c r="H20" s="20">
        <f t="shared" si="6"/>
        <v>223</v>
      </c>
      <c r="I20" s="20">
        <f t="shared" si="6"/>
        <v>282</v>
      </c>
      <c r="J20" s="20">
        <f t="shared" si="6"/>
        <v>322</v>
      </c>
      <c r="K20" s="20">
        <f t="shared" si="6"/>
        <v>373</v>
      </c>
    </row>
    <row r="21" ht="14.25" customHeight="1">
      <c r="A21" s="2" t="s">
        <v>82</v>
      </c>
      <c r="B21" s="20">
        <f t="shared" ref="B21:K21" si="7">B5+B12</f>
        <v>11</v>
      </c>
      <c r="C21" s="20">
        <f t="shared" si="7"/>
        <v>18</v>
      </c>
      <c r="D21" s="20">
        <f t="shared" si="7"/>
        <v>29</v>
      </c>
      <c r="E21" s="20">
        <f t="shared" si="7"/>
        <v>49</v>
      </c>
      <c r="F21" s="20">
        <f t="shared" si="7"/>
        <v>80</v>
      </c>
      <c r="G21" s="20">
        <f t="shared" si="7"/>
        <v>110</v>
      </c>
      <c r="H21" s="20">
        <f t="shared" si="7"/>
        <v>147</v>
      </c>
      <c r="I21" s="20">
        <f t="shared" si="7"/>
        <v>186</v>
      </c>
      <c r="J21" s="20">
        <f t="shared" si="7"/>
        <v>214</v>
      </c>
      <c r="K21" s="20">
        <f t="shared" si="7"/>
        <v>247</v>
      </c>
    </row>
    <row r="22" ht="14.25" customHeight="1">
      <c r="A22" s="6" t="s">
        <v>53</v>
      </c>
      <c r="B22" s="8">
        <f t="shared" ref="B22:K22" si="8">SUM(B18:B21)</f>
        <v>136</v>
      </c>
      <c r="C22" s="8">
        <f t="shared" si="8"/>
        <v>233</v>
      </c>
      <c r="D22" s="8">
        <f t="shared" si="8"/>
        <v>360</v>
      </c>
      <c r="E22" s="8">
        <f t="shared" si="8"/>
        <v>603</v>
      </c>
      <c r="F22" s="8">
        <f t="shared" si="8"/>
        <v>996</v>
      </c>
      <c r="G22" s="8">
        <f t="shared" si="8"/>
        <v>1387</v>
      </c>
      <c r="H22" s="8">
        <f t="shared" si="8"/>
        <v>1854</v>
      </c>
      <c r="I22" s="8">
        <f t="shared" si="8"/>
        <v>2340</v>
      </c>
      <c r="J22" s="8">
        <f t="shared" si="8"/>
        <v>2682</v>
      </c>
      <c r="K22" s="8">
        <f t="shared" si="8"/>
        <v>3100</v>
      </c>
    </row>
    <row r="23" ht="14.25" customHeight="1"/>
    <row r="24" ht="14.25" customHeight="1">
      <c r="A24" s="24" t="s">
        <v>84</v>
      </c>
    </row>
    <row r="25" ht="14.25" customHeight="1"/>
    <row r="26" ht="14.25" customHeight="1">
      <c r="A26" s="1" t="s">
        <v>85</v>
      </c>
      <c r="B26" s="1" t="s">
        <v>86</v>
      </c>
      <c r="C26" s="1" t="s">
        <v>87</v>
      </c>
      <c r="D26" s="1" t="s">
        <v>88</v>
      </c>
      <c r="E26" s="1" t="s">
        <v>89</v>
      </c>
      <c r="F26" s="1" t="s">
        <v>90</v>
      </c>
      <c r="G26" s="1" t="s">
        <v>91</v>
      </c>
      <c r="H26" s="1" t="s">
        <v>92</v>
      </c>
      <c r="I26" s="1" t="s">
        <v>93</v>
      </c>
      <c r="J26" s="1" t="s">
        <v>94</v>
      </c>
      <c r="K26" s="1" t="s">
        <v>95</v>
      </c>
    </row>
    <row r="27" ht="14.25" customHeight="1">
      <c r="A27" s="2" t="s">
        <v>96</v>
      </c>
      <c r="B27" s="2">
        <v>276.5</v>
      </c>
      <c r="C27" s="2">
        <v>3.2</v>
      </c>
      <c r="D27" s="2">
        <v>490.0</v>
      </c>
      <c r="E27" s="2">
        <v>10.6</v>
      </c>
      <c r="F27" s="2">
        <v>43.0</v>
      </c>
      <c r="G27" s="2">
        <v>35.0</v>
      </c>
      <c r="H27" s="2">
        <v>25.0</v>
      </c>
      <c r="I27" s="2">
        <v>53.0</v>
      </c>
      <c r="J27" s="2">
        <v>5.0</v>
      </c>
      <c r="K27" s="2" t="s">
        <v>97</v>
      </c>
    </row>
    <row r="28" ht="14.25" customHeight="1">
      <c r="A28" s="2" t="s">
        <v>98</v>
      </c>
      <c r="B28" s="2">
        <v>320.0</v>
      </c>
      <c r="C28" s="2">
        <v>3.2</v>
      </c>
      <c r="D28" s="2">
        <v>640.0</v>
      </c>
      <c r="E28" s="2">
        <v>16.0</v>
      </c>
      <c r="F28" s="2">
        <v>68.0</v>
      </c>
      <c r="G28" s="2">
        <v>60.0</v>
      </c>
      <c r="H28" s="2">
        <v>36.0</v>
      </c>
      <c r="I28" s="2">
        <v>90.0</v>
      </c>
      <c r="J28" s="2">
        <v>5.0</v>
      </c>
      <c r="K28" s="2" t="s">
        <v>99</v>
      </c>
    </row>
    <row r="29" ht="14.25" customHeight="1">
      <c r="A29" s="2" t="s">
        <v>100</v>
      </c>
      <c r="B29" s="2">
        <v>390.0</v>
      </c>
      <c r="C29" s="2">
        <v>4.75</v>
      </c>
      <c r="D29" s="2">
        <v>680.0</v>
      </c>
      <c r="E29" s="2">
        <v>30.7</v>
      </c>
      <c r="F29" s="2">
        <v>127.0</v>
      </c>
      <c r="G29" s="2">
        <v>93.0</v>
      </c>
      <c r="H29" s="2">
        <v>61.0</v>
      </c>
      <c r="I29" s="2">
        <v>136.0</v>
      </c>
      <c r="J29" s="2">
        <v>5.0</v>
      </c>
      <c r="K29" s="2" t="s">
        <v>101</v>
      </c>
    </row>
    <row r="30" ht="14.25" customHeight="1">
      <c r="A30" s="2" t="s">
        <v>102</v>
      </c>
      <c r="B30" s="2">
        <v>390.0</v>
      </c>
      <c r="C30" s="2">
        <v>4.75</v>
      </c>
      <c r="D30" s="2">
        <v>900.0</v>
      </c>
      <c r="E30" s="2">
        <v>40.7</v>
      </c>
      <c r="F30" s="2">
        <v>157.0</v>
      </c>
      <c r="G30" s="2">
        <v>118.0</v>
      </c>
      <c r="H30" s="2">
        <v>71.0</v>
      </c>
      <c r="I30" s="2">
        <v>179.0</v>
      </c>
      <c r="J30" s="2">
        <v>12.0</v>
      </c>
      <c r="K30" s="2" t="s">
        <v>101</v>
      </c>
    </row>
    <row r="31" ht="14.25" customHeight="1"/>
    <row r="32" ht="14.25" customHeight="1">
      <c r="A32" s="24" t="s">
        <v>103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42.0"/>
    <col customWidth="1" min="4" max="7" width="11.0"/>
    <col customWidth="1" min="8" max="8" width="12.0"/>
    <col customWidth="1" min="9" max="10" width="13.0"/>
    <col customWidth="1" min="11" max="12" width="11.0"/>
    <col customWidth="1" min="13" max="13" width="14.0"/>
    <col customWidth="1" min="14" max="14" width="11.0"/>
    <col customWidth="1" min="15" max="15" width="70.0"/>
    <col customWidth="1" min="16" max="26" width="8.86"/>
  </cols>
  <sheetData>
    <row r="1" ht="14.25" customHeight="1">
      <c r="A1" s="1" t="s">
        <v>2</v>
      </c>
      <c r="B1" s="1" t="s">
        <v>4</v>
      </c>
      <c r="C1" s="1" t="s">
        <v>6</v>
      </c>
    </row>
    <row r="2" ht="30.0" customHeight="1">
      <c r="A2" s="4" t="s">
        <v>10</v>
      </c>
      <c r="B2" s="5">
        <v>20.0</v>
      </c>
      <c r="C2" s="4" t="s">
        <v>26</v>
      </c>
    </row>
    <row r="3" ht="30.0" customHeight="1">
      <c r="A3" s="4" t="s">
        <v>27</v>
      </c>
      <c r="B3" s="5">
        <v>8.0</v>
      </c>
      <c r="C3" s="4" t="s">
        <v>29</v>
      </c>
    </row>
    <row r="4" ht="45.0" customHeight="1">
      <c r="A4" s="4" t="s">
        <v>30</v>
      </c>
      <c r="B4" s="7">
        <v>30.0</v>
      </c>
      <c r="C4" s="4" t="s">
        <v>31</v>
      </c>
    </row>
    <row r="5" ht="30.0" customHeight="1">
      <c r="A5" s="4" t="s">
        <v>35</v>
      </c>
      <c r="B5" s="10">
        <f>B3-B4/60</f>
        <v>7.5</v>
      </c>
      <c r="C5" s="4" t="s">
        <v>37</v>
      </c>
    </row>
    <row r="6" ht="30.0" customHeight="1">
      <c r="A6" s="4" t="s">
        <v>39</v>
      </c>
      <c r="B6" s="5">
        <v>1.0</v>
      </c>
      <c r="C6" s="4" t="s">
        <v>40</v>
      </c>
    </row>
    <row r="7" ht="30.0" customHeight="1">
      <c r="A7" s="4" t="s">
        <v>41</v>
      </c>
      <c r="B7" s="11">
        <f>B2*B5*B6</f>
        <v>150</v>
      </c>
      <c r="C7" s="4" t="s">
        <v>46</v>
      </c>
    </row>
    <row r="8" ht="30.0" customHeight="1">
      <c r="A8" s="4" t="s">
        <v>48</v>
      </c>
      <c r="B8" s="12">
        <v>0.9</v>
      </c>
      <c r="C8" s="4" t="s">
        <v>49</v>
      </c>
    </row>
    <row r="9" ht="14.25" customHeight="1"/>
    <row r="10" ht="14.25" customHeight="1">
      <c r="A10" s="13" t="s">
        <v>50</v>
      </c>
    </row>
    <row r="11" ht="14.25" customHeight="1">
      <c r="A11" s="1" t="s">
        <v>51</v>
      </c>
      <c r="B11" s="1" t="s">
        <v>8</v>
      </c>
      <c r="C11" s="1" t="s">
        <v>9</v>
      </c>
      <c r="D11" s="1" t="s">
        <v>11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18</v>
      </c>
      <c r="J11" s="1" t="s">
        <v>19</v>
      </c>
      <c r="K11" s="1" t="s">
        <v>20</v>
      </c>
      <c r="L11" s="1" t="s">
        <v>21</v>
      </c>
      <c r="M11" s="1" t="s">
        <v>22</v>
      </c>
      <c r="N11" s="1" t="s">
        <v>53</v>
      </c>
    </row>
    <row r="12" ht="14.25" customHeight="1">
      <c r="A12" s="2" t="s">
        <v>54</v>
      </c>
      <c r="B12" s="16">
        <v>0.085</v>
      </c>
      <c r="C12" s="16">
        <v>0.075</v>
      </c>
      <c r="D12" s="16">
        <v>0.09</v>
      </c>
      <c r="E12" s="16">
        <v>0.09</v>
      </c>
      <c r="F12" s="16">
        <v>0.09</v>
      </c>
      <c r="G12" s="16">
        <v>0.08</v>
      </c>
      <c r="H12" s="16">
        <v>0.09</v>
      </c>
      <c r="I12" s="16">
        <v>0.09</v>
      </c>
      <c r="J12" s="16">
        <v>0.085</v>
      </c>
      <c r="K12" s="16">
        <v>0.075</v>
      </c>
      <c r="L12" s="16">
        <v>0.07</v>
      </c>
      <c r="M12" s="16">
        <v>0.08</v>
      </c>
      <c r="N12" s="18">
        <f t="shared" ref="N12:N15" si="1">SUM(B12:M12)</f>
        <v>1</v>
      </c>
      <c r="O12" s="19" t="s">
        <v>57</v>
      </c>
    </row>
    <row r="13" ht="14.25" customHeight="1">
      <c r="A13" s="2" t="s">
        <v>58</v>
      </c>
      <c r="B13" s="16">
        <v>0.085</v>
      </c>
      <c r="C13" s="16">
        <v>0.075</v>
      </c>
      <c r="D13" s="16">
        <v>0.09</v>
      </c>
      <c r="E13" s="16">
        <v>0.09</v>
      </c>
      <c r="F13" s="16">
        <v>0.09</v>
      </c>
      <c r="G13" s="16">
        <v>0.08</v>
      </c>
      <c r="H13" s="16">
        <v>0.09</v>
      </c>
      <c r="I13" s="16">
        <v>0.09</v>
      </c>
      <c r="J13" s="16">
        <v>0.085</v>
      </c>
      <c r="K13" s="16">
        <v>0.075</v>
      </c>
      <c r="L13" s="16">
        <v>0.07</v>
      </c>
      <c r="M13" s="16">
        <v>0.08</v>
      </c>
      <c r="N13" s="18">
        <f t="shared" si="1"/>
        <v>1</v>
      </c>
    </row>
    <row r="14" ht="14.25" customHeight="1">
      <c r="A14" s="2" t="s">
        <v>59</v>
      </c>
      <c r="B14" s="16">
        <v>0.085</v>
      </c>
      <c r="C14" s="16">
        <v>0.075</v>
      </c>
      <c r="D14" s="16">
        <v>0.09</v>
      </c>
      <c r="E14" s="16">
        <v>0.09</v>
      </c>
      <c r="F14" s="16">
        <v>0.09</v>
      </c>
      <c r="G14" s="16">
        <v>0.08</v>
      </c>
      <c r="H14" s="16">
        <v>0.09</v>
      </c>
      <c r="I14" s="16">
        <v>0.09</v>
      </c>
      <c r="J14" s="16">
        <v>0.085</v>
      </c>
      <c r="K14" s="16">
        <v>0.075</v>
      </c>
      <c r="L14" s="16">
        <v>0.07</v>
      </c>
      <c r="M14" s="16">
        <v>0.08</v>
      </c>
      <c r="N14" s="18">
        <f t="shared" si="1"/>
        <v>1</v>
      </c>
    </row>
    <row r="15" ht="14.25" customHeight="1">
      <c r="A15" s="2" t="s">
        <v>60</v>
      </c>
      <c r="B15" s="16">
        <v>0.085</v>
      </c>
      <c r="C15" s="16">
        <v>0.075</v>
      </c>
      <c r="D15" s="16">
        <v>0.09</v>
      </c>
      <c r="E15" s="16">
        <v>0.09</v>
      </c>
      <c r="F15" s="16">
        <v>0.09</v>
      </c>
      <c r="G15" s="16">
        <v>0.08</v>
      </c>
      <c r="H15" s="16">
        <v>0.09</v>
      </c>
      <c r="I15" s="16">
        <v>0.09</v>
      </c>
      <c r="J15" s="16">
        <v>0.085</v>
      </c>
      <c r="K15" s="16">
        <v>0.075</v>
      </c>
      <c r="L15" s="16">
        <v>0.07</v>
      </c>
      <c r="M15" s="16">
        <v>0.08</v>
      </c>
      <c r="N15" s="18">
        <f t="shared" si="1"/>
        <v>1</v>
      </c>
    </row>
    <row r="16" ht="14.25" customHeight="1"/>
    <row r="17" ht="14.25" customHeight="1">
      <c r="A17" s="13" t="s">
        <v>62</v>
      </c>
    </row>
    <row r="18" ht="45.0" customHeight="1">
      <c r="A18" s="1" t="s">
        <v>63</v>
      </c>
      <c r="B18" s="1" t="s">
        <v>64</v>
      </c>
      <c r="C18" s="1" t="s">
        <v>65</v>
      </c>
      <c r="D18" s="1" t="s">
        <v>66</v>
      </c>
      <c r="E18" s="1" t="s">
        <v>67</v>
      </c>
      <c r="F18" s="1" t="s">
        <v>68</v>
      </c>
      <c r="G18" s="1" t="s">
        <v>69</v>
      </c>
      <c r="H18" s="1" t="s">
        <v>70</v>
      </c>
      <c r="I18" s="1" t="s">
        <v>71</v>
      </c>
      <c r="J18" s="1" t="s">
        <v>72</v>
      </c>
      <c r="K18" s="1" t="s">
        <v>73</v>
      </c>
      <c r="L18" s="1" t="s">
        <v>74</v>
      </c>
      <c r="M18" s="1" t="s">
        <v>75</v>
      </c>
      <c r="N18" s="1" t="s">
        <v>76</v>
      </c>
      <c r="O18" s="1" t="s">
        <v>77</v>
      </c>
    </row>
    <row r="19" ht="60.0" customHeight="1">
      <c r="A19" s="21" t="s">
        <v>78</v>
      </c>
      <c r="B19" s="22" t="s">
        <v>79</v>
      </c>
      <c r="C19" s="4" t="s">
        <v>81</v>
      </c>
      <c r="D19" s="23">
        <f t="shared" ref="D19:G19" si="2">(93+330+110+90+90)/400</f>
        <v>1.7825</v>
      </c>
      <c r="E19" s="23">
        <f t="shared" si="2"/>
        <v>1.7825</v>
      </c>
      <c r="F19" s="23">
        <f t="shared" si="2"/>
        <v>1.7825</v>
      </c>
      <c r="G19" s="23">
        <f t="shared" si="2"/>
        <v>1.7825</v>
      </c>
      <c r="H19" s="21" t="s">
        <v>83</v>
      </c>
      <c r="I19" s="23">
        <f>IF(H19="Todos",(D19*datos_base!$K$18+E19*datos_base!$K$19+F19*datos_base!$K$20+G19*datos_base!$K$21)/datos_base!$K$22,(D19*datos_base!$K$2+E19*datos_base!$K$3+F19*datos_base!$K$4+G19*datos_base!$K$5)/datos_base!$K$6)</f>
        <v>1.7825</v>
      </c>
      <c r="J19" s="25">
        <f t="shared" ref="J19:J36" si="4">H45</f>
        <v>0.9518888889</v>
      </c>
      <c r="K19" s="26">
        <f t="shared" ref="K19:K36" si="5">IF(I19&gt;0,60/I19*J19,0)</f>
        <v>32.04114072</v>
      </c>
      <c r="L19" s="27">
        <f t="shared" ref="L19:L36" si="6">K19*$B$7</f>
        <v>4806.171108</v>
      </c>
      <c r="M19" s="28">
        <f t="shared" ref="M19:M36" si="7">5*D19+11*E19+3*F19+1*G19+F45</f>
        <v>57.3</v>
      </c>
      <c r="N19" s="28">
        <v>60.0</v>
      </c>
      <c r="O19" s="4" t="s">
        <v>104</v>
      </c>
    </row>
    <row r="20" ht="90.0" customHeight="1">
      <c r="A20" s="21" t="s">
        <v>105</v>
      </c>
      <c r="B20" s="22" t="s">
        <v>106</v>
      </c>
      <c r="C20" s="4" t="s">
        <v>107</v>
      </c>
      <c r="D20" s="23">
        <f>10.6/9+3.5/9+0.2+0.8</f>
        <v>2.566666667</v>
      </c>
      <c r="E20" s="23">
        <f>8.8/6+5.5/6+0.2+0.8</f>
        <v>3.383333333</v>
      </c>
      <c r="F20" s="23">
        <f t="shared" ref="F20:G20" si="3">14.5/4+5*2/23+12.1*(2/3)/4+0.2+0.8</f>
        <v>7.076449275</v>
      </c>
      <c r="G20" s="23">
        <f t="shared" si="3"/>
        <v>7.076449275</v>
      </c>
      <c r="H20" s="21" t="s">
        <v>83</v>
      </c>
      <c r="I20" s="23">
        <f>IF(H20="Todos",(D20*datos_base!$K$18+E20*datos_base!$K$19+F20*datos_base!$K$20+G20*datos_base!$K$21)/datos_base!$K$22,(D20*datos_base!$K$2+E20*datos_base!$K$3+F20*datos_base!$K$4+G20*datos_base!$K$5)/datos_base!$K$6)</f>
        <v>3.917789855</v>
      </c>
      <c r="J20" s="25">
        <f t="shared" si="4"/>
        <v>0.9377777778</v>
      </c>
      <c r="K20" s="26">
        <f t="shared" si="5"/>
        <v>14.36183888</v>
      </c>
      <c r="L20" s="27">
        <f t="shared" si="6"/>
        <v>2154.275832</v>
      </c>
      <c r="M20" s="28">
        <f t="shared" si="7"/>
        <v>106.3557971</v>
      </c>
      <c r="N20" s="28">
        <v>107.0</v>
      </c>
      <c r="O20" s="4" t="s">
        <v>109</v>
      </c>
    </row>
    <row r="21" ht="30.0" customHeight="1">
      <c r="A21" s="21" t="s">
        <v>110</v>
      </c>
      <c r="B21" s="22" t="s">
        <v>111</v>
      </c>
      <c r="C21" s="4" t="s">
        <v>112</v>
      </c>
      <c r="D21" s="23">
        <v>1.5</v>
      </c>
      <c r="E21" s="23">
        <v>1.5</v>
      </c>
      <c r="F21" s="23">
        <v>1.8</v>
      </c>
      <c r="G21" s="23">
        <v>1.8</v>
      </c>
      <c r="H21" s="21" t="s">
        <v>83</v>
      </c>
      <c r="I21" s="23">
        <f>IF(H21="Todos",(D21*datos_base!$K$18+E21*datos_base!$K$19+F21*datos_base!$K$20+G21*datos_base!$K$21)/datos_base!$K$22,(D21*datos_base!$K$2+E21*datos_base!$K$3+F21*datos_base!$K$4+G21*datos_base!$K$5)/datos_base!$K$6)</f>
        <v>1.56</v>
      </c>
      <c r="J21" s="25">
        <f t="shared" si="4"/>
        <v>0.9877777778</v>
      </c>
      <c r="K21" s="26">
        <f t="shared" si="5"/>
        <v>37.99145299</v>
      </c>
      <c r="L21" s="27">
        <f t="shared" si="6"/>
        <v>5698.717949</v>
      </c>
      <c r="M21" s="28">
        <f t="shared" si="7"/>
        <v>36.7</v>
      </c>
      <c r="N21" s="28">
        <v>37.0</v>
      </c>
      <c r="O21" s="4" t="s">
        <v>113</v>
      </c>
    </row>
    <row r="22" ht="45.0" customHeight="1">
      <c r="A22" s="21" t="s">
        <v>114</v>
      </c>
      <c r="B22" s="22" t="s">
        <v>115</v>
      </c>
      <c r="C22" s="4" t="s">
        <v>116</v>
      </c>
      <c r="D22" s="23">
        <v>2.6</v>
      </c>
      <c r="E22" s="23">
        <v>2.8</v>
      </c>
      <c r="F22" s="23">
        <f>4.5+12/11.5</f>
        <v>5.543478261</v>
      </c>
      <c r="G22" s="23">
        <f>5+12/11.5</f>
        <v>6.043478261</v>
      </c>
      <c r="H22" s="21" t="s">
        <v>83</v>
      </c>
      <c r="I22" s="23">
        <f>IF(H22="Todos",(D22*datos_base!$K$18+E22*datos_base!$K$19+F22*datos_base!$K$20+G22*datos_base!$K$21)/datos_base!$K$22,(D22*datos_base!$K$2+E22*datos_base!$K$3+F22*datos_base!$K$4+G22*datos_base!$K$5)/datos_base!$K$6)</f>
        <v>3.338534362</v>
      </c>
      <c r="J22" s="25">
        <f t="shared" si="4"/>
        <v>0.96</v>
      </c>
      <c r="K22" s="26">
        <f t="shared" si="5"/>
        <v>17.25307987</v>
      </c>
      <c r="L22" s="27">
        <f t="shared" si="6"/>
        <v>2587.961981</v>
      </c>
      <c r="M22" s="28">
        <f t="shared" si="7"/>
        <v>84.47391304</v>
      </c>
      <c r="N22" s="28">
        <v>84.0</v>
      </c>
      <c r="O22" s="4" t="s">
        <v>120</v>
      </c>
    </row>
    <row r="23" ht="45.0" customHeight="1">
      <c r="A23" s="21" t="s">
        <v>121</v>
      </c>
      <c r="B23" s="22" t="s">
        <v>122</v>
      </c>
      <c r="C23" s="4" t="s">
        <v>123</v>
      </c>
      <c r="D23" s="23">
        <v>3.0</v>
      </c>
      <c r="E23" s="23">
        <v>3.3</v>
      </c>
      <c r="F23" s="23">
        <f>7.8+35/11.5+1</f>
        <v>11.84347826</v>
      </c>
      <c r="G23" s="23">
        <f>8+35/11.5+1</f>
        <v>12.04347826</v>
      </c>
      <c r="H23" s="21" t="s">
        <v>83</v>
      </c>
      <c r="I23" s="23">
        <f>IF(H23="Todos",(D23*datos_base!$K$18+E23*datos_base!$K$19+F23*datos_base!$K$20+G23*datos_base!$K$21)/datos_base!$K$22,(D23*datos_base!$K$2+E23*datos_base!$K$3+F23*datos_base!$K$4+G23*datos_base!$K$5)/datos_base!$K$6)</f>
        <v>4.949631136</v>
      </c>
      <c r="J23" s="25">
        <f t="shared" si="4"/>
        <v>0.9888888889</v>
      </c>
      <c r="K23" s="26">
        <f t="shared" si="5"/>
        <v>11.98742527</v>
      </c>
      <c r="L23" s="27">
        <f t="shared" si="6"/>
        <v>1798.11379</v>
      </c>
      <c r="M23" s="28">
        <f t="shared" si="7"/>
        <v>103.873913</v>
      </c>
      <c r="N23" s="28">
        <v>104.0</v>
      </c>
      <c r="O23" s="4" t="s">
        <v>124</v>
      </c>
    </row>
    <row r="24" ht="45.0" customHeight="1">
      <c r="A24" s="21" t="s">
        <v>125</v>
      </c>
      <c r="B24" s="22" t="s">
        <v>126</v>
      </c>
      <c r="C24" s="4" t="s">
        <v>127</v>
      </c>
      <c r="D24" s="23">
        <v>3.0</v>
      </c>
      <c r="E24" s="23">
        <v>3.3</v>
      </c>
      <c r="F24" s="23">
        <v>3.9</v>
      </c>
      <c r="G24" s="23">
        <v>4.6</v>
      </c>
      <c r="H24" s="21" t="s">
        <v>83</v>
      </c>
      <c r="I24" s="23">
        <f>IF(H24="Todos",(D24*datos_base!$K$18+E24*datos_base!$K$19+F24*datos_base!$K$20+G24*datos_base!$K$21)/datos_base!$K$22,(D24*datos_base!$K$2+E24*datos_base!$K$3+F24*datos_base!$K$4+G24*datos_base!$K$5)/datos_base!$K$6)</f>
        <v>3.400774194</v>
      </c>
      <c r="J24" s="25">
        <f t="shared" si="4"/>
        <v>0.9822222222</v>
      </c>
      <c r="K24" s="26">
        <f t="shared" si="5"/>
        <v>17.32938736</v>
      </c>
      <c r="L24" s="27">
        <f t="shared" si="6"/>
        <v>2599.408104</v>
      </c>
      <c r="M24" s="28">
        <f t="shared" si="7"/>
        <v>75.6</v>
      </c>
      <c r="N24" s="28">
        <v>76.0</v>
      </c>
      <c r="O24" s="4" t="s">
        <v>129</v>
      </c>
    </row>
    <row r="25" ht="45.0" customHeight="1">
      <c r="A25" s="21" t="s">
        <v>130</v>
      </c>
      <c r="B25" s="22" t="s">
        <v>131</v>
      </c>
      <c r="C25" s="4" t="s">
        <v>132</v>
      </c>
      <c r="D25" s="23">
        <v>3.2</v>
      </c>
      <c r="E25" s="23">
        <v>3.2</v>
      </c>
      <c r="F25" s="23">
        <v>4.0</v>
      </c>
      <c r="G25" s="23">
        <v>4.0</v>
      </c>
      <c r="H25" s="21" t="s">
        <v>83</v>
      </c>
      <c r="I25" s="23">
        <f>IF(H25="Todos",(D25*datos_base!$K$18+E25*datos_base!$K$19+F25*datos_base!$K$20+G25*datos_base!$K$21)/datos_base!$K$22,(D25*datos_base!$K$2+E25*datos_base!$K$3+F25*datos_base!$K$4+G25*datos_base!$K$5)/datos_base!$K$6)</f>
        <v>3.36</v>
      </c>
      <c r="J25" s="25">
        <f t="shared" si="4"/>
        <v>0.98</v>
      </c>
      <c r="K25" s="26">
        <f t="shared" si="5"/>
        <v>17.5</v>
      </c>
      <c r="L25" s="27">
        <f t="shared" si="6"/>
        <v>2625</v>
      </c>
      <c r="M25" s="28">
        <f t="shared" si="7"/>
        <v>76.2</v>
      </c>
      <c r="N25" s="28">
        <v>76.0</v>
      </c>
      <c r="O25" s="4" t="s">
        <v>133</v>
      </c>
    </row>
    <row r="26" ht="45.0" customHeight="1">
      <c r="A26" s="21" t="s">
        <v>134</v>
      </c>
      <c r="B26" s="22" t="s">
        <v>135</v>
      </c>
      <c r="C26" s="4" t="s">
        <v>136</v>
      </c>
      <c r="D26" s="23">
        <v>14.6</v>
      </c>
      <c r="E26" s="23">
        <v>15.2</v>
      </c>
      <c r="F26" s="23">
        <v>19.4</v>
      </c>
      <c r="G26" s="23">
        <v>19.4</v>
      </c>
      <c r="H26" s="21" t="s">
        <v>83</v>
      </c>
      <c r="I26" s="23">
        <f>IF(H26="Todos",(D26*datos_base!$K$18+E26*datos_base!$K$19+F26*datos_base!$K$20+G26*datos_base!$K$21)/datos_base!$K$22,(D26*datos_base!$K$2+E26*datos_base!$K$3+F26*datos_base!$K$4+G26*datos_base!$K$5)/datos_base!$K$6)</f>
        <v>15.89</v>
      </c>
      <c r="J26" s="25">
        <f t="shared" si="4"/>
        <v>0.98</v>
      </c>
      <c r="K26" s="26">
        <f t="shared" si="5"/>
        <v>3.700440529</v>
      </c>
      <c r="L26" s="27">
        <f t="shared" si="6"/>
        <v>555.0660793</v>
      </c>
      <c r="M26" s="28">
        <f t="shared" si="7"/>
        <v>326.8</v>
      </c>
      <c r="N26" s="28">
        <v>327.0</v>
      </c>
      <c r="O26" s="4" t="s">
        <v>138</v>
      </c>
    </row>
    <row r="27" ht="30.0" customHeight="1">
      <c r="A27" s="21" t="s">
        <v>139</v>
      </c>
      <c r="B27" s="22" t="s">
        <v>140</v>
      </c>
      <c r="C27" s="4" t="s">
        <v>141</v>
      </c>
      <c r="D27" s="23">
        <v>15.7</v>
      </c>
      <c r="E27" s="23">
        <v>15.9</v>
      </c>
      <c r="F27" s="23">
        <v>17.6</v>
      </c>
      <c r="G27" s="23">
        <v>17.6</v>
      </c>
      <c r="H27" s="21" t="s">
        <v>83</v>
      </c>
      <c r="I27" s="23">
        <f>IF(H27="Todos",(D27*datos_base!$K$18+E27*datos_base!$K$19+F27*datos_base!$K$20+G27*datos_base!$K$21)/datos_base!$K$22,(D27*datos_base!$K$2+E27*datos_base!$K$3+F27*datos_base!$K$4+G27*datos_base!$K$5)/datos_base!$K$6)</f>
        <v>16.19</v>
      </c>
      <c r="J27" s="25">
        <f t="shared" si="4"/>
        <v>0.98</v>
      </c>
      <c r="K27" s="26">
        <f t="shared" si="5"/>
        <v>3.631871526</v>
      </c>
      <c r="L27" s="27">
        <f t="shared" si="6"/>
        <v>544.7807288</v>
      </c>
      <c r="M27" s="28">
        <f t="shared" si="7"/>
        <v>332.8</v>
      </c>
      <c r="N27" s="28">
        <v>333.0</v>
      </c>
      <c r="O27" s="4" t="s">
        <v>142</v>
      </c>
    </row>
    <row r="28" ht="45.0" customHeight="1">
      <c r="A28" s="21" t="s">
        <v>143</v>
      </c>
      <c r="B28" s="22" t="s">
        <v>144</v>
      </c>
      <c r="C28" s="4" t="s">
        <v>145</v>
      </c>
      <c r="D28" s="23">
        <v>11.0</v>
      </c>
      <c r="E28" s="23">
        <v>11.0</v>
      </c>
      <c r="F28" s="23">
        <v>11.0</v>
      </c>
      <c r="G28" s="23">
        <v>11.0</v>
      </c>
      <c r="H28" s="21" t="s">
        <v>83</v>
      </c>
      <c r="I28" s="23">
        <f>IF(H28="Todos",(D28*datos_base!$K$18+E28*datos_base!$K$19+F28*datos_base!$K$20+G28*datos_base!$K$21)/datos_base!$K$22,(D28*datos_base!$K$2+E28*datos_base!$K$3+F28*datos_base!$K$4+G28*datos_base!$K$5)/datos_base!$K$6)</f>
        <v>11</v>
      </c>
      <c r="J28" s="25">
        <f t="shared" si="4"/>
        <v>0.9666666667</v>
      </c>
      <c r="K28" s="26">
        <f t="shared" si="5"/>
        <v>5.272727273</v>
      </c>
      <c r="L28" s="27">
        <f t="shared" si="6"/>
        <v>790.9090909</v>
      </c>
      <c r="M28" s="28">
        <f t="shared" si="7"/>
        <v>235</v>
      </c>
      <c r="N28" s="28">
        <v>235.0</v>
      </c>
      <c r="O28" s="4" t="s">
        <v>146</v>
      </c>
    </row>
    <row r="29" ht="45.0" customHeight="1">
      <c r="A29" s="21" t="s">
        <v>147</v>
      </c>
      <c r="B29" s="22" t="s">
        <v>148</v>
      </c>
      <c r="C29" s="4" t="s">
        <v>150</v>
      </c>
      <c r="D29" s="23">
        <f>7.9+4*0.12</f>
        <v>8.38</v>
      </c>
      <c r="E29" s="23">
        <f t="shared" ref="E29:G29" si="8">8.7+4*0.12</f>
        <v>9.18</v>
      </c>
      <c r="F29" s="23">
        <f t="shared" si="8"/>
        <v>9.18</v>
      </c>
      <c r="G29" s="23">
        <f t="shared" si="8"/>
        <v>9.18</v>
      </c>
      <c r="H29" s="21" t="s">
        <v>83</v>
      </c>
      <c r="I29" s="23">
        <f>IF(H29="Todos",(D29*datos_base!$K$18+E29*datos_base!$K$19+F29*datos_base!$K$20+G29*datos_base!$K$21)/datos_base!$K$22,(D29*datos_base!$K$2+E29*datos_base!$K$3+F29*datos_base!$K$4+G29*datos_base!$K$5)/datos_base!$K$6)</f>
        <v>8.98</v>
      </c>
      <c r="J29" s="25">
        <f t="shared" si="4"/>
        <v>0.9777777778</v>
      </c>
      <c r="K29" s="26">
        <f t="shared" si="5"/>
        <v>6.533036377</v>
      </c>
      <c r="L29" s="27">
        <f t="shared" si="6"/>
        <v>979.9554566</v>
      </c>
      <c r="M29" s="28">
        <f t="shared" si="7"/>
        <v>189.6</v>
      </c>
      <c r="N29" s="28">
        <v>190.0</v>
      </c>
      <c r="O29" s="4" t="s">
        <v>151</v>
      </c>
    </row>
    <row r="30" ht="30.0" customHeight="1">
      <c r="A30" s="21" t="s">
        <v>152</v>
      </c>
      <c r="B30" s="22" t="s">
        <v>153</v>
      </c>
      <c r="C30" s="4" t="s">
        <v>154</v>
      </c>
      <c r="D30" s="23">
        <v>8.0</v>
      </c>
      <c r="E30" s="23">
        <v>10.0</v>
      </c>
      <c r="F30" s="23">
        <v>12.0</v>
      </c>
      <c r="G30" s="23">
        <v>14.0</v>
      </c>
      <c r="H30" s="21" t="s">
        <v>83</v>
      </c>
      <c r="I30" s="23">
        <f>IF(H30="Todos",(D30*datos_base!$K$18+E30*datos_base!$K$19+F30*datos_base!$K$20+G30*datos_base!$K$21)/datos_base!$K$22,(D30*datos_base!$K$2+E30*datos_base!$K$3+F30*datos_base!$K$4+G30*datos_base!$K$5)/datos_base!$K$6)</f>
        <v>10.05935484</v>
      </c>
      <c r="J30" s="25">
        <f t="shared" si="4"/>
        <v>1</v>
      </c>
      <c r="K30" s="26">
        <f t="shared" si="5"/>
        <v>5.964597229</v>
      </c>
      <c r="L30" s="27">
        <f t="shared" si="6"/>
        <v>894.6895844</v>
      </c>
      <c r="M30" s="28">
        <f t="shared" si="7"/>
        <v>200</v>
      </c>
      <c r="N30" s="28">
        <v>200.0</v>
      </c>
      <c r="O30" s="4" t="s">
        <v>156</v>
      </c>
    </row>
    <row r="31" ht="30.0" customHeight="1">
      <c r="A31" s="21" t="s">
        <v>157</v>
      </c>
      <c r="B31" s="22" t="s">
        <v>158</v>
      </c>
      <c r="C31" s="4" t="s">
        <v>159</v>
      </c>
      <c r="D31" s="23">
        <v>1.45</v>
      </c>
      <c r="E31" s="23">
        <v>1.45</v>
      </c>
      <c r="F31" s="23">
        <v>2.2</v>
      </c>
      <c r="G31" s="23">
        <v>2.2</v>
      </c>
      <c r="H31" s="21" t="s">
        <v>83</v>
      </c>
      <c r="I31" s="23">
        <f>IF(H31="Todos",(D31*datos_base!$K$18+E31*datos_base!$K$19+F31*datos_base!$K$20+G31*datos_base!$K$21)/datos_base!$K$22,(D31*datos_base!$K$2+E31*datos_base!$K$3+F31*datos_base!$K$4+G31*datos_base!$K$5)/datos_base!$K$6)</f>
        <v>1.6</v>
      </c>
      <c r="J31" s="25">
        <f t="shared" si="4"/>
        <v>0.9911111111</v>
      </c>
      <c r="K31" s="26">
        <f t="shared" si="5"/>
        <v>37.16666667</v>
      </c>
      <c r="L31" s="27">
        <f t="shared" si="6"/>
        <v>5575</v>
      </c>
      <c r="M31" s="28">
        <f t="shared" si="7"/>
        <v>36</v>
      </c>
      <c r="N31" s="28">
        <v>36.0</v>
      </c>
      <c r="O31" s="4" t="s">
        <v>160</v>
      </c>
    </row>
    <row r="32" ht="45.0" customHeight="1">
      <c r="A32" s="21" t="s">
        <v>161</v>
      </c>
      <c r="B32" s="22" t="s">
        <v>162</v>
      </c>
      <c r="C32" s="4" t="s">
        <v>163</v>
      </c>
      <c r="D32" s="23">
        <f t="shared" ref="D32:E32" si="9">1.45+3/2</f>
        <v>2.95</v>
      </c>
      <c r="E32" s="23">
        <f t="shared" si="9"/>
        <v>2.95</v>
      </c>
      <c r="F32" s="23">
        <f t="shared" ref="F32:G32" si="10">2.2+3.3/2</f>
        <v>3.85</v>
      </c>
      <c r="G32" s="23">
        <f t="shared" si="10"/>
        <v>3.85</v>
      </c>
      <c r="H32" s="21" t="s">
        <v>83</v>
      </c>
      <c r="I32" s="23">
        <f>IF(H32="Todos",(D32*datos_base!$K$18+E32*datos_base!$K$19+F32*datos_base!$K$20+G32*datos_base!$K$21)/datos_base!$K$22,(D32*datos_base!$K$2+E32*datos_base!$K$3+F32*datos_base!$K$4+G32*datos_base!$K$5)/datos_base!$K$6)</f>
        <v>3.13</v>
      </c>
      <c r="J32" s="25">
        <f t="shared" si="4"/>
        <v>0.9911111111</v>
      </c>
      <c r="K32" s="26">
        <f t="shared" si="5"/>
        <v>18.99893504</v>
      </c>
      <c r="L32" s="27">
        <f t="shared" si="6"/>
        <v>2849.840256</v>
      </c>
      <c r="M32" s="28">
        <f t="shared" si="7"/>
        <v>66.6</v>
      </c>
      <c r="N32" s="28">
        <f>(180+153)/5</f>
        <v>66.6</v>
      </c>
      <c r="O32" s="4" t="s">
        <v>164</v>
      </c>
    </row>
    <row r="33" ht="45.0" customHeight="1">
      <c r="A33" s="21" t="s">
        <v>165</v>
      </c>
      <c r="B33" s="22" t="s">
        <v>166</v>
      </c>
      <c r="C33" s="4" t="s">
        <v>167</v>
      </c>
      <c r="D33" s="23">
        <v>8.3</v>
      </c>
      <c r="E33" s="23">
        <v>11.3</v>
      </c>
      <c r="F33" s="23">
        <v>13.8</v>
      </c>
      <c r="G33" s="23">
        <v>17.3</v>
      </c>
      <c r="H33" s="21" t="s">
        <v>168</v>
      </c>
      <c r="I33" s="23">
        <f>IF(H33="Todos",(D33*datos_base!$K$18+E33*datos_base!$K$19+F33*datos_base!$K$20+G33*datos_base!$K$21)/datos_base!$K$22,(D33*datos_base!$K$2+E33*datos_base!$K$3+F33*datos_base!$K$4+G33*datos_base!$K$5)/datos_base!$K$6)</f>
        <v>11.33088803</v>
      </c>
      <c r="J33" s="25">
        <f t="shared" si="4"/>
        <v>0.8933333333</v>
      </c>
      <c r="K33" s="26">
        <f t="shared" si="5"/>
        <v>4.730432412</v>
      </c>
      <c r="L33" s="27">
        <f t="shared" si="6"/>
        <v>709.5648618</v>
      </c>
      <c r="M33" s="28">
        <f t="shared" si="7"/>
        <v>272.5</v>
      </c>
      <c r="N33" s="28">
        <v>273.0</v>
      </c>
      <c r="O33" s="4" t="s">
        <v>169</v>
      </c>
    </row>
    <row r="34" ht="30.0" customHeight="1">
      <c r="A34" s="21" t="s">
        <v>170</v>
      </c>
      <c r="B34" s="22" t="s">
        <v>171</v>
      </c>
      <c r="C34" s="4" t="s">
        <v>172</v>
      </c>
      <c r="D34" s="23">
        <f t="shared" ref="D34:E34" si="11">3.6+2.5</f>
        <v>6.1</v>
      </c>
      <c r="E34" s="23">
        <f t="shared" si="11"/>
        <v>6.1</v>
      </c>
      <c r="F34" s="23">
        <f>4.3+2.5</f>
        <v>6.8</v>
      </c>
      <c r="G34" s="23">
        <f>5.3+2.5</f>
        <v>7.8</v>
      </c>
      <c r="H34" s="21" t="s">
        <v>168</v>
      </c>
      <c r="I34" s="23">
        <f>IF(H34="Todos",(D34*datos_base!$K$18+E34*datos_base!$K$19+F34*datos_base!$K$20+G34*datos_base!$K$21)/datos_base!$K$22,(D34*datos_base!$K$2+E34*datos_base!$K$3+F34*datos_base!$K$4+G34*datos_base!$K$5)/datos_base!$K$6)</f>
        <v>6.320132377</v>
      </c>
      <c r="J34" s="25">
        <f t="shared" si="4"/>
        <v>0.9533333333</v>
      </c>
      <c r="K34" s="26">
        <f t="shared" si="5"/>
        <v>9.050443343</v>
      </c>
      <c r="L34" s="27">
        <f t="shared" si="6"/>
        <v>1357.566501</v>
      </c>
      <c r="M34" s="28">
        <f t="shared" si="7"/>
        <v>146.8</v>
      </c>
      <c r="N34" s="28">
        <v>147.0</v>
      </c>
      <c r="O34" s="4" t="s">
        <v>173</v>
      </c>
    </row>
    <row r="35" ht="45.0" customHeight="1">
      <c r="A35" s="21" t="s">
        <v>174</v>
      </c>
      <c r="B35" s="22" t="s">
        <v>175</v>
      </c>
      <c r="C35" s="4" t="s">
        <v>176</v>
      </c>
      <c r="D35" s="23">
        <f t="shared" ref="D35:G35" si="12">1+8*3/100+3*0.25+1.5+0.3+4*0.25</f>
        <v>4.79</v>
      </c>
      <c r="E35" s="23">
        <f t="shared" si="12"/>
        <v>4.79</v>
      </c>
      <c r="F35" s="23">
        <f t="shared" si="12"/>
        <v>4.79</v>
      </c>
      <c r="G35" s="23">
        <f t="shared" si="12"/>
        <v>4.79</v>
      </c>
      <c r="H35" s="21" t="s">
        <v>168</v>
      </c>
      <c r="I35" s="23">
        <f>IF(H35="Todos",(D35*datos_base!$K$18+E35*datos_base!$K$19+F35*datos_base!$K$20+G35*datos_base!$K$21)/datos_base!$K$22,(D35*datos_base!$K$2+E35*datos_base!$K$3+F35*datos_base!$K$4+G35*datos_base!$K$5)/datos_base!$K$6)</f>
        <v>4.79</v>
      </c>
      <c r="J35" s="25">
        <f t="shared" si="4"/>
        <v>0.6297777778</v>
      </c>
      <c r="K35" s="26">
        <f t="shared" si="5"/>
        <v>7.888656924</v>
      </c>
      <c r="L35" s="27">
        <f t="shared" si="6"/>
        <v>1183.298539</v>
      </c>
      <c r="M35" s="28">
        <f t="shared" si="7"/>
        <v>262.4</v>
      </c>
      <c r="N35" s="28">
        <v>262.0</v>
      </c>
      <c r="O35" s="4" t="s">
        <v>177</v>
      </c>
    </row>
    <row r="36" ht="30.0" customHeight="1">
      <c r="A36" s="21" t="s">
        <v>178</v>
      </c>
      <c r="B36" s="22" t="s">
        <v>179</v>
      </c>
      <c r="C36" s="4" t="s">
        <v>180</v>
      </c>
      <c r="D36" s="23">
        <v>1.2</v>
      </c>
      <c r="E36" s="23">
        <v>1.2</v>
      </c>
      <c r="F36" s="23">
        <v>2.0</v>
      </c>
      <c r="G36" s="23">
        <v>2.0</v>
      </c>
      <c r="H36" s="21" t="s">
        <v>83</v>
      </c>
      <c r="I36" s="23">
        <f>IF(H36="Todos",(D36*datos_base!$K$18+E36*datos_base!$K$19+F36*datos_base!$K$20+G36*datos_base!$K$21)/datos_base!$K$22,(D36*datos_base!$K$2+E36*datos_base!$K$3+F36*datos_base!$K$4+G36*datos_base!$K$5)/datos_base!$K$6)</f>
        <v>1.36</v>
      </c>
      <c r="J36" s="25">
        <f t="shared" si="4"/>
        <v>0.9777777778</v>
      </c>
      <c r="K36" s="26">
        <f t="shared" si="5"/>
        <v>43.1372549</v>
      </c>
      <c r="L36" s="27">
        <f t="shared" si="6"/>
        <v>6470.588235</v>
      </c>
      <c r="M36" s="28">
        <f t="shared" si="7"/>
        <v>37.2</v>
      </c>
      <c r="N36" s="28">
        <f>186/5</f>
        <v>37.2</v>
      </c>
      <c r="O36" s="4" t="s">
        <v>181</v>
      </c>
    </row>
    <row r="37" ht="14.25" customHeight="1"/>
    <row r="38" ht="30.0" customHeight="1">
      <c r="A38" s="37" t="s">
        <v>182</v>
      </c>
    </row>
    <row r="39" ht="30.0" customHeight="1">
      <c r="A39" s="37" t="s">
        <v>183</v>
      </c>
    </row>
    <row r="40" ht="30.0" customHeight="1">
      <c r="A40" s="37" t="s">
        <v>184</v>
      </c>
    </row>
    <row r="41" ht="30.0" customHeight="1">
      <c r="A41" s="37" t="s">
        <v>185</v>
      </c>
    </row>
    <row r="42" ht="30.0" customHeight="1">
      <c r="A42" s="37" t="s">
        <v>186</v>
      </c>
    </row>
    <row r="43" ht="14.25" customHeight="1">
      <c r="A43" s="13" t="s">
        <v>187</v>
      </c>
    </row>
    <row r="44" ht="57.0" customHeight="1">
      <c r="A44" s="1" t="s">
        <v>63</v>
      </c>
      <c r="B44" s="1" t="s">
        <v>64</v>
      </c>
      <c r="C44" s="1" t="s">
        <v>188</v>
      </c>
      <c r="D44" s="1" t="s">
        <v>189</v>
      </c>
      <c r="E44" s="1" t="s">
        <v>190</v>
      </c>
      <c r="F44" s="1" t="s">
        <v>191</v>
      </c>
      <c r="G44" s="1" t="s">
        <v>192</v>
      </c>
      <c r="H44" s="1" t="s">
        <v>72</v>
      </c>
      <c r="I44" s="38" t="s">
        <v>77</v>
      </c>
      <c r="J44" s="39"/>
      <c r="K44" s="39"/>
      <c r="L44" s="39"/>
      <c r="M44" s="39"/>
      <c r="N44" s="39"/>
      <c r="O44" s="40"/>
    </row>
    <row r="45" ht="15.0" customHeight="1">
      <c r="A45" s="21" t="str">
        <f t="shared" ref="A45:B45" si="13">A19</f>
        <v>1</v>
      </c>
      <c r="B45" s="4" t="str">
        <f t="shared" si="13"/>
        <v>Recepción de materia prima</v>
      </c>
      <c r="C45" s="41">
        <v>0.0</v>
      </c>
      <c r="D45" s="42">
        <v>0.0</v>
      </c>
      <c r="E45" s="41">
        <f>20+33/20</f>
        <v>21.65</v>
      </c>
      <c r="F45" s="44">
        <f t="shared" ref="F45:F62" si="15">C45*D45+E45</f>
        <v>21.65</v>
      </c>
      <c r="G45" s="23">
        <f t="shared" ref="G45:G62" si="16">F45*$B$2/60</f>
        <v>7.216666667</v>
      </c>
      <c r="H45" s="45">
        <f t="shared" ref="H45:H62" si="17">MAX(0,1-G45/$B$7)</f>
        <v>0.9518888889</v>
      </c>
      <c r="I45" s="46" t="s">
        <v>193</v>
      </c>
      <c r="J45" s="39"/>
      <c r="K45" s="39"/>
      <c r="L45" s="39"/>
      <c r="M45" s="39"/>
      <c r="N45" s="39"/>
      <c r="O45" s="40"/>
    </row>
    <row r="46" ht="15.0" customHeight="1">
      <c r="A46" s="21" t="str">
        <f t="shared" ref="A46:B46" si="14">A20</f>
        <v>2</v>
      </c>
      <c r="B46" s="4" t="str">
        <f t="shared" si="14"/>
        <v>Corte de chapa (guillotina)</v>
      </c>
      <c r="C46" s="41">
        <v>0.5</v>
      </c>
      <c r="D46" s="42">
        <v>6.0</v>
      </c>
      <c r="E46" s="41">
        <f>5+20</f>
        <v>25</v>
      </c>
      <c r="F46" s="44">
        <f t="shared" si="15"/>
        <v>28</v>
      </c>
      <c r="G46" s="23">
        <f t="shared" si="16"/>
        <v>9.333333333</v>
      </c>
      <c r="H46" s="45">
        <f t="shared" si="17"/>
        <v>0.9377777778</v>
      </c>
      <c r="I46" s="46" t="s">
        <v>194</v>
      </c>
      <c r="J46" s="39"/>
      <c r="K46" s="39"/>
      <c r="L46" s="39"/>
      <c r="M46" s="39"/>
      <c r="N46" s="39"/>
      <c r="O46" s="40"/>
    </row>
    <row r="47" ht="15.0" customHeight="1">
      <c r="A47" s="21" t="str">
        <f t="shared" ref="A47:B47" si="18">A21</f>
        <v>2.1</v>
      </c>
      <c r="B47" s="4" t="str">
        <f t="shared" si="18"/>
        <v>Marcado del cuerpo</v>
      </c>
      <c r="C47" s="41">
        <v>0.5</v>
      </c>
      <c r="D47" s="42">
        <v>3.0</v>
      </c>
      <c r="E47" s="41">
        <v>4.0</v>
      </c>
      <c r="F47" s="44">
        <f t="shared" si="15"/>
        <v>5.5</v>
      </c>
      <c r="G47" s="23">
        <f t="shared" si="16"/>
        <v>1.833333333</v>
      </c>
      <c r="H47" s="45">
        <f t="shared" si="17"/>
        <v>0.9877777778</v>
      </c>
      <c r="I47" s="46" t="s">
        <v>195</v>
      </c>
      <c r="J47" s="39"/>
      <c r="K47" s="39"/>
      <c r="L47" s="39"/>
      <c r="M47" s="39"/>
      <c r="N47" s="39"/>
      <c r="O47" s="40"/>
    </row>
    <row r="48" ht="15.0" customHeight="1">
      <c r="A48" s="21" t="str">
        <f t="shared" ref="A48:B48" si="19">A22</f>
        <v>3</v>
      </c>
      <c r="B48" s="4" t="str">
        <f t="shared" si="19"/>
        <v>Cilindrado</v>
      </c>
      <c r="C48" s="41">
        <v>4.0</v>
      </c>
      <c r="D48" s="42">
        <v>3.0</v>
      </c>
      <c r="E48" s="41">
        <v>6.0</v>
      </c>
      <c r="F48" s="44">
        <f t="shared" si="15"/>
        <v>18</v>
      </c>
      <c r="G48" s="23">
        <f t="shared" si="16"/>
        <v>6</v>
      </c>
      <c r="H48" s="45">
        <f t="shared" si="17"/>
        <v>0.96</v>
      </c>
      <c r="I48" s="46" t="s">
        <v>196</v>
      </c>
      <c r="J48" s="39"/>
      <c r="K48" s="39"/>
      <c r="L48" s="39"/>
      <c r="M48" s="39"/>
      <c r="N48" s="39"/>
      <c r="O48" s="40"/>
    </row>
    <row r="49" ht="15.0" customHeight="1">
      <c r="A49" s="21" t="str">
        <f t="shared" ref="A49:B49" si="20">A23</f>
        <v>4</v>
      </c>
      <c r="B49" s="4" t="str">
        <f t="shared" si="20"/>
        <v>Punteo del cuerpo</v>
      </c>
      <c r="C49" s="41">
        <v>0.0</v>
      </c>
      <c r="D49" s="42">
        <v>0.0</v>
      </c>
      <c r="E49" s="41">
        <v>5.0</v>
      </c>
      <c r="F49" s="44">
        <f t="shared" si="15"/>
        <v>5</v>
      </c>
      <c r="G49" s="23">
        <f t="shared" si="16"/>
        <v>1.666666667</v>
      </c>
      <c r="H49" s="45">
        <f t="shared" si="17"/>
        <v>0.9888888889</v>
      </c>
      <c r="I49" s="46" t="s">
        <v>197</v>
      </c>
      <c r="J49" s="39"/>
      <c r="K49" s="39"/>
      <c r="L49" s="39"/>
      <c r="M49" s="39"/>
      <c r="N49" s="39"/>
      <c r="O49" s="40"/>
    </row>
    <row r="50" ht="15.0" customHeight="1">
      <c r="A50" s="21" t="str">
        <f t="shared" ref="A50:B50" si="21">A24</f>
        <v>5</v>
      </c>
      <c r="B50" s="4" t="str">
        <f t="shared" si="21"/>
        <v>Soldadura longitudinal</v>
      </c>
      <c r="C50" s="41">
        <v>1.0</v>
      </c>
      <c r="D50" s="42">
        <v>3.0</v>
      </c>
      <c r="E50" s="41">
        <v>5.0</v>
      </c>
      <c r="F50" s="44">
        <f t="shared" si="15"/>
        <v>8</v>
      </c>
      <c r="G50" s="23">
        <f t="shared" si="16"/>
        <v>2.666666667</v>
      </c>
      <c r="H50" s="45">
        <f t="shared" si="17"/>
        <v>0.9822222222</v>
      </c>
      <c r="I50" s="46" t="s">
        <v>198</v>
      </c>
      <c r="J50" s="39"/>
      <c r="K50" s="39"/>
      <c r="L50" s="39"/>
      <c r="M50" s="39"/>
      <c r="N50" s="39"/>
      <c r="O50" s="40"/>
    </row>
    <row r="51" ht="30.0" customHeight="1">
      <c r="A51" s="21" t="str">
        <f t="shared" ref="A51:B51" si="22">A25</f>
        <v>6</v>
      </c>
      <c r="B51" s="4" t="str">
        <f t="shared" si="22"/>
        <v>Soldadura de cupla en la cúpula</v>
      </c>
      <c r="C51" s="41">
        <v>2.0</v>
      </c>
      <c r="D51" s="42">
        <v>2.0</v>
      </c>
      <c r="E51" s="41">
        <v>5.0</v>
      </c>
      <c r="F51" s="44">
        <f t="shared" si="15"/>
        <v>9</v>
      </c>
      <c r="G51" s="23">
        <f t="shared" si="16"/>
        <v>3</v>
      </c>
      <c r="H51" s="45">
        <f t="shared" si="17"/>
        <v>0.98</v>
      </c>
      <c r="I51" s="46" t="s">
        <v>199</v>
      </c>
      <c r="J51" s="39"/>
      <c r="K51" s="39"/>
      <c r="L51" s="39"/>
      <c r="M51" s="39"/>
      <c r="N51" s="39"/>
      <c r="O51" s="40"/>
    </row>
    <row r="52" ht="30.0" customHeight="1">
      <c r="A52" s="21" t="str">
        <f t="shared" ref="A52:B52" si="23">A26</f>
        <v>7</v>
      </c>
      <c r="B52" s="4" t="str">
        <f t="shared" si="23"/>
        <v>Armado y soldadura circunferencial</v>
      </c>
      <c r="C52" s="41">
        <v>2.0</v>
      </c>
      <c r="D52" s="42">
        <v>2.0</v>
      </c>
      <c r="E52" s="41">
        <v>5.0</v>
      </c>
      <c r="F52" s="44">
        <f t="shared" si="15"/>
        <v>9</v>
      </c>
      <c r="G52" s="23">
        <f t="shared" si="16"/>
        <v>3</v>
      </c>
      <c r="H52" s="45">
        <f t="shared" si="17"/>
        <v>0.98</v>
      </c>
      <c r="I52" s="46" t="s">
        <v>200</v>
      </c>
      <c r="J52" s="39"/>
      <c r="K52" s="39"/>
      <c r="L52" s="39"/>
      <c r="M52" s="39"/>
      <c r="N52" s="39"/>
      <c r="O52" s="40"/>
    </row>
    <row r="53" ht="15.0" customHeight="1">
      <c r="A53" s="21" t="str">
        <f t="shared" ref="A53:B53" si="24">A27</f>
        <v>8</v>
      </c>
      <c r="B53" s="4" t="str">
        <f t="shared" si="24"/>
        <v>Soldadura de accesorios</v>
      </c>
      <c r="C53" s="41">
        <v>2.0</v>
      </c>
      <c r="D53" s="42">
        <v>2.0</v>
      </c>
      <c r="E53" s="41">
        <v>5.0</v>
      </c>
      <c r="F53" s="44">
        <f t="shared" si="15"/>
        <v>9</v>
      </c>
      <c r="G53" s="23">
        <f t="shared" si="16"/>
        <v>3</v>
      </c>
      <c r="H53" s="45">
        <f t="shared" si="17"/>
        <v>0.98</v>
      </c>
      <c r="I53" s="46" t="s">
        <v>201</v>
      </c>
      <c r="J53" s="39"/>
      <c r="K53" s="39"/>
      <c r="L53" s="39"/>
      <c r="M53" s="39"/>
      <c r="N53" s="39"/>
      <c r="O53" s="40"/>
    </row>
    <row r="54" ht="15.0" customHeight="1">
      <c r="A54" s="21" t="str">
        <f t="shared" ref="A54:B54" si="25">A28</f>
        <v>8.1</v>
      </c>
      <c r="B54" s="4" t="str">
        <f t="shared" si="25"/>
        <v>Fabricación de accesorios</v>
      </c>
      <c r="C54" s="41">
        <v>2.0</v>
      </c>
      <c r="D54" s="42">
        <v>3.0</v>
      </c>
      <c r="E54" s="41">
        <f>6+3</f>
        <v>9</v>
      </c>
      <c r="F54" s="44">
        <f t="shared" si="15"/>
        <v>15</v>
      </c>
      <c r="G54" s="23">
        <f t="shared" si="16"/>
        <v>5</v>
      </c>
      <c r="H54" s="45">
        <f t="shared" si="17"/>
        <v>0.9666666667</v>
      </c>
      <c r="I54" s="46" t="s">
        <v>202</v>
      </c>
      <c r="J54" s="39"/>
      <c r="K54" s="39"/>
      <c r="L54" s="39"/>
      <c r="M54" s="39"/>
      <c r="N54" s="39"/>
      <c r="O54" s="40"/>
    </row>
    <row r="55" ht="15.0" customHeight="1">
      <c r="A55" s="21" t="str">
        <f t="shared" ref="A55:B55" si="26">A29</f>
        <v>9</v>
      </c>
      <c r="B55" s="4" t="str">
        <f t="shared" si="26"/>
        <v>Prueba hidráulica</v>
      </c>
      <c r="C55" s="41">
        <v>0.0</v>
      </c>
      <c r="D55" s="42">
        <v>0.0</v>
      </c>
      <c r="E55" s="41">
        <v>10.0</v>
      </c>
      <c r="F55" s="44">
        <f t="shared" si="15"/>
        <v>10</v>
      </c>
      <c r="G55" s="23">
        <f t="shared" si="16"/>
        <v>3.333333333</v>
      </c>
      <c r="H55" s="45">
        <f t="shared" si="17"/>
        <v>0.9777777778</v>
      </c>
      <c r="I55" s="46" t="s">
        <v>203</v>
      </c>
      <c r="J55" s="39"/>
      <c r="K55" s="39"/>
      <c r="L55" s="39"/>
      <c r="M55" s="39"/>
      <c r="N55" s="39"/>
      <c r="O55" s="40"/>
    </row>
    <row r="56" ht="15.0" customHeight="1">
      <c r="A56" s="21" t="str">
        <f t="shared" ref="A56:B56" si="27">A30</f>
        <v>10</v>
      </c>
      <c r="B56" s="4" t="str">
        <f t="shared" si="27"/>
        <v>Secado</v>
      </c>
      <c r="C56" s="41">
        <v>0.0</v>
      </c>
      <c r="D56" s="42">
        <v>0.0</v>
      </c>
      <c r="E56" s="41">
        <v>0.0</v>
      </c>
      <c r="F56" s="44">
        <f t="shared" si="15"/>
        <v>0</v>
      </c>
      <c r="G56" s="23">
        <f t="shared" si="16"/>
        <v>0</v>
      </c>
      <c r="H56" s="45">
        <f t="shared" si="17"/>
        <v>1</v>
      </c>
      <c r="I56" s="46" t="s">
        <v>204</v>
      </c>
      <c r="J56" s="39"/>
      <c r="K56" s="39"/>
      <c r="L56" s="39"/>
      <c r="M56" s="39"/>
      <c r="N56" s="39"/>
      <c r="O56" s="40"/>
    </row>
    <row r="57" ht="30.0" customHeight="1">
      <c r="A57" s="21" t="str">
        <f t="shared" ref="A57:B57" si="28">A31</f>
        <v>11</v>
      </c>
      <c r="B57" s="4" t="str">
        <f t="shared" si="28"/>
        <v>Pulmón de despacho y carga a pintura</v>
      </c>
      <c r="C57" s="41">
        <v>0.0</v>
      </c>
      <c r="D57" s="42">
        <v>0.0</v>
      </c>
      <c r="E57" s="41">
        <f t="shared" ref="E57:E58" si="30">2*10/5</f>
        <v>4</v>
      </c>
      <c r="F57" s="44">
        <f t="shared" si="15"/>
        <v>4</v>
      </c>
      <c r="G57" s="23">
        <f t="shared" si="16"/>
        <v>1.333333333</v>
      </c>
      <c r="H57" s="45">
        <f t="shared" si="17"/>
        <v>0.9911111111</v>
      </c>
      <c r="I57" s="46" t="s">
        <v>205</v>
      </c>
      <c r="J57" s="39"/>
      <c r="K57" s="39"/>
      <c r="L57" s="39"/>
      <c r="M57" s="39"/>
      <c r="N57" s="39"/>
      <c r="O57" s="40"/>
    </row>
    <row r="58" ht="30.0" customHeight="1">
      <c r="A58" s="21" t="str">
        <f t="shared" ref="A58:B58" si="29">A32</f>
        <v>12</v>
      </c>
      <c r="B58" s="4" t="str">
        <f t="shared" si="29"/>
        <v>Recepción de pintados y cambio de juego</v>
      </c>
      <c r="C58" s="41">
        <v>0.0</v>
      </c>
      <c r="D58" s="42">
        <v>0.0</v>
      </c>
      <c r="E58" s="41">
        <f t="shared" si="30"/>
        <v>4</v>
      </c>
      <c r="F58" s="44">
        <f t="shared" si="15"/>
        <v>4</v>
      </c>
      <c r="G58" s="23">
        <f t="shared" si="16"/>
        <v>1.333333333</v>
      </c>
      <c r="H58" s="45">
        <f t="shared" si="17"/>
        <v>0.9911111111</v>
      </c>
      <c r="I58" s="46" t="s">
        <v>205</v>
      </c>
      <c r="J58" s="39"/>
      <c r="K58" s="39"/>
      <c r="L58" s="39"/>
      <c r="M58" s="39"/>
      <c r="N58" s="39"/>
      <c r="O58" s="40"/>
    </row>
    <row r="59" ht="30.0" customHeight="1">
      <c r="A59" s="21" t="str">
        <f t="shared" ref="A59:B59" si="31">A33</f>
        <v>13 B</v>
      </c>
      <c r="B59" s="4" t="str">
        <f t="shared" si="31"/>
        <v>Carga de polvo y presurización</v>
      </c>
      <c r="C59" s="41">
        <v>0.0</v>
      </c>
      <c r="D59" s="42">
        <v>0.0</v>
      </c>
      <c r="E59" s="41">
        <f>32+16</f>
        <v>48</v>
      </c>
      <c r="F59" s="44">
        <f t="shared" si="15"/>
        <v>48</v>
      </c>
      <c r="G59" s="23">
        <f t="shared" si="16"/>
        <v>16</v>
      </c>
      <c r="H59" s="45">
        <f t="shared" si="17"/>
        <v>0.8933333333</v>
      </c>
      <c r="I59" s="46" t="s">
        <v>206</v>
      </c>
      <c r="J59" s="39"/>
      <c r="K59" s="39"/>
      <c r="L59" s="39"/>
      <c r="M59" s="39"/>
      <c r="N59" s="39"/>
      <c r="O59" s="40"/>
    </row>
    <row r="60" ht="30.0" customHeight="1">
      <c r="A60" s="21" t="str">
        <f t="shared" ref="A60:B60" si="32">A34</f>
        <v>13 A-C / 15</v>
      </c>
      <c r="B60" s="4" t="str">
        <f t="shared" si="32"/>
        <v>Montaje, manga, precinto y etiquetado</v>
      </c>
      <c r="C60" s="41">
        <v>0.0</v>
      </c>
      <c r="D60" s="42">
        <v>0.0</v>
      </c>
      <c r="E60" s="41">
        <v>21.0</v>
      </c>
      <c r="F60" s="44">
        <f t="shared" si="15"/>
        <v>21</v>
      </c>
      <c r="G60" s="23">
        <f t="shared" si="16"/>
        <v>7</v>
      </c>
      <c r="H60" s="45">
        <f t="shared" si="17"/>
        <v>0.9533333333</v>
      </c>
      <c r="I60" s="46" t="s">
        <v>207</v>
      </c>
      <c r="J60" s="39"/>
      <c r="K60" s="39"/>
      <c r="L60" s="39"/>
      <c r="M60" s="39"/>
      <c r="N60" s="39"/>
      <c r="O60" s="40"/>
    </row>
    <row r="61" ht="45.0" customHeight="1">
      <c r="A61" s="21" t="str">
        <f t="shared" ref="A61:B61" si="33">A35</f>
        <v>14-17</v>
      </c>
      <c r="B61" s="4" t="str">
        <f t="shared" si="33"/>
        <v>Calidad: pérdidas, inspección final, liberación y ensayos de lote</v>
      </c>
      <c r="C61" s="41">
        <v>0.0</v>
      </c>
      <c r="D61" s="42">
        <v>0.0</v>
      </c>
      <c r="E61" s="41">
        <f>15*2/5+20/5+5+10*4/5+(115+243+27+273+60)/5</f>
        <v>166.6</v>
      </c>
      <c r="F61" s="44">
        <f t="shared" si="15"/>
        <v>166.6</v>
      </c>
      <c r="G61" s="23">
        <f t="shared" si="16"/>
        <v>55.53333333</v>
      </c>
      <c r="H61" s="45">
        <f t="shared" si="17"/>
        <v>0.6297777778</v>
      </c>
      <c r="I61" s="46" t="s">
        <v>208</v>
      </c>
      <c r="J61" s="39"/>
      <c r="K61" s="39"/>
      <c r="L61" s="39"/>
      <c r="M61" s="39"/>
      <c r="N61" s="39"/>
      <c r="O61" s="40"/>
    </row>
    <row r="62" ht="30.0" customHeight="1">
      <c r="A62" s="21" t="str">
        <f t="shared" ref="A62:B62" si="34">A36</f>
        <v>16</v>
      </c>
      <c r="B62" s="4" t="str">
        <f t="shared" si="34"/>
        <v>Depósito de producto terminado y despacho</v>
      </c>
      <c r="C62" s="41">
        <v>0.0</v>
      </c>
      <c r="D62" s="42">
        <v>0.0</v>
      </c>
      <c r="E62" s="41">
        <f>10*5/5</f>
        <v>10</v>
      </c>
      <c r="F62" s="44">
        <f t="shared" si="15"/>
        <v>10</v>
      </c>
      <c r="G62" s="23">
        <f t="shared" si="16"/>
        <v>3.333333333</v>
      </c>
      <c r="H62" s="45">
        <f t="shared" si="17"/>
        <v>0.9777777778</v>
      </c>
      <c r="I62" s="46" t="s">
        <v>209</v>
      </c>
      <c r="J62" s="39"/>
      <c r="K62" s="39"/>
      <c r="L62" s="39"/>
      <c r="M62" s="39"/>
      <c r="N62" s="39"/>
      <c r="O62" s="40"/>
    </row>
    <row r="63" ht="14.25" customHeight="1"/>
    <row r="64" ht="14.25" customHeight="1">
      <c r="A64" s="37" t="s">
        <v>210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A38:O38"/>
    <mergeCell ref="A39:O39"/>
    <mergeCell ref="A40:O40"/>
    <mergeCell ref="A41:O41"/>
    <mergeCell ref="A42:O42"/>
    <mergeCell ref="I44:O44"/>
    <mergeCell ref="I45:O45"/>
    <mergeCell ref="I46:O46"/>
    <mergeCell ref="I47:O47"/>
    <mergeCell ref="I48:O48"/>
    <mergeCell ref="I49:O49"/>
    <mergeCell ref="I50:O50"/>
    <mergeCell ref="I51:O51"/>
    <mergeCell ref="I52:O52"/>
    <mergeCell ref="I60:O60"/>
    <mergeCell ref="I61:O61"/>
    <mergeCell ref="I62:O62"/>
    <mergeCell ref="A64:I64"/>
    <mergeCell ref="I53:O53"/>
    <mergeCell ref="I54:O54"/>
    <mergeCell ref="I55:O55"/>
    <mergeCell ref="I56:O56"/>
    <mergeCell ref="I57:O57"/>
    <mergeCell ref="I58:O58"/>
    <mergeCell ref="I59:O5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3" width="11.0"/>
    <col customWidth="1" min="4" max="16" width="10.0"/>
    <col customWidth="1" min="17" max="26" width="8.86"/>
  </cols>
  <sheetData>
    <row r="1" ht="14.25" customHeight="1">
      <c r="A1" s="1">
        <v>2026.0</v>
      </c>
      <c r="B1" s="1" t="s">
        <v>3</v>
      </c>
      <c r="C1" s="1" t="s">
        <v>5</v>
      </c>
      <c r="D1" s="1" t="s">
        <v>8</v>
      </c>
      <c r="E1" s="1" t="s">
        <v>9</v>
      </c>
      <c r="F1" s="1" t="s">
        <v>11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</row>
    <row r="2" ht="14.25" customHeight="1">
      <c r="A2" s="5">
        <v>2026.0</v>
      </c>
      <c r="B2" s="2" t="s">
        <v>1</v>
      </c>
      <c r="C2" s="2" t="s">
        <v>28</v>
      </c>
      <c r="D2" s="9">
        <f>datos_base!$B$2*parametros_carros!B$12</f>
        <v>2.89</v>
      </c>
      <c r="E2" s="9">
        <f>datos_base!$B$2*parametros_carros!C$12</f>
        <v>2.55</v>
      </c>
      <c r="F2" s="9">
        <f>datos_base!$B$2*parametros_carros!D$12</f>
        <v>3.06</v>
      </c>
      <c r="G2" s="9">
        <f>datos_base!$B$2*parametros_carros!E$12</f>
        <v>3.06</v>
      </c>
      <c r="H2" s="9">
        <f>datos_base!$B$2*parametros_carros!F$12</f>
        <v>3.06</v>
      </c>
      <c r="I2" s="9">
        <f>datos_base!$B$2*parametros_carros!G$12</f>
        <v>2.72</v>
      </c>
      <c r="J2" s="9">
        <f>datos_base!$B$2*parametros_carros!H$12</f>
        <v>3.06</v>
      </c>
      <c r="K2" s="9">
        <f>datos_base!$B$2*parametros_carros!I$12</f>
        <v>3.06</v>
      </c>
      <c r="L2" s="9">
        <f>datos_base!$B$2*parametros_carros!J$12</f>
        <v>2.89</v>
      </c>
      <c r="M2" s="9">
        <f>datos_base!$B$2*parametros_carros!K$12</f>
        <v>2.55</v>
      </c>
      <c r="N2" s="9">
        <f>datos_base!$B$2*parametros_carros!L$12</f>
        <v>2.38</v>
      </c>
      <c r="O2" s="9">
        <f>datos_base!$B$2*parametros_carros!M$12</f>
        <v>2.72</v>
      </c>
      <c r="P2" s="17">
        <f t="shared" ref="P2:P9" si="1">SUM(D2:O2)</f>
        <v>34</v>
      </c>
    </row>
    <row r="3" ht="14.25" customHeight="1">
      <c r="A3" s="5">
        <v>2026.0</v>
      </c>
      <c r="B3" s="2" t="s">
        <v>7</v>
      </c>
      <c r="C3" s="2" t="s">
        <v>28</v>
      </c>
      <c r="D3" s="9">
        <f>datos_base!$B$3*parametros_carros!B$13</f>
        <v>6.375</v>
      </c>
      <c r="E3" s="9">
        <f>datos_base!$B$3*parametros_carros!C$13</f>
        <v>5.625</v>
      </c>
      <c r="F3" s="9">
        <f>datos_base!$B$3*parametros_carros!D$13</f>
        <v>6.75</v>
      </c>
      <c r="G3" s="9">
        <f>datos_base!$B$3*parametros_carros!E$13</f>
        <v>6.75</v>
      </c>
      <c r="H3" s="9">
        <f>datos_base!$B$3*parametros_carros!F$13</f>
        <v>6.75</v>
      </c>
      <c r="I3" s="9">
        <f>datos_base!$B$3*parametros_carros!G$13</f>
        <v>6</v>
      </c>
      <c r="J3" s="9">
        <f>datos_base!$B$3*parametros_carros!H$13</f>
        <v>6.75</v>
      </c>
      <c r="K3" s="9">
        <f>datos_base!$B$3*parametros_carros!I$13</f>
        <v>6.75</v>
      </c>
      <c r="L3" s="9">
        <f>datos_base!$B$3*parametros_carros!J$13</f>
        <v>6.375</v>
      </c>
      <c r="M3" s="9">
        <f>datos_base!$B$3*parametros_carros!K$13</f>
        <v>5.625</v>
      </c>
      <c r="N3" s="9">
        <f>datos_base!$B$3*parametros_carros!L$13</f>
        <v>5.25</v>
      </c>
      <c r="O3" s="9">
        <f>datos_base!$B$3*parametros_carros!M$13</f>
        <v>6</v>
      </c>
      <c r="P3" s="17">
        <f t="shared" si="1"/>
        <v>75</v>
      </c>
    </row>
    <row r="4" ht="14.25" customHeight="1">
      <c r="A4" s="5">
        <v>2026.0</v>
      </c>
      <c r="B4" s="2" t="s">
        <v>12</v>
      </c>
      <c r="C4" s="2" t="s">
        <v>28</v>
      </c>
      <c r="D4" s="9">
        <f>datos_base!$B$4*parametros_carros!B$14</f>
        <v>1.36</v>
      </c>
      <c r="E4" s="9">
        <f>datos_base!$B$4*parametros_carros!C$14</f>
        <v>1.2</v>
      </c>
      <c r="F4" s="9">
        <f>datos_base!$B$4*parametros_carros!D$14</f>
        <v>1.44</v>
      </c>
      <c r="G4" s="9">
        <f>datos_base!$B$4*parametros_carros!E$14</f>
        <v>1.44</v>
      </c>
      <c r="H4" s="9">
        <f>datos_base!$B$4*parametros_carros!F$14</f>
        <v>1.44</v>
      </c>
      <c r="I4" s="9">
        <f>datos_base!$B$4*parametros_carros!G$14</f>
        <v>1.28</v>
      </c>
      <c r="J4" s="9">
        <f>datos_base!$B$4*parametros_carros!H$14</f>
        <v>1.44</v>
      </c>
      <c r="K4" s="9">
        <f>datos_base!$B$4*parametros_carros!I$14</f>
        <v>1.44</v>
      </c>
      <c r="L4" s="9">
        <f>datos_base!$B$4*parametros_carros!J$14</f>
        <v>1.36</v>
      </c>
      <c r="M4" s="9">
        <f>datos_base!$B$4*parametros_carros!K$14</f>
        <v>1.2</v>
      </c>
      <c r="N4" s="9">
        <f>datos_base!$B$4*parametros_carros!L$14</f>
        <v>1.12</v>
      </c>
      <c r="O4" s="9">
        <f>datos_base!$B$4*parametros_carros!M$14</f>
        <v>1.28</v>
      </c>
      <c r="P4" s="17">
        <f t="shared" si="1"/>
        <v>16</v>
      </c>
    </row>
    <row r="5" ht="14.25" customHeight="1">
      <c r="A5" s="5">
        <v>2026.0</v>
      </c>
      <c r="B5" s="2" t="s">
        <v>17</v>
      </c>
      <c r="C5" s="2" t="s">
        <v>28</v>
      </c>
      <c r="D5" s="9">
        <f>datos_base!$B$5*parametros_carros!B$15</f>
        <v>0.935</v>
      </c>
      <c r="E5" s="9">
        <f>datos_base!$B$5*parametros_carros!C$15</f>
        <v>0.825</v>
      </c>
      <c r="F5" s="9">
        <f>datos_base!$B$5*parametros_carros!D$15</f>
        <v>0.99</v>
      </c>
      <c r="G5" s="9">
        <f>datos_base!$B$5*parametros_carros!E$15</f>
        <v>0.99</v>
      </c>
      <c r="H5" s="9">
        <f>datos_base!$B$5*parametros_carros!F$15</f>
        <v>0.99</v>
      </c>
      <c r="I5" s="9">
        <f>datos_base!$B$5*parametros_carros!G$15</f>
        <v>0.88</v>
      </c>
      <c r="J5" s="9">
        <f>datos_base!$B$5*parametros_carros!H$15</f>
        <v>0.99</v>
      </c>
      <c r="K5" s="9">
        <f>datos_base!$B$5*parametros_carros!I$15</f>
        <v>0.99</v>
      </c>
      <c r="L5" s="9">
        <f>datos_base!$B$5*parametros_carros!J$15</f>
        <v>0.935</v>
      </c>
      <c r="M5" s="9">
        <f>datos_base!$B$5*parametros_carros!K$15</f>
        <v>0.825</v>
      </c>
      <c r="N5" s="9">
        <f>datos_base!$B$5*parametros_carros!L$15</f>
        <v>0.77</v>
      </c>
      <c r="O5" s="9">
        <f>datos_base!$B$5*parametros_carros!M$15</f>
        <v>0.88</v>
      </c>
      <c r="P5" s="17">
        <f t="shared" si="1"/>
        <v>11</v>
      </c>
    </row>
    <row r="6" ht="14.25" customHeight="1">
      <c r="A6" s="5">
        <v>2026.0</v>
      </c>
      <c r="B6" s="2" t="s">
        <v>42</v>
      </c>
      <c r="C6" s="2" t="s">
        <v>108</v>
      </c>
      <c r="D6" s="9">
        <f>datos_base!$B$9*parametros_carros!B$12</f>
        <v>0</v>
      </c>
      <c r="E6" s="9">
        <f>datos_base!$B$9*parametros_carros!C$12</f>
        <v>0</v>
      </c>
      <c r="F6" s="9">
        <f>datos_base!$B$9*parametros_carros!D$12</f>
        <v>0</v>
      </c>
      <c r="G6" s="9">
        <f>datos_base!$B$9*parametros_carros!E$12</f>
        <v>0</v>
      </c>
      <c r="H6" s="9">
        <f>datos_base!$B$9*parametros_carros!F$12</f>
        <v>0</v>
      </c>
      <c r="I6" s="9">
        <f>datos_base!$B$9*parametros_carros!G$12</f>
        <v>0</v>
      </c>
      <c r="J6" s="9">
        <f>datos_base!$B$9*parametros_carros!H$12</f>
        <v>0</v>
      </c>
      <c r="K6" s="9">
        <f>datos_base!$B$9*parametros_carros!I$12</f>
        <v>0</v>
      </c>
      <c r="L6" s="9">
        <f>datos_base!$B$9*parametros_carros!J$12</f>
        <v>0</v>
      </c>
      <c r="M6" s="9">
        <f>datos_base!$B$9*parametros_carros!K$12</f>
        <v>0</v>
      </c>
      <c r="N6" s="9">
        <f>datos_base!$B$9*parametros_carros!L$12</f>
        <v>0</v>
      </c>
      <c r="O6" s="9">
        <f>datos_base!$B$9*parametros_carros!M$12</f>
        <v>0</v>
      </c>
      <c r="P6" s="17">
        <f t="shared" si="1"/>
        <v>0</v>
      </c>
    </row>
    <row r="7" ht="14.25" customHeight="1">
      <c r="A7" s="5">
        <v>2026.0</v>
      </c>
      <c r="B7" s="2" t="s">
        <v>43</v>
      </c>
      <c r="C7" s="2" t="s">
        <v>108</v>
      </c>
      <c r="D7" s="9">
        <f>datos_base!$B$10*parametros_carros!B$13</f>
        <v>0</v>
      </c>
      <c r="E7" s="9">
        <f>datos_base!$B$10*parametros_carros!C$13</f>
        <v>0</v>
      </c>
      <c r="F7" s="9">
        <f>datos_base!$B$10*parametros_carros!D$13</f>
        <v>0</v>
      </c>
      <c r="G7" s="9">
        <f>datos_base!$B$10*parametros_carros!E$13</f>
        <v>0</v>
      </c>
      <c r="H7" s="9">
        <f>datos_base!$B$10*parametros_carros!F$13</f>
        <v>0</v>
      </c>
      <c r="I7" s="9">
        <f>datos_base!$B$10*parametros_carros!G$13</f>
        <v>0</v>
      </c>
      <c r="J7" s="9">
        <f>datos_base!$B$10*parametros_carros!H$13</f>
        <v>0</v>
      </c>
      <c r="K7" s="9">
        <f>datos_base!$B$10*parametros_carros!I$13</f>
        <v>0</v>
      </c>
      <c r="L7" s="9">
        <f>datos_base!$B$10*parametros_carros!J$13</f>
        <v>0</v>
      </c>
      <c r="M7" s="9">
        <f>datos_base!$B$10*parametros_carros!K$13</f>
        <v>0</v>
      </c>
      <c r="N7" s="9">
        <f>datos_base!$B$10*parametros_carros!L$13</f>
        <v>0</v>
      </c>
      <c r="O7" s="9">
        <f>datos_base!$B$10*parametros_carros!M$13</f>
        <v>0</v>
      </c>
      <c r="P7" s="17">
        <f t="shared" si="1"/>
        <v>0</v>
      </c>
    </row>
    <row r="8" ht="14.25" customHeight="1">
      <c r="A8" s="5">
        <v>2026.0</v>
      </c>
      <c r="B8" s="2" t="s">
        <v>44</v>
      </c>
      <c r="C8" s="2" t="s">
        <v>108</v>
      </c>
      <c r="D8" s="9">
        <f>datos_base!$B$11*parametros_carros!B$14</f>
        <v>0</v>
      </c>
      <c r="E8" s="9">
        <f>datos_base!$B$11*parametros_carros!C$14</f>
        <v>0</v>
      </c>
      <c r="F8" s="9">
        <f>datos_base!$B$11*parametros_carros!D$14</f>
        <v>0</v>
      </c>
      <c r="G8" s="9">
        <f>datos_base!$B$11*parametros_carros!E$14</f>
        <v>0</v>
      </c>
      <c r="H8" s="9">
        <f>datos_base!$B$11*parametros_carros!F$14</f>
        <v>0</v>
      </c>
      <c r="I8" s="9">
        <f>datos_base!$B$11*parametros_carros!G$14</f>
        <v>0</v>
      </c>
      <c r="J8" s="9">
        <f>datos_base!$B$11*parametros_carros!H$14</f>
        <v>0</v>
      </c>
      <c r="K8" s="9">
        <f>datos_base!$B$11*parametros_carros!I$14</f>
        <v>0</v>
      </c>
      <c r="L8" s="9">
        <f>datos_base!$B$11*parametros_carros!J$14</f>
        <v>0</v>
      </c>
      <c r="M8" s="9">
        <f>datos_base!$B$11*parametros_carros!K$14</f>
        <v>0</v>
      </c>
      <c r="N8" s="9">
        <f>datos_base!$B$11*parametros_carros!L$14</f>
        <v>0</v>
      </c>
      <c r="O8" s="9">
        <f>datos_base!$B$11*parametros_carros!M$14</f>
        <v>0</v>
      </c>
      <c r="P8" s="17">
        <f t="shared" si="1"/>
        <v>0</v>
      </c>
    </row>
    <row r="9" ht="14.25" customHeight="1">
      <c r="A9" s="5">
        <v>2026.0</v>
      </c>
      <c r="B9" s="2" t="s">
        <v>45</v>
      </c>
      <c r="C9" s="2" t="s">
        <v>108</v>
      </c>
      <c r="D9" s="9">
        <f>datos_base!$B$12*parametros_carros!B$15</f>
        <v>0</v>
      </c>
      <c r="E9" s="9">
        <f>datos_base!$B$12*parametros_carros!C$15</f>
        <v>0</v>
      </c>
      <c r="F9" s="9">
        <f>datos_base!$B$12*parametros_carros!D$15</f>
        <v>0</v>
      </c>
      <c r="G9" s="9">
        <f>datos_base!$B$12*parametros_carros!E$15</f>
        <v>0</v>
      </c>
      <c r="H9" s="9">
        <f>datos_base!$B$12*parametros_carros!F$15</f>
        <v>0</v>
      </c>
      <c r="I9" s="9">
        <f>datos_base!$B$12*parametros_carros!G$15</f>
        <v>0</v>
      </c>
      <c r="J9" s="9">
        <f>datos_base!$B$12*parametros_carros!H$15</f>
        <v>0</v>
      </c>
      <c r="K9" s="9">
        <f>datos_base!$B$12*parametros_carros!I$15</f>
        <v>0</v>
      </c>
      <c r="L9" s="9">
        <f>datos_base!$B$12*parametros_carros!J$15</f>
        <v>0</v>
      </c>
      <c r="M9" s="9">
        <f>datos_base!$B$12*parametros_carros!K$15</f>
        <v>0</v>
      </c>
      <c r="N9" s="9">
        <f>datos_base!$B$12*parametros_carros!L$15</f>
        <v>0</v>
      </c>
      <c r="O9" s="9">
        <f>datos_base!$B$12*parametros_carros!M$15</f>
        <v>0</v>
      </c>
      <c r="P9" s="17">
        <f t="shared" si="1"/>
        <v>0</v>
      </c>
    </row>
    <row r="10" ht="14.25" customHeight="1">
      <c r="A10" s="29"/>
      <c r="B10" s="14" t="s">
        <v>119</v>
      </c>
      <c r="C10" s="29"/>
      <c r="D10" s="30">
        <f t="shared" ref="D10:P10" si="2">SUM(D2:D9)</f>
        <v>11.56</v>
      </c>
      <c r="E10" s="30">
        <f t="shared" si="2"/>
        <v>10.2</v>
      </c>
      <c r="F10" s="30">
        <f t="shared" si="2"/>
        <v>12.24</v>
      </c>
      <c r="G10" s="30">
        <f t="shared" si="2"/>
        <v>12.24</v>
      </c>
      <c r="H10" s="30">
        <f t="shared" si="2"/>
        <v>12.24</v>
      </c>
      <c r="I10" s="30">
        <f t="shared" si="2"/>
        <v>10.88</v>
      </c>
      <c r="J10" s="30">
        <f t="shared" si="2"/>
        <v>12.24</v>
      </c>
      <c r="K10" s="30">
        <f t="shared" si="2"/>
        <v>12.24</v>
      </c>
      <c r="L10" s="30">
        <f t="shared" si="2"/>
        <v>11.56</v>
      </c>
      <c r="M10" s="30">
        <f t="shared" si="2"/>
        <v>10.2</v>
      </c>
      <c r="N10" s="30">
        <f t="shared" si="2"/>
        <v>9.52</v>
      </c>
      <c r="O10" s="30">
        <f t="shared" si="2"/>
        <v>10.88</v>
      </c>
      <c r="P10" s="30">
        <f t="shared" si="2"/>
        <v>136</v>
      </c>
    </row>
    <row r="11" ht="14.25" customHeight="1"/>
    <row r="12" ht="14.25" customHeight="1">
      <c r="A12" s="1">
        <v>2027.0</v>
      </c>
      <c r="B12" s="1" t="s">
        <v>3</v>
      </c>
      <c r="C12" s="1" t="s">
        <v>5</v>
      </c>
      <c r="D12" s="1" t="s">
        <v>8</v>
      </c>
      <c r="E12" s="1" t="s">
        <v>9</v>
      </c>
      <c r="F12" s="1" t="s">
        <v>11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18</v>
      </c>
      <c r="L12" s="1" t="s">
        <v>19</v>
      </c>
      <c r="M12" s="1" t="s">
        <v>20</v>
      </c>
      <c r="N12" s="1" t="s">
        <v>21</v>
      </c>
      <c r="O12" s="1" t="s">
        <v>22</v>
      </c>
      <c r="P12" s="1" t="s">
        <v>23</v>
      </c>
    </row>
    <row r="13" ht="14.25" customHeight="1">
      <c r="A13" s="5">
        <v>2027.0</v>
      </c>
      <c r="B13" s="2" t="s">
        <v>1</v>
      </c>
      <c r="C13" s="2" t="s">
        <v>28</v>
      </c>
      <c r="D13" s="9">
        <f>datos_base!$C$2*parametros_carros!B$12</f>
        <v>4.93</v>
      </c>
      <c r="E13" s="9">
        <f>datos_base!$C$2*parametros_carros!C$12</f>
        <v>4.35</v>
      </c>
      <c r="F13" s="9">
        <f>datos_base!$C$2*parametros_carros!D$12</f>
        <v>5.22</v>
      </c>
      <c r="G13" s="9">
        <f>datos_base!$C$2*parametros_carros!E$12</f>
        <v>5.22</v>
      </c>
      <c r="H13" s="9">
        <f>datos_base!$C$2*parametros_carros!F$12</f>
        <v>5.22</v>
      </c>
      <c r="I13" s="9">
        <f>datos_base!$C$2*parametros_carros!G$12</f>
        <v>4.64</v>
      </c>
      <c r="J13" s="9">
        <f>datos_base!$C$2*parametros_carros!H$12</f>
        <v>5.22</v>
      </c>
      <c r="K13" s="9">
        <f>datos_base!$C$2*parametros_carros!I$12</f>
        <v>5.22</v>
      </c>
      <c r="L13" s="9">
        <f>datos_base!$C$2*parametros_carros!J$12</f>
        <v>4.93</v>
      </c>
      <c r="M13" s="9">
        <f>datos_base!$C$2*parametros_carros!K$12</f>
        <v>4.35</v>
      </c>
      <c r="N13" s="9">
        <f>datos_base!$C$2*parametros_carros!L$12</f>
        <v>4.06</v>
      </c>
      <c r="O13" s="9">
        <f>datos_base!$C$2*parametros_carros!M$12</f>
        <v>4.64</v>
      </c>
      <c r="P13" s="17">
        <f t="shared" ref="P13:P20" si="3">SUM(D13:O13)</f>
        <v>58</v>
      </c>
    </row>
    <row r="14" ht="14.25" customHeight="1">
      <c r="A14" s="5">
        <v>2027.0</v>
      </c>
      <c r="B14" s="2" t="s">
        <v>7</v>
      </c>
      <c r="C14" s="2" t="s">
        <v>28</v>
      </c>
      <c r="D14" s="9">
        <f>datos_base!$C$3*parametros_carros!B$13</f>
        <v>10.88</v>
      </c>
      <c r="E14" s="9">
        <f>datos_base!$C$3*parametros_carros!C$13</f>
        <v>9.6</v>
      </c>
      <c r="F14" s="9">
        <f>datos_base!$C$3*parametros_carros!D$13</f>
        <v>11.52</v>
      </c>
      <c r="G14" s="9">
        <f>datos_base!$C$3*parametros_carros!E$13</f>
        <v>11.52</v>
      </c>
      <c r="H14" s="9">
        <f>datos_base!$C$3*parametros_carros!F$13</f>
        <v>11.52</v>
      </c>
      <c r="I14" s="9">
        <f>datos_base!$C$3*parametros_carros!G$13</f>
        <v>10.24</v>
      </c>
      <c r="J14" s="9">
        <f>datos_base!$C$3*parametros_carros!H$13</f>
        <v>11.52</v>
      </c>
      <c r="K14" s="9">
        <f>datos_base!$C$3*parametros_carros!I$13</f>
        <v>11.52</v>
      </c>
      <c r="L14" s="9">
        <f>datos_base!$C$3*parametros_carros!J$13</f>
        <v>10.88</v>
      </c>
      <c r="M14" s="9">
        <f>datos_base!$C$3*parametros_carros!K$13</f>
        <v>9.6</v>
      </c>
      <c r="N14" s="9">
        <f>datos_base!$C$3*parametros_carros!L$13</f>
        <v>8.96</v>
      </c>
      <c r="O14" s="9">
        <f>datos_base!$C$3*parametros_carros!M$13</f>
        <v>10.24</v>
      </c>
      <c r="P14" s="17">
        <f t="shared" si="3"/>
        <v>128</v>
      </c>
    </row>
    <row r="15" ht="14.25" customHeight="1">
      <c r="A15" s="5">
        <v>2027.0</v>
      </c>
      <c r="B15" s="2" t="s">
        <v>12</v>
      </c>
      <c r="C15" s="2" t="s">
        <v>28</v>
      </c>
      <c r="D15" s="9">
        <f>datos_base!$C$4*parametros_carros!B$14</f>
        <v>2.465</v>
      </c>
      <c r="E15" s="9">
        <f>datos_base!$C$4*parametros_carros!C$14</f>
        <v>2.175</v>
      </c>
      <c r="F15" s="9">
        <f>datos_base!$C$4*parametros_carros!D$14</f>
        <v>2.61</v>
      </c>
      <c r="G15" s="9">
        <f>datos_base!$C$4*parametros_carros!E$14</f>
        <v>2.61</v>
      </c>
      <c r="H15" s="9">
        <f>datos_base!$C$4*parametros_carros!F$14</f>
        <v>2.61</v>
      </c>
      <c r="I15" s="9">
        <f>datos_base!$C$4*parametros_carros!G$14</f>
        <v>2.32</v>
      </c>
      <c r="J15" s="9">
        <f>datos_base!$C$4*parametros_carros!H$14</f>
        <v>2.61</v>
      </c>
      <c r="K15" s="9">
        <f>datos_base!$C$4*parametros_carros!I$14</f>
        <v>2.61</v>
      </c>
      <c r="L15" s="9">
        <f>datos_base!$C$4*parametros_carros!J$14</f>
        <v>2.465</v>
      </c>
      <c r="M15" s="9">
        <f>datos_base!$C$4*parametros_carros!K$14</f>
        <v>2.175</v>
      </c>
      <c r="N15" s="9">
        <f>datos_base!$C$4*parametros_carros!L$14</f>
        <v>2.03</v>
      </c>
      <c r="O15" s="9">
        <f>datos_base!$C$4*parametros_carros!M$14</f>
        <v>2.32</v>
      </c>
      <c r="P15" s="17">
        <f t="shared" si="3"/>
        <v>29</v>
      </c>
    </row>
    <row r="16" ht="14.25" customHeight="1">
      <c r="A16" s="5">
        <v>2027.0</v>
      </c>
      <c r="B16" s="2" t="s">
        <v>17</v>
      </c>
      <c r="C16" s="2" t="s">
        <v>28</v>
      </c>
      <c r="D16" s="9">
        <f>datos_base!$C$5*parametros_carros!B$15</f>
        <v>1.53</v>
      </c>
      <c r="E16" s="9">
        <f>datos_base!$C$5*parametros_carros!C$15</f>
        <v>1.35</v>
      </c>
      <c r="F16" s="9">
        <f>datos_base!$C$5*parametros_carros!D$15</f>
        <v>1.62</v>
      </c>
      <c r="G16" s="9">
        <f>datos_base!$C$5*parametros_carros!E$15</f>
        <v>1.62</v>
      </c>
      <c r="H16" s="9">
        <f>datos_base!$C$5*parametros_carros!F$15</f>
        <v>1.62</v>
      </c>
      <c r="I16" s="9">
        <f>datos_base!$C$5*parametros_carros!G$15</f>
        <v>1.44</v>
      </c>
      <c r="J16" s="9">
        <f>datos_base!$C$5*parametros_carros!H$15</f>
        <v>1.62</v>
      </c>
      <c r="K16" s="9">
        <f>datos_base!$C$5*parametros_carros!I$15</f>
        <v>1.62</v>
      </c>
      <c r="L16" s="9">
        <f>datos_base!$C$5*parametros_carros!J$15</f>
        <v>1.53</v>
      </c>
      <c r="M16" s="9">
        <f>datos_base!$C$5*parametros_carros!K$15</f>
        <v>1.35</v>
      </c>
      <c r="N16" s="9">
        <f>datos_base!$C$5*parametros_carros!L$15</f>
        <v>1.26</v>
      </c>
      <c r="O16" s="9">
        <f>datos_base!$C$5*parametros_carros!M$15</f>
        <v>1.44</v>
      </c>
      <c r="P16" s="17">
        <f t="shared" si="3"/>
        <v>18</v>
      </c>
    </row>
    <row r="17" ht="14.25" customHeight="1">
      <c r="A17" s="5">
        <v>2027.0</v>
      </c>
      <c r="B17" s="2" t="s">
        <v>42</v>
      </c>
      <c r="C17" s="2" t="s">
        <v>108</v>
      </c>
      <c r="D17" s="9">
        <f>datos_base!$C$9*parametros_carros!B$12</f>
        <v>0</v>
      </c>
      <c r="E17" s="9">
        <f>datos_base!$C$9*parametros_carros!C$12</f>
        <v>0</v>
      </c>
      <c r="F17" s="9">
        <f>datos_base!$C$9*parametros_carros!D$12</f>
        <v>0</v>
      </c>
      <c r="G17" s="9">
        <f>datos_base!$C$9*parametros_carros!E$12</f>
        <v>0</v>
      </c>
      <c r="H17" s="9">
        <f>datos_base!$C$9*parametros_carros!F$12</f>
        <v>0</v>
      </c>
      <c r="I17" s="9">
        <f>datos_base!$C$9*parametros_carros!G$12</f>
        <v>0</v>
      </c>
      <c r="J17" s="9">
        <f>datos_base!$C$9*parametros_carros!H$12</f>
        <v>0</v>
      </c>
      <c r="K17" s="9">
        <f>datos_base!$C$9*parametros_carros!I$12</f>
        <v>0</v>
      </c>
      <c r="L17" s="9">
        <f>datos_base!$C$9*parametros_carros!J$12</f>
        <v>0</v>
      </c>
      <c r="M17" s="9">
        <f>datos_base!$C$9*parametros_carros!K$12</f>
        <v>0</v>
      </c>
      <c r="N17" s="9">
        <f>datos_base!$C$9*parametros_carros!L$12</f>
        <v>0</v>
      </c>
      <c r="O17" s="9">
        <f>datos_base!$C$9*parametros_carros!M$12</f>
        <v>0</v>
      </c>
      <c r="P17" s="17">
        <f t="shared" si="3"/>
        <v>0</v>
      </c>
    </row>
    <row r="18" ht="14.25" customHeight="1">
      <c r="A18" s="5">
        <v>2027.0</v>
      </c>
      <c r="B18" s="2" t="s">
        <v>43</v>
      </c>
      <c r="C18" s="2" t="s">
        <v>108</v>
      </c>
      <c r="D18" s="9">
        <f>datos_base!$C$10*parametros_carros!B$13</f>
        <v>0</v>
      </c>
      <c r="E18" s="9">
        <f>datos_base!$C$10*parametros_carros!C$13</f>
        <v>0</v>
      </c>
      <c r="F18" s="9">
        <f>datos_base!$C$10*parametros_carros!D$13</f>
        <v>0</v>
      </c>
      <c r="G18" s="9">
        <f>datos_base!$C$10*parametros_carros!E$13</f>
        <v>0</v>
      </c>
      <c r="H18" s="9">
        <f>datos_base!$C$10*parametros_carros!F$13</f>
        <v>0</v>
      </c>
      <c r="I18" s="9">
        <f>datos_base!$C$10*parametros_carros!G$13</f>
        <v>0</v>
      </c>
      <c r="J18" s="9">
        <f>datos_base!$C$10*parametros_carros!H$13</f>
        <v>0</v>
      </c>
      <c r="K18" s="9">
        <f>datos_base!$C$10*parametros_carros!I$13</f>
        <v>0</v>
      </c>
      <c r="L18" s="9">
        <f>datos_base!$C$10*parametros_carros!J$13</f>
        <v>0</v>
      </c>
      <c r="M18" s="9">
        <f>datos_base!$C$10*parametros_carros!K$13</f>
        <v>0</v>
      </c>
      <c r="N18" s="9">
        <f>datos_base!$C$10*parametros_carros!L$13</f>
        <v>0</v>
      </c>
      <c r="O18" s="9">
        <f>datos_base!$C$10*parametros_carros!M$13</f>
        <v>0</v>
      </c>
      <c r="P18" s="17">
        <f t="shared" si="3"/>
        <v>0</v>
      </c>
    </row>
    <row r="19" ht="14.25" customHeight="1">
      <c r="A19" s="5">
        <v>2027.0</v>
      </c>
      <c r="B19" s="2" t="s">
        <v>44</v>
      </c>
      <c r="C19" s="2" t="s">
        <v>108</v>
      </c>
      <c r="D19" s="9">
        <f>datos_base!$C$11*parametros_carros!B$14</f>
        <v>0</v>
      </c>
      <c r="E19" s="9">
        <f>datos_base!$C$11*parametros_carros!C$14</f>
        <v>0</v>
      </c>
      <c r="F19" s="9">
        <f>datos_base!$C$11*parametros_carros!D$14</f>
        <v>0</v>
      </c>
      <c r="G19" s="9">
        <f>datos_base!$C$11*parametros_carros!E$14</f>
        <v>0</v>
      </c>
      <c r="H19" s="9">
        <f>datos_base!$C$11*parametros_carros!F$14</f>
        <v>0</v>
      </c>
      <c r="I19" s="9">
        <f>datos_base!$C$11*parametros_carros!G$14</f>
        <v>0</v>
      </c>
      <c r="J19" s="9">
        <f>datos_base!$C$11*parametros_carros!H$14</f>
        <v>0</v>
      </c>
      <c r="K19" s="9">
        <f>datos_base!$C$11*parametros_carros!I$14</f>
        <v>0</v>
      </c>
      <c r="L19" s="9">
        <f>datos_base!$C$11*parametros_carros!J$14</f>
        <v>0</v>
      </c>
      <c r="M19" s="9">
        <f>datos_base!$C$11*parametros_carros!K$14</f>
        <v>0</v>
      </c>
      <c r="N19" s="9">
        <f>datos_base!$C$11*parametros_carros!L$14</f>
        <v>0</v>
      </c>
      <c r="O19" s="9">
        <f>datos_base!$C$11*parametros_carros!M$14</f>
        <v>0</v>
      </c>
      <c r="P19" s="17">
        <f t="shared" si="3"/>
        <v>0</v>
      </c>
    </row>
    <row r="20" ht="14.25" customHeight="1">
      <c r="A20" s="5">
        <v>2027.0</v>
      </c>
      <c r="B20" s="2" t="s">
        <v>45</v>
      </c>
      <c r="C20" s="2" t="s">
        <v>108</v>
      </c>
      <c r="D20" s="9">
        <f>datos_base!$C$12*parametros_carros!B$15</f>
        <v>0</v>
      </c>
      <c r="E20" s="9">
        <f>datos_base!$C$12*parametros_carros!C$15</f>
        <v>0</v>
      </c>
      <c r="F20" s="9">
        <f>datos_base!$C$12*parametros_carros!D$15</f>
        <v>0</v>
      </c>
      <c r="G20" s="9">
        <f>datos_base!$C$12*parametros_carros!E$15</f>
        <v>0</v>
      </c>
      <c r="H20" s="9">
        <f>datos_base!$C$12*parametros_carros!F$15</f>
        <v>0</v>
      </c>
      <c r="I20" s="9">
        <f>datos_base!$C$12*parametros_carros!G$15</f>
        <v>0</v>
      </c>
      <c r="J20" s="9">
        <f>datos_base!$C$12*parametros_carros!H$15</f>
        <v>0</v>
      </c>
      <c r="K20" s="9">
        <f>datos_base!$C$12*parametros_carros!I$15</f>
        <v>0</v>
      </c>
      <c r="L20" s="9">
        <f>datos_base!$C$12*parametros_carros!J$15</f>
        <v>0</v>
      </c>
      <c r="M20" s="9">
        <f>datos_base!$C$12*parametros_carros!K$15</f>
        <v>0</v>
      </c>
      <c r="N20" s="9">
        <f>datos_base!$C$12*parametros_carros!L$15</f>
        <v>0</v>
      </c>
      <c r="O20" s="9">
        <f>datos_base!$C$12*parametros_carros!M$15</f>
        <v>0</v>
      </c>
      <c r="P20" s="17">
        <f t="shared" si="3"/>
        <v>0</v>
      </c>
    </row>
    <row r="21" ht="14.25" customHeight="1">
      <c r="A21" s="29"/>
      <c r="B21" s="14" t="s">
        <v>119</v>
      </c>
      <c r="C21" s="29"/>
      <c r="D21" s="30">
        <f t="shared" ref="D21:P21" si="4">SUM(D13:D20)</f>
        <v>19.805</v>
      </c>
      <c r="E21" s="30">
        <f t="shared" si="4"/>
        <v>17.475</v>
      </c>
      <c r="F21" s="30">
        <f t="shared" si="4"/>
        <v>20.97</v>
      </c>
      <c r="G21" s="30">
        <f t="shared" si="4"/>
        <v>20.97</v>
      </c>
      <c r="H21" s="30">
        <f t="shared" si="4"/>
        <v>20.97</v>
      </c>
      <c r="I21" s="30">
        <f t="shared" si="4"/>
        <v>18.64</v>
      </c>
      <c r="J21" s="30">
        <f t="shared" si="4"/>
        <v>20.97</v>
      </c>
      <c r="K21" s="30">
        <f t="shared" si="4"/>
        <v>20.97</v>
      </c>
      <c r="L21" s="30">
        <f t="shared" si="4"/>
        <v>19.805</v>
      </c>
      <c r="M21" s="30">
        <f t="shared" si="4"/>
        <v>17.475</v>
      </c>
      <c r="N21" s="30">
        <f t="shared" si="4"/>
        <v>16.31</v>
      </c>
      <c r="O21" s="30">
        <f t="shared" si="4"/>
        <v>18.64</v>
      </c>
      <c r="P21" s="30">
        <f t="shared" si="4"/>
        <v>233</v>
      </c>
    </row>
    <row r="22" ht="14.25" customHeight="1"/>
    <row r="23" ht="14.25" customHeight="1">
      <c r="A23" s="1">
        <v>2028.0</v>
      </c>
      <c r="B23" s="1" t="s">
        <v>3</v>
      </c>
      <c r="C23" s="1" t="s">
        <v>5</v>
      </c>
      <c r="D23" s="1" t="s">
        <v>8</v>
      </c>
      <c r="E23" s="1" t="s">
        <v>9</v>
      </c>
      <c r="F23" s="1" t="s">
        <v>11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18</v>
      </c>
      <c r="L23" s="1" t="s">
        <v>19</v>
      </c>
      <c r="M23" s="1" t="s">
        <v>20</v>
      </c>
      <c r="N23" s="1" t="s">
        <v>21</v>
      </c>
      <c r="O23" s="1" t="s">
        <v>22</v>
      </c>
      <c r="P23" s="1" t="s">
        <v>23</v>
      </c>
    </row>
    <row r="24" ht="14.25" customHeight="1">
      <c r="A24" s="5">
        <v>2028.0</v>
      </c>
      <c r="B24" s="2" t="s">
        <v>1</v>
      </c>
      <c r="C24" s="2" t="s">
        <v>28</v>
      </c>
      <c r="D24" s="9">
        <f>datos_base!$D$2*parametros_carros!B$12</f>
        <v>6.46</v>
      </c>
      <c r="E24" s="9">
        <f>datos_base!$D$2*parametros_carros!C$12</f>
        <v>5.7</v>
      </c>
      <c r="F24" s="9">
        <f>datos_base!$D$2*parametros_carros!D$12</f>
        <v>6.84</v>
      </c>
      <c r="G24" s="9">
        <f>datos_base!$D$2*parametros_carros!E$12</f>
        <v>6.84</v>
      </c>
      <c r="H24" s="9">
        <f>datos_base!$D$2*parametros_carros!F$12</f>
        <v>6.84</v>
      </c>
      <c r="I24" s="9">
        <f>datos_base!$D$2*parametros_carros!G$12</f>
        <v>6.08</v>
      </c>
      <c r="J24" s="9">
        <f>datos_base!$D$2*parametros_carros!H$12</f>
        <v>6.84</v>
      </c>
      <c r="K24" s="9">
        <f>datos_base!$D$2*parametros_carros!I$12</f>
        <v>6.84</v>
      </c>
      <c r="L24" s="9">
        <f>datos_base!$D$2*parametros_carros!J$12</f>
        <v>6.46</v>
      </c>
      <c r="M24" s="9">
        <f>datos_base!$D$2*parametros_carros!K$12</f>
        <v>5.7</v>
      </c>
      <c r="N24" s="9">
        <f>datos_base!$D$2*parametros_carros!L$12</f>
        <v>5.32</v>
      </c>
      <c r="O24" s="9">
        <f>datos_base!$D$2*parametros_carros!M$12</f>
        <v>6.08</v>
      </c>
      <c r="P24" s="17">
        <f t="shared" ref="P24:P31" si="5">SUM(D24:O24)</f>
        <v>76</v>
      </c>
    </row>
    <row r="25" ht="14.25" customHeight="1">
      <c r="A25" s="5">
        <v>2028.0</v>
      </c>
      <c r="B25" s="2" t="s">
        <v>7</v>
      </c>
      <c r="C25" s="2" t="s">
        <v>28</v>
      </c>
      <c r="D25" s="9">
        <f>datos_base!$D$3*parametros_carros!B$13</f>
        <v>14.11</v>
      </c>
      <c r="E25" s="9">
        <f>datos_base!$D$3*parametros_carros!C$13</f>
        <v>12.45</v>
      </c>
      <c r="F25" s="9">
        <f>datos_base!$D$3*parametros_carros!D$13</f>
        <v>14.94</v>
      </c>
      <c r="G25" s="9">
        <f>datos_base!$D$3*parametros_carros!E$13</f>
        <v>14.94</v>
      </c>
      <c r="H25" s="9">
        <f>datos_base!$D$3*parametros_carros!F$13</f>
        <v>14.94</v>
      </c>
      <c r="I25" s="9">
        <f>datos_base!$D$3*parametros_carros!G$13</f>
        <v>13.28</v>
      </c>
      <c r="J25" s="9">
        <f>datos_base!$D$3*parametros_carros!H$13</f>
        <v>14.94</v>
      </c>
      <c r="K25" s="9">
        <f>datos_base!$D$3*parametros_carros!I$13</f>
        <v>14.94</v>
      </c>
      <c r="L25" s="9">
        <f>datos_base!$D$3*parametros_carros!J$13</f>
        <v>14.11</v>
      </c>
      <c r="M25" s="9">
        <f>datos_base!$D$3*parametros_carros!K$13</f>
        <v>12.45</v>
      </c>
      <c r="N25" s="9">
        <f>datos_base!$D$3*parametros_carros!L$13</f>
        <v>11.62</v>
      </c>
      <c r="O25" s="9">
        <f>datos_base!$D$3*parametros_carros!M$13</f>
        <v>13.28</v>
      </c>
      <c r="P25" s="17">
        <f t="shared" si="5"/>
        <v>166</v>
      </c>
    </row>
    <row r="26" ht="14.25" customHeight="1">
      <c r="A26" s="5">
        <v>2028.0</v>
      </c>
      <c r="B26" s="2" t="s">
        <v>12</v>
      </c>
      <c r="C26" s="2" t="s">
        <v>28</v>
      </c>
      <c r="D26" s="9">
        <f>datos_base!$D$4*parametros_carros!B$14</f>
        <v>3.06</v>
      </c>
      <c r="E26" s="9">
        <f>datos_base!$D$4*parametros_carros!C$14</f>
        <v>2.7</v>
      </c>
      <c r="F26" s="9">
        <f>datos_base!$D$4*parametros_carros!D$14</f>
        <v>3.24</v>
      </c>
      <c r="G26" s="9">
        <f>datos_base!$D$4*parametros_carros!E$14</f>
        <v>3.24</v>
      </c>
      <c r="H26" s="9">
        <f>datos_base!$D$4*parametros_carros!F$14</f>
        <v>3.24</v>
      </c>
      <c r="I26" s="9">
        <f>datos_base!$D$4*parametros_carros!G$14</f>
        <v>2.88</v>
      </c>
      <c r="J26" s="9">
        <f>datos_base!$D$4*parametros_carros!H$14</f>
        <v>3.24</v>
      </c>
      <c r="K26" s="9">
        <f>datos_base!$D$4*parametros_carros!I$14</f>
        <v>3.24</v>
      </c>
      <c r="L26" s="9">
        <f>datos_base!$D$4*parametros_carros!J$14</f>
        <v>3.06</v>
      </c>
      <c r="M26" s="9">
        <f>datos_base!$D$4*parametros_carros!K$14</f>
        <v>2.7</v>
      </c>
      <c r="N26" s="9">
        <f>datos_base!$D$4*parametros_carros!L$14</f>
        <v>2.52</v>
      </c>
      <c r="O26" s="9">
        <f>datos_base!$D$4*parametros_carros!M$14</f>
        <v>2.88</v>
      </c>
      <c r="P26" s="17">
        <f t="shared" si="5"/>
        <v>36</v>
      </c>
    </row>
    <row r="27" ht="14.25" customHeight="1">
      <c r="A27" s="5">
        <v>2028.0</v>
      </c>
      <c r="B27" s="2" t="s">
        <v>17</v>
      </c>
      <c r="C27" s="2" t="s">
        <v>28</v>
      </c>
      <c r="D27" s="9">
        <f>datos_base!$D$5*parametros_carros!B$15</f>
        <v>2.04</v>
      </c>
      <c r="E27" s="9">
        <f>datos_base!$D$5*parametros_carros!C$15</f>
        <v>1.8</v>
      </c>
      <c r="F27" s="9">
        <f>datos_base!$D$5*parametros_carros!D$15</f>
        <v>2.16</v>
      </c>
      <c r="G27" s="9">
        <f>datos_base!$D$5*parametros_carros!E$15</f>
        <v>2.16</v>
      </c>
      <c r="H27" s="9">
        <f>datos_base!$D$5*parametros_carros!F$15</f>
        <v>2.16</v>
      </c>
      <c r="I27" s="9">
        <f>datos_base!$D$5*parametros_carros!G$15</f>
        <v>1.92</v>
      </c>
      <c r="J27" s="9">
        <f>datos_base!$D$5*parametros_carros!H$15</f>
        <v>2.16</v>
      </c>
      <c r="K27" s="9">
        <f>datos_base!$D$5*parametros_carros!I$15</f>
        <v>2.16</v>
      </c>
      <c r="L27" s="9">
        <f>datos_base!$D$5*parametros_carros!J$15</f>
        <v>2.04</v>
      </c>
      <c r="M27" s="9">
        <f>datos_base!$D$5*parametros_carros!K$15</f>
        <v>1.8</v>
      </c>
      <c r="N27" s="9">
        <f>datos_base!$D$5*parametros_carros!L$15</f>
        <v>1.68</v>
      </c>
      <c r="O27" s="9">
        <f>datos_base!$D$5*parametros_carros!M$15</f>
        <v>1.92</v>
      </c>
      <c r="P27" s="17">
        <f t="shared" si="5"/>
        <v>24</v>
      </c>
    </row>
    <row r="28" ht="14.25" customHeight="1">
      <c r="A28" s="5">
        <v>2028.0</v>
      </c>
      <c r="B28" s="2" t="s">
        <v>42</v>
      </c>
      <c r="C28" s="2" t="s">
        <v>108</v>
      </c>
      <c r="D28" s="9">
        <f>datos_base!$D$9*parametros_carros!B$12</f>
        <v>1.19</v>
      </c>
      <c r="E28" s="9">
        <f>datos_base!$D$9*parametros_carros!C$12</f>
        <v>1.05</v>
      </c>
      <c r="F28" s="9">
        <f>datos_base!$D$9*parametros_carros!D$12</f>
        <v>1.26</v>
      </c>
      <c r="G28" s="9">
        <f>datos_base!$D$9*parametros_carros!E$12</f>
        <v>1.26</v>
      </c>
      <c r="H28" s="9">
        <f>datos_base!$D$9*parametros_carros!F$12</f>
        <v>1.26</v>
      </c>
      <c r="I28" s="9">
        <f>datos_base!$D$9*parametros_carros!G$12</f>
        <v>1.12</v>
      </c>
      <c r="J28" s="9">
        <f>datos_base!$D$9*parametros_carros!H$12</f>
        <v>1.26</v>
      </c>
      <c r="K28" s="9">
        <f>datos_base!$D$9*parametros_carros!I$12</f>
        <v>1.26</v>
      </c>
      <c r="L28" s="9">
        <f>datos_base!$D$9*parametros_carros!J$12</f>
        <v>1.19</v>
      </c>
      <c r="M28" s="9">
        <f>datos_base!$D$9*parametros_carros!K$12</f>
        <v>1.05</v>
      </c>
      <c r="N28" s="9">
        <f>datos_base!$D$9*parametros_carros!L$12</f>
        <v>0.98</v>
      </c>
      <c r="O28" s="9">
        <f>datos_base!$D$9*parametros_carros!M$12</f>
        <v>1.12</v>
      </c>
      <c r="P28" s="17">
        <f t="shared" si="5"/>
        <v>14</v>
      </c>
    </row>
    <row r="29" ht="14.25" customHeight="1">
      <c r="A29" s="5">
        <v>2028.0</v>
      </c>
      <c r="B29" s="2" t="s">
        <v>43</v>
      </c>
      <c r="C29" s="2" t="s">
        <v>108</v>
      </c>
      <c r="D29" s="9">
        <f>datos_base!$D$10*parametros_carros!B$13</f>
        <v>2.72</v>
      </c>
      <c r="E29" s="9">
        <f>datos_base!$D$10*parametros_carros!C$13</f>
        <v>2.4</v>
      </c>
      <c r="F29" s="9">
        <f>datos_base!$D$10*parametros_carros!D$13</f>
        <v>2.88</v>
      </c>
      <c r="G29" s="9">
        <f>datos_base!$D$10*parametros_carros!E$13</f>
        <v>2.88</v>
      </c>
      <c r="H29" s="9">
        <f>datos_base!$D$10*parametros_carros!F$13</f>
        <v>2.88</v>
      </c>
      <c r="I29" s="9">
        <f>datos_base!$D$10*parametros_carros!G$13</f>
        <v>2.56</v>
      </c>
      <c r="J29" s="9">
        <f>datos_base!$D$10*parametros_carros!H$13</f>
        <v>2.88</v>
      </c>
      <c r="K29" s="9">
        <f>datos_base!$D$10*parametros_carros!I$13</f>
        <v>2.88</v>
      </c>
      <c r="L29" s="9">
        <f>datos_base!$D$10*parametros_carros!J$13</f>
        <v>2.72</v>
      </c>
      <c r="M29" s="9">
        <f>datos_base!$D$10*parametros_carros!K$13</f>
        <v>2.4</v>
      </c>
      <c r="N29" s="9">
        <f>datos_base!$D$10*parametros_carros!L$13</f>
        <v>2.24</v>
      </c>
      <c r="O29" s="9">
        <f>datos_base!$D$10*parametros_carros!M$13</f>
        <v>2.56</v>
      </c>
      <c r="P29" s="17">
        <f t="shared" si="5"/>
        <v>32</v>
      </c>
    </row>
    <row r="30" ht="14.25" customHeight="1">
      <c r="A30" s="5">
        <v>2028.0</v>
      </c>
      <c r="B30" s="2" t="s">
        <v>44</v>
      </c>
      <c r="C30" s="2" t="s">
        <v>108</v>
      </c>
      <c r="D30" s="9">
        <f>datos_base!$D$11*parametros_carros!B$14</f>
        <v>0.595</v>
      </c>
      <c r="E30" s="9">
        <f>datos_base!$D$11*parametros_carros!C$14</f>
        <v>0.525</v>
      </c>
      <c r="F30" s="9">
        <f>datos_base!$D$11*parametros_carros!D$14</f>
        <v>0.63</v>
      </c>
      <c r="G30" s="9">
        <f>datos_base!$D$11*parametros_carros!E$14</f>
        <v>0.63</v>
      </c>
      <c r="H30" s="9">
        <f>datos_base!$D$11*parametros_carros!F$14</f>
        <v>0.63</v>
      </c>
      <c r="I30" s="9">
        <f>datos_base!$D$11*parametros_carros!G$14</f>
        <v>0.56</v>
      </c>
      <c r="J30" s="9">
        <f>datos_base!$D$11*parametros_carros!H$14</f>
        <v>0.63</v>
      </c>
      <c r="K30" s="9">
        <f>datos_base!$D$11*parametros_carros!I$14</f>
        <v>0.63</v>
      </c>
      <c r="L30" s="9">
        <f>datos_base!$D$11*parametros_carros!J$14</f>
        <v>0.595</v>
      </c>
      <c r="M30" s="9">
        <f>datos_base!$D$11*parametros_carros!K$14</f>
        <v>0.525</v>
      </c>
      <c r="N30" s="9">
        <f>datos_base!$D$11*parametros_carros!L$14</f>
        <v>0.49</v>
      </c>
      <c r="O30" s="9">
        <f>datos_base!$D$11*parametros_carros!M$14</f>
        <v>0.56</v>
      </c>
      <c r="P30" s="17">
        <f t="shared" si="5"/>
        <v>7</v>
      </c>
    </row>
    <row r="31" ht="14.25" customHeight="1">
      <c r="A31" s="5">
        <v>2028.0</v>
      </c>
      <c r="B31" s="2" t="s">
        <v>45</v>
      </c>
      <c r="C31" s="2" t="s">
        <v>108</v>
      </c>
      <c r="D31" s="9">
        <f>datos_base!$D$12*parametros_carros!B$15</f>
        <v>0.425</v>
      </c>
      <c r="E31" s="9">
        <f>datos_base!$D$12*parametros_carros!C$15</f>
        <v>0.375</v>
      </c>
      <c r="F31" s="9">
        <f>datos_base!$D$12*parametros_carros!D$15</f>
        <v>0.45</v>
      </c>
      <c r="G31" s="9">
        <f>datos_base!$D$12*parametros_carros!E$15</f>
        <v>0.45</v>
      </c>
      <c r="H31" s="9">
        <f>datos_base!$D$12*parametros_carros!F$15</f>
        <v>0.45</v>
      </c>
      <c r="I31" s="9">
        <f>datos_base!$D$12*parametros_carros!G$15</f>
        <v>0.4</v>
      </c>
      <c r="J31" s="9">
        <f>datos_base!$D$12*parametros_carros!H$15</f>
        <v>0.45</v>
      </c>
      <c r="K31" s="9">
        <f>datos_base!$D$12*parametros_carros!I$15</f>
        <v>0.45</v>
      </c>
      <c r="L31" s="9">
        <f>datos_base!$D$12*parametros_carros!J$15</f>
        <v>0.425</v>
      </c>
      <c r="M31" s="9">
        <f>datos_base!$D$12*parametros_carros!K$15</f>
        <v>0.375</v>
      </c>
      <c r="N31" s="9">
        <f>datos_base!$D$12*parametros_carros!L$15</f>
        <v>0.35</v>
      </c>
      <c r="O31" s="9">
        <f>datos_base!$D$12*parametros_carros!M$15</f>
        <v>0.4</v>
      </c>
      <c r="P31" s="17">
        <f t="shared" si="5"/>
        <v>5</v>
      </c>
    </row>
    <row r="32" ht="14.25" customHeight="1">
      <c r="A32" s="29"/>
      <c r="B32" s="14" t="s">
        <v>119</v>
      </c>
      <c r="C32" s="29"/>
      <c r="D32" s="30">
        <f t="shared" ref="D32:P32" si="6">SUM(D24:D31)</f>
        <v>30.6</v>
      </c>
      <c r="E32" s="30">
        <f t="shared" si="6"/>
        <v>27</v>
      </c>
      <c r="F32" s="30">
        <f t="shared" si="6"/>
        <v>32.4</v>
      </c>
      <c r="G32" s="30">
        <f t="shared" si="6"/>
        <v>32.4</v>
      </c>
      <c r="H32" s="30">
        <f t="shared" si="6"/>
        <v>32.4</v>
      </c>
      <c r="I32" s="30">
        <f t="shared" si="6"/>
        <v>28.8</v>
      </c>
      <c r="J32" s="30">
        <f t="shared" si="6"/>
        <v>32.4</v>
      </c>
      <c r="K32" s="30">
        <f t="shared" si="6"/>
        <v>32.4</v>
      </c>
      <c r="L32" s="30">
        <f t="shared" si="6"/>
        <v>30.6</v>
      </c>
      <c r="M32" s="30">
        <f t="shared" si="6"/>
        <v>27</v>
      </c>
      <c r="N32" s="30">
        <f t="shared" si="6"/>
        <v>25.2</v>
      </c>
      <c r="O32" s="30">
        <f t="shared" si="6"/>
        <v>28.8</v>
      </c>
      <c r="P32" s="30">
        <f t="shared" si="6"/>
        <v>360</v>
      </c>
    </row>
    <row r="33" ht="14.25" customHeight="1"/>
    <row r="34" ht="14.25" customHeight="1">
      <c r="A34" s="1">
        <v>2029.0</v>
      </c>
      <c r="B34" s="1" t="s">
        <v>3</v>
      </c>
      <c r="C34" s="1" t="s">
        <v>5</v>
      </c>
      <c r="D34" s="1" t="s">
        <v>8</v>
      </c>
      <c r="E34" s="1" t="s">
        <v>9</v>
      </c>
      <c r="F34" s="1" t="s">
        <v>11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18</v>
      </c>
      <c r="L34" s="1" t="s">
        <v>19</v>
      </c>
      <c r="M34" s="1" t="s">
        <v>20</v>
      </c>
      <c r="N34" s="1" t="s">
        <v>21</v>
      </c>
      <c r="O34" s="1" t="s">
        <v>22</v>
      </c>
      <c r="P34" s="1" t="s">
        <v>23</v>
      </c>
    </row>
    <row r="35" ht="14.25" customHeight="1">
      <c r="A35" s="5">
        <v>2029.0</v>
      </c>
      <c r="B35" s="2" t="s">
        <v>1</v>
      </c>
      <c r="C35" s="2" t="s">
        <v>28</v>
      </c>
      <c r="D35" s="9">
        <f>datos_base!$E$2*parametros_carros!B$12</f>
        <v>8.5</v>
      </c>
      <c r="E35" s="9">
        <f>datos_base!$E$2*parametros_carros!C$12</f>
        <v>7.5</v>
      </c>
      <c r="F35" s="9">
        <f>datos_base!$E$2*parametros_carros!D$12</f>
        <v>9</v>
      </c>
      <c r="G35" s="9">
        <f>datos_base!$E$2*parametros_carros!E$12</f>
        <v>9</v>
      </c>
      <c r="H35" s="9">
        <f>datos_base!$E$2*parametros_carros!F$12</f>
        <v>9</v>
      </c>
      <c r="I35" s="9">
        <f>datos_base!$E$2*parametros_carros!G$12</f>
        <v>8</v>
      </c>
      <c r="J35" s="9">
        <f>datos_base!$E$2*parametros_carros!H$12</f>
        <v>9</v>
      </c>
      <c r="K35" s="9">
        <f>datos_base!$E$2*parametros_carros!I$12</f>
        <v>9</v>
      </c>
      <c r="L35" s="9">
        <f>datos_base!$E$2*parametros_carros!J$12</f>
        <v>8.5</v>
      </c>
      <c r="M35" s="9">
        <f>datos_base!$E$2*parametros_carros!K$12</f>
        <v>7.5</v>
      </c>
      <c r="N35" s="9">
        <f>datos_base!$E$2*parametros_carros!L$12</f>
        <v>7</v>
      </c>
      <c r="O35" s="9">
        <f>datos_base!$E$2*parametros_carros!M$12</f>
        <v>8</v>
      </c>
      <c r="P35" s="17">
        <f t="shared" ref="P35:P42" si="7">SUM(D35:O35)</f>
        <v>100</v>
      </c>
    </row>
    <row r="36" ht="14.25" customHeight="1">
      <c r="A36" s="5">
        <v>2029.0</v>
      </c>
      <c r="B36" s="2" t="s">
        <v>7</v>
      </c>
      <c r="C36" s="2" t="s">
        <v>28</v>
      </c>
      <c r="D36" s="9">
        <f>datos_base!$E$3*parametros_carros!B$13</f>
        <v>18.785</v>
      </c>
      <c r="E36" s="9">
        <f>datos_base!$E$3*parametros_carros!C$13</f>
        <v>16.575</v>
      </c>
      <c r="F36" s="9">
        <f>datos_base!$E$3*parametros_carros!D$13</f>
        <v>19.89</v>
      </c>
      <c r="G36" s="9">
        <f>datos_base!$E$3*parametros_carros!E$13</f>
        <v>19.89</v>
      </c>
      <c r="H36" s="9">
        <f>datos_base!$E$3*parametros_carros!F$13</f>
        <v>19.89</v>
      </c>
      <c r="I36" s="9">
        <f>datos_base!$E$3*parametros_carros!G$13</f>
        <v>17.68</v>
      </c>
      <c r="J36" s="9">
        <f>datos_base!$E$3*parametros_carros!H$13</f>
        <v>19.89</v>
      </c>
      <c r="K36" s="9">
        <f>datos_base!$E$3*parametros_carros!I$13</f>
        <v>19.89</v>
      </c>
      <c r="L36" s="9">
        <f>datos_base!$E$3*parametros_carros!J$13</f>
        <v>18.785</v>
      </c>
      <c r="M36" s="9">
        <f>datos_base!$E$3*parametros_carros!K$13</f>
        <v>16.575</v>
      </c>
      <c r="N36" s="9">
        <f>datos_base!$E$3*parametros_carros!L$13</f>
        <v>15.47</v>
      </c>
      <c r="O36" s="9">
        <f>datos_base!$E$3*parametros_carros!M$13</f>
        <v>17.68</v>
      </c>
      <c r="P36" s="17">
        <f t="shared" si="7"/>
        <v>221</v>
      </c>
    </row>
    <row r="37" ht="14.25" customHeight="1">
      <c r="A37" s="5">
        <v>2029.0</v>
      </c>
      <c r="B37" s="2" t="s">
        <v>12</v>
      </c>
      <c r="C37" s="2" t="s">
        <v>28</v>
      </c>
      <c r="D37" s="9">
        <f>datos_base!$E$4*parametros_carros!B$14</f>
        <v>4.08</v>
      </c>
      <c r="E37" s="9">
        <f>datos_base!$E$4*parametros_carros!C$14</f>
        <v>3.6</v>
      </c>
      <c r="F37" s="9">
        <f>datos_base!$E$4*parametros_carros!D$14</f>
        <v>4.32</v>
      </c>
      <c r="G37" s="9">
        <f>datos_base!$E$4*parametros_carros!E$14</f>
        <v>4.32</v>
      </c>
      <c r="H37" s="9">
        <f>datos_base!$E$4*parametros_carros!F$14</f>
        <v>4.32</v>
      </c>
      <c r="I37" s="9">
        <f>datos_base!$E$4*parametros_carros!G$14</f>
        <v>3.84</v>
      </c>
      <c r="J37" s="9">
        <f>datos_base!$E$4*parametros_carros!H$14</f>
        <v>4.32</v>
      </c>
      <c r="K37" s="9">
        <f>datos_base!$E$4*parametros_carros!I$14</f>
        <v>4.32</v>
      </c>
      <c r="L37" s="9">
        <f>datos_base!$E$4*parametros_carros!J$14</f>
        <v>4.08</v>
      </c>
      <c r="M37" s="9">
        <f>datos_base!$E$4*parametros_carros!K$14</f>
        <v>3.6</v>
      </c>
      <c r="N37" s="9">
        <f>datos_base!$E$4*parametros_carros!L$14</f>
        <v>3.36</v>
      </c>
      <c r="O37" s="9">
        <f>datos_base!$E$4*parametros_carros!M$14</f>
        <v>3.84</v>
      </c>
      <c r="P37" s="17">
        <f t="shared" si="7"/>
        <v>48</v>
      </c>
    </row>
    <row r="38" ht="14.25" customHeight="1">
      <c r="A38" s="5">
        <v>2029.0</v>
      </c>
      <c r="B38" s="2" t="s">
        <v>17</v>
      </c>
      <c r="C38" s="2" t="s">
        <v>28</v>
      </c>
      <c r="D38" s="9">
        <f>datos_base!$E$5*parametros_carros!B$15</f>
        <v>2.805</v>
      </c>
      <c r="E38" s="9">
        <f>datos_base!$E$5*parametros_carros!C$15</f>
        <v>2.475</v>
      </c>
      <c r="F38" s="9">
        <f>datos_base!$E$5*parametros_carros!D$15</f>
        <v>2.97</v>
      </c>
      <c r="G38" s="9">
        <f>datos_base!$E$5*parametros_carros!E$15</f>
        <v>2.97</v>
      </c>
      <c r="H38" s="9">
        <f>datos_base!$E$5*parametros_carros!F$15</f>
        <v>2.97</v>
      </c>
      <c r="I38" s="9">
        <f>datos_base!$E$5*parametros_carros!G$15</f>
        <v>2.64</v>
      </c>
      <c r="J38" s="9">
        <f>datos_base!$E$5*parametros_carros!H$15</f>
        <v>2.97</v>
      </c>
      <c r="K38" s="9">
        <f>datos_base!$E$5*parametros_carros!I$15</f>
        <v>2.97</v>
      </c>
      <c r="L38" s="9">
        <f>datos_base!$E$5*parametros_carros!J$15</f>
        <v>2.805</v>
      </c>
      <c r="M38" s="9">
        <f>datos_base!$E$5*parametros_carros!K$15</f>
        <v>2.475</v>
      </c>
      <c r="N38" s="9">
        <f>datos_base!$E$5*parametros_carros!L$15</f>
        <v>2.31</v>
      </c>
      <c r="O38" s="9">
        <f>datos_base!$E$5*parametros_carros!M$15</f>
        <v>2.64</v>
      </c>
      <c r="P38" s="17">
        <f t="shared" si="7"/>
        <v>33</v>
      </c>
    </row>
    <row r="39" ht="14.25" customHeight="1">
      <c r="A39" s="5">
        <v>2029.0</v>
      </c>
      <c r="B39" s="2" t="s">
        <v>42</v>
      </c>
      <c r="C39" s="2" t="s">
        <v>108</v>
      </c>
      <c r="D39" s="9">
        <f>datos_base!$E$9*parametros_carros!B$12</f>
        <v>4.25</v>
      </c>
      <c r="E39" s="9">
        <f>datos_base!$E$9*parametros_carros!C$12</f>
        <v>3.75</v>
      </c>
      <c r="F39" s="9">
        <f>datos_base!$E$9*parametros_carros!D$12</f>
        <v>4.5</v>
      </c>
      <c r="G39" s="9">
        <f>datos_base!$E$9*parametros_carros!E$12</f>
        <v>4.5</v>
      </c>
      <c r="H39" s="9">
        <f>datos_base!$E$9*parametros_carros!F$12</f>
        <v>4.5</v>
      </c>
      <c r="I39" s="9">
        <f>datos_base!$E$9*parametros_carros!G$12</f>
        <v>4</v>
      </c>
      <c r="J39" s="9">
        <f>datos_base!$E$9*parametros_carros!H$12</f>
        <v>4.5</v>
      </c>
      <c r="K39" s="9">
        <f>datos_base!$E$9*parametros_carros!I$12</f>
        <v>4.5</v>
      </c>
      <c r="L39" s="9">
        <f>datos_base!$E$9*parametros_carros!J$12</f>
        <v>4.25</v>
      </c>
      <c r="M39" s="9">
        <f>datos_base!$E$9*parametros_carros!K$12</f>
        <v>3.75</v>
      </c>
      <c r="N39" s="9">
        <f>datos_base!$E$9*parametros_carros!L$12</f>
        <v>3.5</v>
      </c>
      <c r="O39" s="9">
        <f>datos_base!$E$9*parametros_carros!M$12</f>
        <v>4</v>
      </c>
      <c r="P39" s="17">
        <f t="shared" si="7"/>
        <v>50</v>
      </c>
    </row>
    <row r="40" ht="14.25" customHeight="1">
      <c r="A40" s="5">
        <v>2029.0</v>
      </c>
      <c r="B40" s="2" t="s">
        <v>43</v>
      </c>
      <c r="C40" s="2" t="s">
        <v>108</v>
      </c>
      <c r="D40" s="9">
        <f>datos_base!$E$10*parametros_carros!B$13</f>
        <v>9.435</v>
      </c>
      <c r="E40" s="9">
        <f>datos_base!$E$10*parametros_carros!C$13</f>
        <v>8.325</v>
      </c>
      <c r="F40" s="9">
        <f>datos_base!$E$10*parametros_carros!D$13</f>
        <v>9.99</v>
      </c>
      <c r="G40" s="9">
        <f>datos_base!$E$10*parametros_carros!E$13</f>
        <v>9.99</v>
      </c>
      <c r="H40" s="9">
        <f>datos_base!$E$10*parametros_carros!F$13</f>
        <v>9.99</v>
      </c>
      <c r="I40" s="9">
        <f>datos_base!$E$10*parametros_carros!G$13</f>
        <v>8.88</v>
      </c>
      <c r="J40" s="9">
        <f>datos_base!$E$10*parametros_carros!H$13</f>
        <v>9.99</v>
      </c>
      <c r="K40" s="9">
        <f>datos_base!$E$10*parametros_carros!I$13</f>
        <v>9.99</v>
      </c>
      <c r="L40" s="9">
        <f>datos_base!$E$10*parametros_carros!J$13</f>
        <v>9.435</v>
      </c>
      <c r="M40" s="9">
        <f>datos_base!$E$10*parametros_carros!K$13</f>
        <v>8.325</v>
      </c>
      <c r="N40" s="9">
        <f>datos_base!$E$10*parametros_carros!L$13</f>
        <v>7.77</v>
      </c>
      <c r="O40" s="9">
        <f>datos_base!$E$10*parametros_carros!M$13</f>
        <v>8.88</v>
      </c>
      <c r="P40" s="17">
        <f t="shared" si="7"/>
        <v>111</v>
      </c>
    </row>
    <row r="41" ht="14.25" customHeight="1">
      <c r="A41" s="5">
        <v>2029.0</v>
      </c>
      <c r="B41" s="2" t="s">
        <v>44</v>
      </c>
      <c r="C41" s="2" t="s">
        <v>108</v>
      </c>
      <c r="D41" s="9">
        <f>datos_base!$E$11*parametros_carros!B$14</f>
        <v>2.04</v>
      </c>
      <c r="E41" s="9">
        <f>datos_base!$E$11*parametros_carros!C$14</f>
        <v>1.8</v>
      </c>
      <c r="F41" s="9">
        <f>datos_base!$E$11*parametros_carros!D$14</f>
        <v>2.16</v>
      </c>
      <c r="G41" s="9">
        <f>datos_base!$E$11*parametros_carros!E$14</f>
        <v>2.16</v>
      </c>
      <c r="H41" s="9">
        <f>datos_base!$E$11*parametros_carros!F$14</f>
        <v>2.16</v>
      </c>
      <c r="I41" s="9">
        <f>datos_base!$E$11*parametros_carros!G$14</f>
        <v>1.92</v>
      </c>
      <c r="J41" s="9">
        <f>datos_base!$E$11*parametros_carros!H$14</f>
        <v>2.16</v>
      </c>
      <c r="K41" s="9">
        <f>datos_base!$E$11*parametros_carros!I$14</f>
        <v>2.16</v>
      </c>
      <c r="L41" s="9">
        <f>datos_base!$E$11*parametros_carros!J$14</f>
        <v>2.04</v>
      </c>
      <c r="M41" s="9">
        <f>datos_base!$E$11*parametros_carros!K$14</f>
        <v>1.8</v>
      </c>
      <c r="N41" s="9">
        <f>datos_base!$E$11*parametros_carros!L$14</f>
        <v>1.68</v>
      </c>
      <c r="O41" s="9">
        <f>datos_base!$E$11*parametros_carros!M$14</f>
        <v>1.92</v>
      </c>
      <c r="P41" s="17">
        <f t="shared" si="7"/>
        <v>24</v>
      </c>
    </row>
    <row r="42" ht="14.25" customHeight="1">
      <c r="A42" s="5">
        <v>2029.0</v>
      </c>
      <c r="B42" s="2" t="s">
        <v>45</v>
      </c>
      <c r="C42" s="2" t="s">
        <v>108</v>
      </c>
      <c r="D42" s="9">
        <f>datos_base!$E$12*parametros_carros!B$15</f>
        <v>1.36</v>
      </c>
      <c r="E42" s="9">
        <f>datos_base!$E$12*parametros_carros!C$15</f>
        <v>1.2</v>
      </c>
      <c r="F42" s="9">
        <f>datos_base!$E$12*parametros_carros!D$15</f>
        <v>1.44</v>
      </c>
      <c r="G42" s="9">
        <f>datos_base!$E$12*parametros_carros!E$15</f>
        <v>1.44</v>
      </c>
      <c r="H42" s="9">
        <f>datos_base!$E$12*parametros_carros!F$15</f>
        <v>1.44</v>
      </c>
      <c r="I42" s="9">
        <f>datos_base!$E$12*parametros_carros!G$15</f>
        <v>1.28</v>
      </c>
      <c r="J42" s="9">
        <f>datos_base!$E$12*parametros_carros!H$15</f>
        <v>1.44</v>
      </c>
      <c r="K42" s="9">
        <f>datos_base!$E$12*parametros_carros!I$15</f>
        <v>1.44</v>
      </c>
      <c r="L42" s="9">
        <f>datos_base!$E$12*parametros_carros!J$15</f>
        <v>1.36</v>
      </c>
      <c r="M42" s="9">
        <f>datos_base!$E$12*parametros_carros!K$15</f>
        <v>1.2</v>
      </c>
      <c r="N42" s="9">
        <f>datos_base!$E$12*parametros_carros!L$15</f>
        <v>1.12</v>
      </c>
      <c r="O42" s="9">
        <f>datos_base!$E$12*parametros_carros!M$15</f>
        <v>1.28</v>
      </c>
      <c r="P42" s="17">
        <f t="shared" si="7"/>
        <v>16</v>
      </c>
    </row>
    <row r="43" ht="14.25" customHeight="1">
      <c r="A43" s="29"/>
      <c r="B43" s="14" t="s">
        <v>119</v>
      </c>
      <c r="C43" s="29"/>
      <c r="D43" s="30">
        <f t="shared" ref="D43:P43" si="8">SUM(D35:D42)</f>
        <v>51.255</v>
      </c>
      <c r="E43" s="30">
        <f t="shared" si="8"/>
        <v>45.225</v>
      </c>
      <c r="F43" s="30">
        <f t="shared" si="8"/>
        <v>54.27</v>
      </c>
      <c r="G43" s="30">
        <f t="shared" si="8"/>
        <v>54.27</v>
      </c>
      <c r="H43" s="30">
        <f t="shared" si="8"/>
        <v>54.27</v>
      </c>
      <c r="I43" s="30">
        <f t="shared" si="8"/>
        <v>48.24</v>
      </c>
      <c r="J43" s="30">
        <f t="shared" si="8"/>
        <v>54.27</v>
      </c>
      <c r="K43" s="30">
        <f t="shared" si="8"/>
        <v>54.27</v>
      </c>
      <c r="L43" s="30">
        <f t="shared" si="8"/>
        <v>51.255</v>
      </c>
      <c r="M43" s="30">
        <f t="shared" si="8"/>
        <v>45.225</v>
      </c>
      <c r="N43" s="30">
        <f t="shared" si="8"/>
        <v>42.21</v>
      </c>
      <c r="O43" s="30">
        <f t="shared" si="8"/>
        <v>48.24</v>
      </c>
      <c r="P43" s="30">
        <f t="shared" si="8"/>
        <v>603</v>
      </c>
    </row>
    <row r="44" ht="14.25" customHeight="1"/>
    <row r="45" ht="14.25" customHeight="1">
      <c r="A45" s="1">
        <v>2030.0</v>
      </c>
      <c r="B45" s="1" t="s">
        <v>3</v>
      </c>
      <c r="C45" s="1" t="s">
        <v>5</v>
      </c>
      <c r="D45" s="1" t="s">
        <v>8</v>
      </c>
      <c r="E45" s="1" t="s">
        <v>9</v>
      </c>
      <c r="F45" s="1" t="s">
        <v>11</v>
      </c>
      <c r="G45" s="1" t="s">
        <v>13</v>
      </c>
      <c r="H45" s="1" t="s">
        <v>14</v>
      </c>
      <c r="I45" s="1" t="s">
        <v>15</v>
      </c>
      <c r="J45" s="1" t="s">
        <v>16</v>
      </c>
      <c r="K45" s="1" t="s">
        <v>18</v>
      </c>
      <c r="L45" s="1" t="s">
        <v>19</v>
      </c>
      <c r="M45" s="1" t="s">
        <v>20</v>
      </c>
      <c r="N45" s="1" t="s">
        <v>21</v>
      </c>
      <c r="O45" s="1" t="s">
        <v>22</v>
      </c>
      <c r="P45" s="1" t="s">
        <v>23</v>
      </c>
    </row>
    <row r="46" ht="14.25" customHeight="1">
      <c r="A46" s="5">
        <v>2030.0</v>
      </c>
      <c r="B46" s="2" t="s">
        <v>1</v>
      </c>
      <c r="C46" s="2" t="s">
        <v>28</v>
      </c>
      <c r="D46" s="9">
        <f>datos_base!$F$2*parametros_carros!B$12</f>
        <v>13.26</v>
      </c>
      <c r="E46" s="9">
        <f>datos_base!$F$2*parametros_carros!C$12</f>
        <v>11.7</v>
      </c>
      <c r="F46" s="9">
        <f>datos_base!$F$2*parametros_carros!D$12</f>
        <v>14.04</v>
      </c>
      <c r="G46" s="9">
        <f>datos_base!$F$2*parametros_carros!E$12</f>
        <v>14.04</v>
      </c>
      <c r="H46" s="9">
        <f>datos_base!$F$2*parametros_carros!F$12</f>
        <v>14.04</v>
      </c>
      <c r="I46" s="9">
        <f>datos_base!$F$2*parametros_carros!G$12</f>
        <v>12.48</v>
      </c>
      <c r="J46" s="9">
        <f>datos_base!$F$2*parametros_carros!H$12</f>
        <v>14.04</v>
      </c>
      <c r="K46" s="9">
        <f>datos_base!$F$2*parametros_carros!I$12</f>
        <v>14.04</v>
      </c>
      <c r="L46" s="9">
        <f>datos_base!$F$2*parametros_carros!J$12</f>
        <v>13.26</v>
      </c>
      <c r="M46" s="9">
        <f>datos_base!$F$2*parametros_carros!K$12</f>
        <v>11.7</v>
      </c>
      <c r="N46" s="9">
        <f>datos_base!$F$2*parametros_carros!L$12</f>
        <v>10.92</v>
      </c>
      <c r="O46" s="9">
        <f>datos_base!$F$2*parametros_carros!M$12</f>
        <v>12.48</v>
      </c>
      <c r="P46" s="17">
        <f t="shared" ref="P46:P53" si="9">SUM(D46:O46)</f>
        <v>156</v>
      </c>
    </row>
    <row r="47" ht="14.25" customHeight="1">
      <c r="A47" s="5">
        <v>2030.0</v>
      </c>
      <c r="B47" s="2" t="s">
        <v>7</v>
      </c>
      <c r="C47" s="2" t="s">
        <v>28</v>
      </c>
      <c r="D47" s="9">
        <f>datos_base!$F$3*parametros_carros!B$13</f>
        <v>29.155</v>
      </c>
      <c r="E47" s="9">
        <f>datos_base!$F$3*parametros_carros!C$13</f>
        <v>25.725</v>
      </c>
      <c r="F47" s="9">
        <f>datos_base!$F$3*parametros_carros!D$13</f>
        <v>30.87</v>
      </c>
      <c r="G47" s="9">
        <f>datos_base!$F$3*parametros_carros!E$13</f>
        <v>30.87</v>
      </c>
      <c r="H47" s="9">
        <f>datos_base!$F$3*parametros_carros!F$13</f>
        <v>30.87</v>
      </c>
      <c r="I47" s="9">
        <f>datos_base!$F$3*parametros_carros!G$13</f>
        <v>27.44</v>
      </c>
      <c r="J47" s="9">
        <f>datos_base!$F$3*parametros_carros!H$13</f>
        <v>30.87</v>
      </c>
      <c r="K47" s="9">
        <f>datos_base!$F$3*parametros_carros!I$13</f>
        <v>30.87</v>
      </c>
      <c r="L47" s="9">
        <f>datos_base!$F$3*parametros_carros!J$13</f>
        <v>29.155</v>
      </c>
      <c r="M47" s="9">
        <f>datos_base!$F$3*parametros_carros!K$13</f>
        <v>25.725</v>
      </c>
      <c r="N47" s="9">
        <f>datos_base!$F$3*parametros_carros!L$13</f>
        <v>24.01</v>
      </c>
      <c r="O47" s="9">
        <f>datos_base!$F$3*parametros_carros!M$13</f>
        <v>27.44</v>
      </c>
      <c r="P47" s="17">
        <f t="shared" si="9"/>
        <v>343</v>
      </c>
    </row>
    <row r="48" ht="14.25" customHeight="1">
      <c r="A48" s="5">
        <v>2030.0</v>
      </c>
      <c r="B48" s="2" t="s">
        <v>12</v>
      </c>
      <c r="C48" s="2" t="s">
        <v>28</v>
      </c>
      <c r="D48" s="9">
        <f>datos_base!$F$4*parametros_carros!B$14</f>
        <v>6.29</v>
      </c>
      <c r="E48" s="9">
        <f>datos_base!$F$4*parametros_carros!C$14</f>
        <v>5.55</v>
      </c>
      <c r="F48" s="9">
        <f>datos_base!$F$4*parametros_carros!D$14</f>
        <v>6.66</v>
      </c>
      <c r="G48" s="9">
        <f>datos_base!$F$4*parametros_carros!E$14</f>
        <v>6.66</v>
      </c>
      <c r="H48" s="9">
        <f>datos_base!$F$4*parametros_carros!F$14</f>
        <v>6.66</v>
      </c>
      <c r="I48" s="9">
        <f>datos_base!$F$4*parametros_carros!G$14</f>
        <v>5.92</v>
      </c>
      <c r="J48" s="9">
        <f>datos_base!$F$4*parametros_carros!H$14</f>
        <v>6.66</v>
      </c>
      <c r="K48" s="9">
        <f>datos_base!$F$4*parametros_carros!I$14</f>
        <v>6.66</v>
      </c>
      <c r="L48" s="9">
        <f>datos_base!$F$4*parametros_carros!J$14</f>
        <v>6.29</v>
      </c>
      <c r="M48" s="9">
        <f>datos_base!$F$4*parametros_carros!K$14</f>
        <v>5.55</v>
      </c>
      <c r="N48" s="9">
        <f>datos_base!$F$4*parametros_carros!L$14</f>
        <v>5.18</v>
      </c>
      <c r="O48" s="9">
        <f>datos_base!$F$4*parametros_carros!M$14</f>
        <v>5.92</v>
      </c>
      <c r="P48" s="17">
        <f t="shared" si="9"/>
        <v>74</v>
      </c>
    </row>
    <row r="49" ht="14.25" customHeight="1">
      <c r="A49" s="5">
        <v>2030.0</v>
      </c>
      <c r="B49" s="2" t="s">
        <v>17</v>
      </c>
      <c r="C49" s="2" t="s">
        <v>28</v>
      </c>
      <c r="D49" s="9">
        <f>datos_base!$F$5*parametros_carros!B$15</f>
        <v>4.25</v>
      </c>
      <c r="E49" s="9">
        <f>datos_base!$F$5*parametros_carros!C$15</f>
        <v>3.75</v>
      </c>
      <c r="F49" s="9">
        <f>datos_base!$F$5*parametros_carros!D$15</f>
        <v>4.5</v>
      </c>
      <c r="G49" s="9">
        <f>datos_base!$F$5*parametros_carros!E$15</f>
        <v>4.5</v>
      </c>
      <c r="H49" s="9">
        <f>datos_base!$F$5*parametros_carros!F$15</f>
        <v>4.5</v>
      </c>
      <c r="I49" s="9">
        <f>datos_base!$F$5*parametros_carros!G$15</f>
        <v>4</v>
      </c>
      <c r="J49" s="9">
        <f>datos_base!$F$5*parametros_carros!H$15</f>
        <v>4.5</v>
      </c>
      <c r="K49" s="9">
        <f>datos_base!$F$5*parametros_carros!I$15</f>
        <v>4.5</v>
      </c>
      <c r="L49" s="9">
        <f>datos_base!$F$5*parametros_carros!J$15</f>
        <v>4.25</v>
      </c>
      <c r="M49" s="9">
        <f>datos_base!$F$5*parametros_carros!K$15</f>
        <v>3.75</v>
      </c>
      <c r="N49" s="9">
        <f>datos_base!$F$5*parametros_carros!L$15</f>
        <v>3.5</v>
      </c>
      <c r="O49" s="9">
        <f>datos_base!$F$5*parametros_carros!M$15</f>
        <v>4</v>
      </c>
      <c r="P49" s="17">
        <f t="shared" si="9"/>
        <v>50</v>
      </c>
    </row>
    <row r="50" ht="14.25" customHeight="1">
      <c r="A50" s="5">
        <v>2030.0</v>
      </c>
      <c r="B50" s="2" t="s">
        <v>42</v>
      </c>
      <c r="C50" s="2" t="s">
        <v>108</v>
      </c>
      <c r="D50" s="9">
        <f>datos_base!$F$9*parametros_carros!B$12</f>
        <v>7.905</v>
      </c>
      <c r="E50" s="9">
        <f>datos_base!$F$9*parametros_carros!C$12</f>
        <v>6.975</v>
      </c>
      <c r="F50" s="9">
        <f>datos_base!$F$9*parametros_carros!D$12</f>
        <v>8.37</v>
      </c>
      <c r="G50" s="9">
        <f>datos_base!$F$9*parametros_carros!E$12</f>
        <v>8.37</v>
      </c>
      <c r="H50" s="9">
        <f>datos_base!$F$9*parametros_carros!F$12</f>
        <v>8.37</v>
      </c>
      <c r="I50" s="9">
        <f>datos_base!$F$9*parametros_carros!G$12</f>
        <v>7.44</v>
      </c>
      <c r="J50" s="9">
        <f>datos_base!$F$9*parametros_carros!H$12</f>
        <v>8.37</v>
      </c>
      <c r="K50" s="9">
        <f>datos_base!$F$9*parametros_carros!I$12</f>
        <v>8.37</v>
      </c>
      <c r="L50" s="9">
        <f>datos_base!$F$9*parametros_carros!J$12</f>
        <v>7.905</v>
      </c>
      <c r="M50" s="9">
        <f>datos_base!$F$9*parametros_carros!K$12</f>
        <v>6.975</v>
      </c>
      <c r="N50" s="9">
        <f>datos_base!$F$9*parametros_carros!L$12</f>
        <v>6.51</v>
      </c>
      <c r="O50" s="9">
        <f>datos_base!$F$9*parametros_carros!M$12</f>
        <v>7.44</v>
      </c>
      <c r="P50" s="17">
        <f t="shared" si="9"/>
        <v>93</v>
      </c>
    </row>
    <row r="51" ht="14.25" customHeight="1">
      <c r="A51" s="5">
        <v>2030.0</v>
      </c>
      <c r="B51" s="2" t="s">
        <v>43</v>
      </c>
      <c r="C51" s="2" t="s">
        <v>108</v>
      </c>
      <c r="D51" s="9">
        <f>datos_base!$F$10*parametros_carros!B$13</f>
        <v>17.425</v>
      </c>
      <c r="E51" s="9">
        <f>datos_base!$F$10*parametros_carros!C$13</f>
        <v>15.375</v>
      </c>
      <c r="F51" s="9">
        <f>datos_base!$F$10*parametros_carros!D$13</f>
        <v>18.45</v>
      </c>
      <c r="G51" s="9">
        <f>datos_base!$F$10*parametros_carros!E$13</f>
        <v>18.45</v>
      </c>
      <c r="H51" s="9">
        <f>datos_base!$F$10*parametros_carros!F$13</f>
        <v>18.45</v>
      </c>
      <c r="I51" s="9">
        <f>datos_base!$F$10*parametros_carros!G$13</f>
        <v>16.4</v>
      </c>
      <c r="J51" s="9">
        <f>datos_base!$F$10*parametros_carros!H$13</f>
        <v>18.45</v>
      </c>
      <c r="K51" s="9">
        <f>datos_base!$F$10*parametros_carros!I$13</f>
        <v>18.45</v>
      </c>
      <c r="L51" s="9">
        <f>datos_base!$F$10*parametros_carros!J$13</f>
        <v>17.425</v>
      </c>
      <c r="M51" s="9">
        <f>datos_base!$F$10*parametros_carros!K$13</f>
        <v>15.375</v>
      </c>
      <c r="N51" s="9">
        <f>datos_base!$F$10*parametros_carros!L$13</f>
        <v>14.35</v>
      </c>
      <c r="O51" s="9">
        <f>datos_base!$F$10*parametros_carros!M$13</f>
        <v>16.4</v>
      </c>
      <c r="P51" s="17">
        <f t="shared" si="9"/>
        <v>205</v>
      </c>
    </row>
    <row r="52" ht="14.25" customHeight="1">
      <c r="A52" s="5">
        <v>2030.0</v>
      </c>
      <c r="B52" s="2" t="s">
        <v>44</v>
      </c>
      <c r="C52" s="2" t="s">
        <v>108</v>
      </c>
      <c r="D52" s="9">
        <f>datos_base!$F$11*parametros_carros!B$14</f>
        <v>3.825</v>
      </c>
      <c r="E52" s="9">
        <f>datos_base!$F$11*parametros_carros!C$14</f>
        <v>3.375</v>
      </c>
      <c r="F52" s="9">
        <f>datos_base!$F$11*parametros_carros!D$14</f>
        <v>4.05</v>
      </c>
      <c r="G52" s="9">
        <f>datos_base!$F$11*parametros_carros!E$14</f>
        <v>4.05</v>
      </c>
      <c r="H52" s="9">
        <f>datos_base!$F$11*parametros_carros!F$14</f>
        <v>4.05</v>
      </c>
      <c r="I52" s="9">
        <f>datos_base!$F$11*parametros_carros!G$14</f>
        <v>3.6</v>
      </c>
      <c r="J52" s="9">
        <f>datos_base!$F$11*parametros_carros!H$14</f>
        <v>4.05</v>
      </c>
      <c r="K52" s="9">
        <f>datos_base!$F$11*parametros_carros!I$14</f>
        <v>4.05</v>
      </c>
      <c r="L52" s="9">
        <f>datos_base!$F$11*parametros_carros!J$14</f>
        <v>3.825</v>
      </c>
      <c r="M52" s="9">
        <f>datos_base!$F$11*parametros_carros!K$14</f>
        <v>3.375</v>
      </c>
      <c r="N52" s="9">
        <f>datos_base!$F$11*parametros_carros!L$14</f>
        <v>3.15</v>
      </c>
      <c r="O52" s="9">
        <f>datos_base!$F$11*parametros_carros!M$14</f>
        <v>3.6</v>
      </c>
      <c r="P52" s="17">
        <f t="shared" si="9"/>
        <v>45</v>
      </c>
    </row>
    <row r="53" ht="14.25" customHeight="1">
      <c r="A53" s="5">
        <v>2030.0</v>
      </c>
      <c r="B53" s="2" t="s">
        <v>45</v>
      </c>
      <c r="C53" s="2" t="s">
        <v>108</v>
      </c>
      <c r="D53" s="9">
        <f>datos_base!$F$12*parametros_carros!B$15</f>
        <v>2.55</v>
      </c>
      <c r="E53" s="9">
        <f>datos_base!$F$12*parametros_carros!C$15</f>
        <v>2.25</v>
      </c>
      <c r="F53" s="9">
        <f>datos_base!$F$12*parametros_carros!D$15</f>
        <v>2.7</v>
      </c>
      <c r="G53" s="9">
        <f>datos_base!$F$12*parametros_carros!E$15</f>
        <v>2.7</v>
      </c>
      <c r="H53" s="9">
        <f>datos_base!$F$12*parametros_carros!F$15</f>
        <v>2.7</v>
      </c>
      <c r="I53" s="9">
        <f>datos_base!$F$12*parametros_carros!G$15</f>
        <v>2.4</v>
      </c>
      <c r="J53" s="9">
        <f>datos_base!$F$12*parametros_carros!H$15</f>
        <v>2.7</v>
      </c>
      <c r="K53" s="9">
        <f>datos_base!$F$12*parametros_carros!I$15</f>
        <v>2.7</v>
      </c>
      <c r="L53" s="9">
        <f>datos_base!$F$12*parametros_carros!J$15</f>
        <v>2.55</v>
      </c>
      <c r="M53" s="9">
        <f>datos_base!$F$12*parametros_carros!K$15</f>
        <v>2.25</v>
      </c>
      <c r="N53" s="9">
        <f>datos_base!$F$12*parametros_carros!L$15</f>
        <v>2.1</v>
      </c>
      <c r="O53" s="9">
        <f>datos_base!$F$12*parametros_carros!M$15</f>
        <v>2.4</v>
      </c>
      <c r="P53" s="17">
        <f t="shared" si="9"/>
        <v>30</v>
      </c>
    </row>
    <row r="54" ht="14.25" customHeight="1">
      <c r="A54" s="29"/>
      <c r="B54" s="14" t="s">
        <v>119</v>
      </c>
      <c r="C54" s="29"/>
      <c r="D54" s="30">
        <f t="shared" ref="D54:P54" si="10">SUM(D46:D53)</f>
        <v>84.66</v>
      </c>
      <c r="E54" s="30">
        <f t="shared" si="10"/>
        <v>74.7</v>
      </c>
      <c r="F54" s="30">
        <f t="shared" si="10"/>
        <v>89.64</v>
      </c>
      <c r="G54" s="30">
        <f t="shared" si="10"/>
        <v>89.64</v>
      </c>
      <c r="H54" s="30">
        <f t="shared" si="10"/>
        <v>89.64</v>
      </c>
      <c r="I54" s="30">
        <f t="shared" si="10"/>
        <v>79.68</v>
      </c>
      <c r="J54" s="30">
        <f t="shared" si="10"/>
        <v>89.64</v>
      </c>
      <c r="K54" s="30">
        <f t="shared" si="10"/>
        <v>89.64</v>
      </c>
      <c r="L54" s="30">
        <f t="shared" si="10"/>
        <v>84.66</v>
      </c>
      <c r="M54" s="30">
        <f t="shared" si="10"/>
        <v>74.7</v>
      </c>
      <c r="N54" s="30">
        <f t="shared" si="10"/>
        <v>69.72</v>
      </c>
      <c r="O54" s="30">
        <f t="shared" si="10"/>
        <v>79.68</v>
      </c>
      <c r="P54" s="30">
        <f t="shared" si="10"/>
        <v>996</v>
      </c>
    </row>
    <row r="55" ht="14.25" customHeight="1"/>
    <row r="56" ht="14.25" customHeight="1">
      <c r="A56" s="1">
        <v>2031.0</v>
      </c>
      <c r="B56" s="1" t="s">
        <v>3</v>
      </c>
      <c r="C56" s="1" t="s">
        <v>5</v>
      </c>
      <c r="D56" s="1" t="s">
        <v>8</v>
      </c>
      <c r="E56" s="1" t="s">
        <v>9</v>
      </c>
      <c r="F56" s="1" t="s">
        <v>11</v>
      </c>
      <c r="G56" s="1" t="s">
        <v>13</v>
      </c>
      <c r="H56" s="1" t="s">
        <v>14</v>
      </c>
      <c r="I56" s="1" t="s">
        <v>15</v>
      </c>
      <c r="J56" s="1" t="s">
        <v>16</v>
      </c>
      <c r="K56" s="1" t="s">
        <v>18</v>
      </c>
      <c r="L56" s="1" t="s">
        <v>19</v>
      </c>
      <c r="M56" s="1" t="s">
        <v>20</v>
      </c>
      <c r="N56" s="1" t="s">
        <v>21</v>
      </c>
      <c r="O56" s="1" t="s">
        <v>22</v>
      </c>
      <c r="P56" s="1" t="s">
        <v>23</v>
      </c>
    </row>
    <row r="57" ht="14.25" customHeight="1">
      <c r="A57" s="5">
        <v>2031.0</v>
      </c>
      <c r="B57" s="2" t="s">
        <v>1</v>
      </c>
      <c r="C57" s="2" t="s">
        <v>28</v>
      </c>
      <c r="D57" s="9">
        <f>datos_base!$G$2*parametros_carros!B$12</f>
        <v>18.02</v>
      </c>
      <c r="E57" s="9">
        <f>datos_base!$G$2*parametros_carros!C$12</f>
        <v>15.9</v>
      </c>
      <c r="F57" s="9">
        <f>datos_base!$G$2*parametros_carros!D$12</f>
        <v>19.08</v>
      </c>
      <c r="G57" s="9">
        <f>datos_base!$G$2*parametros_carros!E$12</f>
        <v>19.08</v>
      </c>
      <c r="H57" s="9">
        <f>datos_base!$G$2*parametros_carros!F$12</f>
        <v>19.08</v>
      </c>
      <c r="I57" s="9">
        <f>datos_base!$G$2*parametros_carros!G$12</f>
        <v>16.96</v>
      </c>
      <c r="J57" s="9">
        <f>datos_base!$G$2*parametros_carros!H$12</f>
        <v>19.08</v>
      </c>
      <c r="K57" s="9">
        <f>datos_base!$G$2*parametros_carros!I$12</f>
        <v>19.08</v>
      </c>
      <c r="L57" s="9">
        <f>datos_base!$G$2*parametros_carros!J$12</f>
        <v>18.02</v>
      </c>
      <c r="M57" s="9">
        <f>datos_base!$G$2*parametros_carros!K$12</f>
        <v>15.9</v>
      </c>
      <c r="N57" s="9">
        <f>datos_base!$G$2*parametros_carros!L$12</f>
        <v>14.84</v>
      </c>
      <c r="O57" s="9">
        <f>datos_base!$G$2*parametros_carros!M$12</f>
        <v>16.96</v>
      </c>
      <c r="P57" s="17">
        <f t="shared" ref="P57:P64" si="11">SUM(D57:O57)</f>
        <v>212</v>
      </c>
    </row>
    <row r="58" ht="14.25" customHeight="1">
      <c r="A58" s="5">
        <v>2031.0</v>
      </c>
      <c r="B58" s="2" t="s">
        <v>7</v>
      </c>
      <c r="C58" s="2" t="s">
        <v>28</v>
      </c>
      <c r="D58" s="9">
        <f>datos_base!$G$3*parametros_carros!B$13</f>
        <v>39.61</v>
      </c>
      <c r="E58" s="9">
        <f>datos_base!$G$3*parametros_carros!C$13</f>
        <v>34.95</v>
      </c>
      <c r="F58" s="9">
        <f>datos_base!$G$3*parametros_carros!D$13</f>
        <v>41.94</v>
      </c>
      <c r="G58" s="9">
        <f>datos_base!$G$3*parametros_carros!E$13</f>
        <v>41.94</v>
      </c>
      <c r="H58" s="9">
        <f>datos_base!$G$3*parametros_carros!F$13</f>
        <v>41.94</v>
      </c>
      <c r="I58" s="9">
        <f>datos_base!$G$3*parametros_carros!G$13</f>
        <v>37.28</v>
      </c>
      <c r="J58" s="9">
        <f>datos_base!$G$3*parametros_carros!H$13</f>
        <v>41.94</v>
      </c>
      <c r="K58" s="9">
        <f>datos_base!$G$3*parametros_carros!I$13</f>
        <v>41.94</v>
      </c>
      <c r="L58" s="9">
        <f>datos_base!$G$3*parametros_carros!J$13</f>
        <v>39.61</v>
      </c>
      <c r="M58" s="9">
        <f>datos_base!$G$3*parametros_carros!K$13</f>
        <v>34.95</v>
      </c>
      <c r="N58" s="9">
        <f>datos_base!$G$3*parametros_carros!L$13</f>
        <v>32.62</v>
      </c>
      <c r="O58" s="9">
        <f>datos_base!$G$3*parametros_carros!M$13</f>
        <v>37.28</v>
      </c>
      <c r="P58" s="17">
        <f t="shared" si="11"/>
        <v>466</v>
      </c>
    </row>
    <row r="59" ht="14.25" customHeight="1">
      <c r="A59" s="5">
        <v>2031.0</v>
      </c>
      <c r="B59" s="2" t="s">
        <v>12</v>
      </c>
      <c r="C59" s="2" t="s">
        <v>28</v>
      </c>
      <c r="D59" s="9">
        <f>datos_base!$G$4*parametros_carros!B$14</f>
        <v>8.585</v>
      </c>
      <c r="E59" s="9">
        <f>datos_base!$G$4*parametros_carros!C$14</f>
        <v>7.575</v>
      </c>
      <c r="F59" s="9">
        <f>datos_base!$G$4*parametros_carros!D$14</f>
        <v>9.09</v>
      </c>
      <c r="G59" s="9">
        <f>datos_base!$G$4*parametros_carros!E$14</f>
        <v>9.09</v>
      </c>
      <c r="H59" s="9">
        <f>datos_base!$G$4*parametros_carros!F$14</f>
        <v>9.09</v>
      </c>
      <c r="I59" s="9">
        <f>datos_base!$G$4*parametros_carros!G$14</f>
        <v>8.08</v>
      </c>
      <c r="J59" s="9">
        <f>datos_base!$G$4*parametros_carros!H$14</f>
        <v>9.09</v>
      </c>
      <c r="K59" s="9">
        <f>datos_base!$G$4*parametros_carros!I$14</f>
        <v>9.09</v>
      </c>
      <c r="L59" s="9">
        <f>datos_base!$G$4*parametros_carros!J$14</f>
        <v>8.585</v>
      </c>
      <c r="M59" s="9">
        <f>datos_base!$G$4*parametros_carros!K$14</f>
        <v>7.575</v>
      </c>
      <c r="N59" s="9">
        <f>datos_base!$G$4*parametros_carros!L$14</f>
        <v>7.07</v>
      </c>
      <c r="O59" s="9">
        <f>datos_base!$G$4*parametros_carros!M$14</f>
        <v>8.08</v>
      </c>
      <c r="P59" s="17">
        <f t="shared" si="11"/>
        <v>101</v>
      </c>
    </row>
    <row r="60" ht="14.25" customHeight="1">
      <c r="A60" s="5">
        <v>2031.0</v>
      </c>
      <c r="B60" s="2" t="s">
        <v>17</v>
      </c>
      <c r="C60" s="2" t="s">
        <v>28</v>
      </c>
      <c r="D60" s="9">
        <f>datos_base!$G$5*parametros_carros!B$15</f>
        <v>5.695</v>
      </c>
      <c r="E60" s="9">
        <f>datos_base!$G$5*parametros_carros!C$15</f>
        <v>5.025</v>
      </c>
      <c r="F60" s="9">
        <f>datos_base!$G$5*parametros_carros!D$15</f>
        <v>6.03</v>
      </c>
      <c r="G60" s="9">
        <f>datos_base!$G$5*parametros_carros!E$15</f>
        <v>6.03</v>
      </c>
      <c r="H60" s="9">
        <f>datos_base!$G$5*parametros_carros!F$15</f>
        <v>6.03</v>
      </c>
      <c r="I60" s="9">
        <f>datos_base!$G$5*parametros_carros!G$15</f>
        <v>5.36</v>
      </c>
      <c r="J60" s="9">
        <f>datos_base!$G$5*parametros_carros!H$15</f>
        <v>6.03</v>
      </c>
      <c r="K60" s="9">
        <f>datos_base!$G$5*parametros_carros!I$15</f>
        <v>6.03</v>
      </c>
      <c r="L60" s="9">
        <f>datos_base!$G$5*parametros_carros!J$15</f>
        <v>5.695</v>
      </c>
      <c r="M60" s="9">
        <f>datos_base!$G$5*parametros_carros!K$15</f>
        <v>5.025</v>
      </c>
      <c r="N60" s="9">
        <f>datos_base!$G$5*parametros_carros!L$15</f>
        <v>4.69</v>
      </c>
      <c r="O60" s="9">
        <f>datos_base!$G$5*parametros_carros!M$15</f>
        <v>5.36</v>
      </c>
      <c r="P60" s="17">
        <f t="shared" si="11"/>
        <v>67</v>
      </c>
    </row>
    <row r="61" ht="14.25" customHeight="1">
      <c r="A61" s="5">
        <v>2031.0</v>
      </c>
      <c r="B61" s="2" t="s">
        <v>42</v>
      </c>
      <c r="C61" s="2" t="s">
        <v>108</v>
      </c>
      <c r="D61" s="9">
        <f>datos_base!$G$9*parametros_carros!B$12</f>
        <v>11.475</v>
      </c>
      <c r="E61" s="9">
        <f>datos_base!$G$9*parametros_carros!C$12</f>
        <v>10.125</v>
      </c>
      <c r="F61" s="9">
        <f>datos_base!$G$9*parametros_carros!D$12</f>
        <v>12.15</v>
      </c>
      <c r="G61" s="9">
        <f>datos_base!$G$9*parametros_carros!E$12</f>
        <v>12.15</v>
      </c>
      <c r="H61" s="9">
        <f>datos_base!$G$9*parametros_carros!F$12</f>
        <v>12.15</v>
      </c>
      <c r="I61" s="9">
        <f>datos_base!$G$9*parametros_carros!G$12</f>
        <v>10.8</v>
      </c>
      <c r="J61" s="9">
        <f>datos_base!$G$9*parametros_carros!H$12</f>
        <v>12.15</v>
      </c>
      <c r="K61" s="9">
        <f>datos_base!$G$9*parametros_carros!I$12</f>
        <v>12.15</v>
      </c>
      <c r="L61" s="9">
        <f>datos_base!$G$9*parametros_carros!J$12</f>
        <v>11.475</v>
      </c>
      <c r="M61" s="9">
        <f>datos_base!$G$9*parametros_carros!K$12</f>
        <v>10.125</v>
      </c>
      <c r="N61" s="9">
        <f>datos_base!$G$9*parametros_carros!L$12</f>
        <v>9.45</v>
      </c>
      <c r="O61" s="9">
        <f>datos_base!$G$9*parametros_carros!M$12</f>
        <v>10.8</v>
      </c>
      <c r="P61" s="17">
        <f t="shared" si="11"/>
        <v>135</v>
      </c>
    </row>
    <row r="62" ht="14.25" customHeight="1">
      <c r="A62" s="5">
        <v>2031.0</v>
      </c>
      <c r="B62" s="2" t="s">
        <v>43</v>
      </c>
      <c r="C62" s="2" t="s">
        <v>108</v>
      </c>
      <c r="D62" s="9">
        <f>datos_base!$G$10*parametros_carros!B$13</f>
        <v>25.33</v>
      </c>
      <c r="E62" s="9">
        <f>datos_base!$G$10*parametros_carros!C$13</f>
        <v>22.35</v>
      </c>
      <c r="F62" s="9">
        <f>datos_base!$G$10*parametros_carros!D$13</f>
        <v>26.82</v>
      </c>
      <c r="G62" s="9">
        <f>datos_base!$G$10*parametros_carros!E$13</f>
        <v>26.82</v>
      </c>
      <c r="H62" s="9">
        <f>datos_base!$G$10*parametros_carros!F$13</f>
        <v>26.82</v>
      </c>
      <c r="I62" s="9">
        <f>datos_base!$G$10*parametros_carros!G$13</f>
        <v>23.84</v>
      </c>
      <c r="J62" s="9">
        <f>datos_base!$G$10*parametros_carros!H$13</f>
        <v>26.82</v>
      </c>
      <c r="K62" s="9">
        <f>datos_base!$G$10*parametros_carros!I$13</f>
        <v>26.82</v>
      </c>
      <c r="L62" s="9">
        <f>datos_base!$G$10*parametros_carros!J$13</f>
        <v>25.33</v>
      </c>
      <c r="M62" s="9">
        <f>datos_base!$G$10*parametros_carros!K$13</f>
        <v>22.35</v>
      </c>
      <c r="N62" s="9">
        <f>datos_base!$G$10*parametros_carros!L$13</f>
        <v>20.86</v>
      </c>
      <c r="O62" s="9">
        <f>datos_base!$G$10*parametros_carros!M$13</f>
        <v>23.84</v>
      </c>
      <c r="P62" s="17">
        <f t="shared" si="11"/>
        <v>298</v>
      </c>
    </row>
    <row r="63" ht="14.25" customHeight="1">
      <c r="A63" s="5">
        <v>2031.0</v>
      </c>
      <c r="B63" s="2" t="s">
        <v>44</v>
      </c>
      <c r="C63" s="2" t="s">
        <v>108</v>
      </c>
      <c r="D63" s="9">
        <f>datos_base!$G$11*parametros_carros!B$14</f>
        <v>5.525</v>
      </c>
      <c r="E63" s="9">
        <f>datos_base!$G$11*parametros_carros!C$14</f>
        <v>4.875</v>
      </c>
      <c r="F63" s="9">
        <f>datos_base!$G$11*parametros_carros!D$14</f>
        <v>5.85</v>
      </c>
      <c r="G63" s="9">
        <f>datos_base!$G$11*parametros_carros!E$14</f>
        <v>5.85</v>
      </c>
      <c r="H63" s="9">
        <f>datos_base!$G$11*parametros_carros!F$14</f>
        <v>5.85</v>
      </c>
      <c r="I63" s="9">
        <f>datos_base!$G$11*parametros_carros!G$14</f>
        <v>5.2</v>
      </c>
      <c r="J63" s="9">
        <f>datos_base!$G$11*parametros_carros!H$14</f>
        <v>5.85</v>
      </c>
      <c r="K63" s="9">
        <f>datos_base!$G$11*parametros_carros!I$14</f>
        <v>5.85</v>
      </c>
      <c r="L63" s="9">
        <f>datos_base!$G$11*parametros_carros!J$14</f>
        <v>5.525</v>
      </c>
      <c r="M63" s="9">
        <f>datos_base!$G$11*parametros_carros!K$14</f>
        <v>4.875</v>
      </c>
      <c r="N63" s="9">
        <f>datos_base!$G$11*parametros_carros!L$14</f>
        <v>4.55</v>
      </c>
      <c r="O63" s="9">
        <f>datos_base!$G$11*parametros_carros!M$14</f>
        <v>5.2</v>
      </c>
      <c r="P63" s="17">
        <f t="shared" si="11"/>
        <v>65</v>
      </c>
    </row>
    <row r="64" ht="14.25" customHeight="1">
      <c r="A64" s="5">
        <v>2031.0</v>
      </c>
      <c r="B64" s="2" t="s">
        <v>45</v>
      </c>
      <c r="C64" s="2" t="s">
        <v>108</v>
      </c>
      <c r="D64" s="9">
        <f>datos_base!$G$12*parametros_carros!B$15</f>
        <v>3.655</v>
      </c>
      <c r="E64" s="9">
        <f>datos_base!$G$12*parametros_carros!C$15</f>
        <v>3.225</v>
      </c>
      <c r="F64" s="9">
        <f>datos_base!$G$12*parametros_carros!D$15</f>
        <v>3.87</v>
      </c>
      <c r="G64" s="9">
        <f>datos_base!$G$12*parametros_carros!E$15</f>
        <v>3.87</v>
      </c>
      <c r="H64" s="9">
        <f>datos_base!$G$12*parametros_carros!F$15</f>
        <v>3.87</v>
      </c>
      <c r="I64" s="9">
        <f>datos_base!$G$12*parametros_carros!G$15</f>
        <v>3.44</v>
      </c>
      <c r="J64" s="9">
        <f>datos_base!$G$12*parametros_carros!H$15</f>
        <v>3.87</v>
      </c>
      <c r="K64" s="9">
        <f>datos_base!$G$12*parametros_carros!I$15</f>
        <v>3.87</v>
      </c>
      <c r="L64" s="9">
        <f>datos_base!$G$12*parametros_carros!J$15</f>
        <v>3.655</v>
      </c>
      <c r="M64" s="9">
        <f>datos_base!$G$12*parametros_carros!K$15</f>
        <v>3.225</v>
      </c>
      <c r="N64" s="9">
        <f>datos_base!$G$12*parametros_carros!L$15</f>
        <v>3.01</v>
      </c>
      <c r="O64" s="9">
        <f>datos_base!$G$12*parametros_carros!M$15</f>
        <v>3.44</v>
      </c>
      <c r="P64" s="17">
        <f t="shared" si="11"/>
        <v>43</v>
      </c>
    </row>
    <row r="65" ht="14.25" customHeight="1">
      <c r="A65" s="29"/>
      <c r="B65" s="14" t="s">
        <v>119</v>
      </c>
      <c r="C65" s="29"/>
      <c r="D65" s="30">
        <f t="shared" ref="D65:P65" si="12">SUM(D57:D64)</f>
        <v>117.895</v>
      </c>
      <c r="E65" s="30">
        <f t="shared" si="12"/>
        <v>104.025</v>
      </c>
      <c r="F65" s="30">
        <f t="shared" si="12"/>
        <v>124.83</v>
      </c>
      <c r="G65" s="30">
        <f t="shared" si="12"/>
        <v>124.83</v>
      </c>
      <c r="H65" s="30">
        <f t="shared" si="12"/>
        <v>124.83</v>
      </c>
      <c r="I65" s="30">
        <f t="shared" si="12"/>
        <v>110.96</v>
      </c>
      <c r="J65" s="30">
        <f t="shared" si="12"/>
        <v>124.83</v>
      </c>
      <c r="K65" s="30">
        <f t="shared" si="12"/>
        <v>124.83</v>
      </c>
      <c r="L65" s="30">
        <f t="shared" si="12"/>
        <v>117.895</v>
      </c>
      <c r="M65" s="30">
        <f t="shared" si="12"/>
        <v>104.025</v>
      </c>
      <c r="N65" s="30">
        <f t="shared" si="12"/>
        <v>97.09</v>
      </c>
      <c r="O65" s="30">
        <f t="shared" si="12"/>
        <v>110.96</v>
      </c>
      <c r="P65" s="30">
        <f t="shared" si="12"/>
        <v>1387</v>
      </c>
    </row>
    <row r="66" ht="14.25" customHeight="1"/>
    <row r="67" ht="14.25" customHeight="1">
      <c r="A67" s="1">
        <v>2032.0</v>
      </c>
      <c r="B67" s="1" t="s">
        <v>3</v>
      </c>
      <c r="C67" s="1" t="s">
        <v>5</v>
      </c>
      <c r="D67" s="1" t="s">
        <v>8</v>
      </c>
      <c r="E67" s="1" t="s">
        <v>9</v>
      </c>
      <c r="F67" s="1" t="s">
        <v>11</v>
      </c>
      <c r="G67" s="1" t="s">
        <v>13</v>
      </c>
      <c r="H67" s="1" t="s">
        <v>14</v>
      </c>
      <c r="I67" s="1" t="s">
        <v>15</v>
      </c>
      <c r="J67" s="1" t="s">
        <v>16</v>
      </c>
      <c r="K67" s="1" t="s">
        <v>18</v>
      </c>
      <c r="L67" s="1" t="s">
        <v>19</v>
      </c>
      <c r="M67" s="1" t="s">
        <v>20</v>
      </c>
      <c r="N67" s="1" t="s">
        <v>21</v>
      </c>
      <c r="O67" s="1" t="s">
        <v>22</v>
      </c>
      <c r="P67" s="1" t="s">
        <v>23</v>
      </c>
    </row>
    <row r="68" ht="14.25" customHeight="1">
      <c r="A68" s="5">
        <v>2032.0</v>
      </c>
      <c r="B68" s="2" t="s">
        <v>1</v>
      </c>
      <c r="C68" s="2" t="s">
        <v>28</v>
      </c>
      <c r="D68" s="9">
        <f>datos_base!$H$2*parametros_carros!B$12</f>
        <v>23.205</v>
      </c>
      <c r="E68" s="9">
        <f>datos_base!$H$2*parametros_carros!C$12</f>
        <v>20.475</v>
      </c>
      <c r="F68" s="9">
        <f>datos_base!$H$2*parametros_carros!D$12</f>
        <v>24.57</v>
      </c>
      <c r="G68" s="9">
        <f>datos_base!$H$2*parametros_carros!E$12</f>
        <v>24.57</v>
      </c>
      <c r="H68" s="9">
        <f>datos_base!$H$2*parametros_carros!F$12</f>
        <v>24.57</v>
      </c>
      <c r="I68" s="9">
        <f>datos_base!$H$2*parametros_carros!G$12</f>
        <v>21.84</v>
      </c>
      <c r="J68" s="9">
        <f>datos_base!$H$2*parametros_carros!H$12</f>
        <v>24.57</v>
      </c>
      <c r="K68" s="9">
        <f>datos_base!$H$2*parametros_carros!I$12</f>
        <v>24.57</v>
      </c>
      <c r="L68" s="9">
        <f>datos_base!$H$2*parametros_carros!J$12</f>
        <v>23.205</v>
      </c>
      <c r="M68" s="9">
        <f>datos_base!$H$2*parametros_carros!K$12</f>
        <v>20.475</v>
      </c>
      <c r="N68" s="9">
        <f>datos_base!$H$2*parametros_carros!L$12</f>
        <v>19.11</v>
      </c>
      <c r="O68" s="9">
        <f>datos_base!$H$2*parametros_carros!M$12</f>
        <v>21.84</v>
      </c>
      <c r="P68" s="17">
        <f t="shared" ref="P68:P75" si="13">SUM(D68:O68)</f>
        <v>273</v>
      </c>
    </row>
    <row r="69" ht="14.25" customHeight="1">
      <c r="A69" s="5">
        <v>2032.0</v>
      </c>
      <c r="B69" s="2" t="s">
        <v>7</v>
      </c>
      <c r="C69" s="2" t="s">
        <v>28</v>
      </c>
      <c r="D69" s="9">
        <f>datos_base!$H$3*parametros_carros!B$13</f>
        <v>50.915</v>
      </c>
      <c r="E69" s="9">
        <f>datos_base!$H$3*parametros_carros!C$13</f>
        <v>44.925</v>
      </c>
      <c r="F69" s="9">
        <f>datos_base!$H$3*parametros_carros!D$13</f>
        <v>53.91</v>
      </c>
      <c r="G69" s="9">
        <f>datos_base!$H$3*parametros_carros!E$13</f>
        <v>53.91</v>
      </c>
      <c r="H69" s="9">
        <f>datos_base!$H$3*parametros_carros!F$13</f>
        <v>53.91</v>
      </c>
      <c r="I69" s="9">
        <f>datos_base!$H$3*parametros_carros!G$13</f>
        <v>47.92</v>
      </c>
      <c r="J69" s="9">
        <f>datos_base!$H$3*parametros_carros!H$13</f>
        <v>53.91</v>
      </c>
      <c r="K69" s="9">
        <f>datos_base!$H$3*parametros_carros!I$13</f>
        <v>53.91</v>
      </c>
      <c r="L69" s="9">
        <f>datos_base!$H$3*parametros_carros!J$13</f>
        <v>50.915</v>
      </c>
      <c r="M69" s="9">
        <f>datos_base!$H$3*parametros_carros!K$13</f>
        <v>44.925</v>
      </c>
      <c r="N69" s="9">
        <f>datos_base!$H$3*parametros_carros!L$13</f>
        <v>41.93</v>
      </c>
      <c r="O69" s="9">
        <f>datos_base!$H$3*parametros_carros!M$13</f>
        <v>47.92</v>
      </c>
      <c r="P69" s="17">
        <f t="shared" si="13"/>
        <v>599</v>
      </c>
    </row>
    <row r="70" ht="14.25" customHeight="1">
      <c r="A70" s="5">
        <v>2032.0</v>
      </c>
      <c r="B70" s="2" t="s">
        <v>12</v>
      </c>
      <c r="C70" s="2" t="s">
        <v>28</v>
      </c>
      <c r="D70" s="9">
        <f>datos_base!$H$4*parametros_carros!B$14</f>
        <v>11.135</v>
      </c>
      <c r="E70" s="9">
        <f>datos_base!$H$4*parametros_carros!C$14</f>
        <v>9.825</v>
      </c>
      <c r="F70" s="9">
        <f>datos_base!$H$4*parametros_carros!D$14</f>
        <v>11.79</v>
      </c>
      <c r="G70" s="9">
        <f>datos_base!$H$4*parametros_carros!E$14</f>
        <v>11.79</v>
      </c>
      <c r="H70" s="9">
        <f>datos_base!$H$4*parametros_carros!F$14</f>
        <v>11.79</v>
      </c>
      <c r="I70" s="9">
        <f>datos_base!$H$4*parametros_carros!G$14</f>
        <v>10.48</v>
      </c>
      <c r="J70" s="9">
        <f>datos_base!$H$4*parametros_carros!H$14</f>
        <v>11.79</v>
      </c>
      <c r="K70" s="9">
        <f>datos_base!$H$4*parametros_carros!I$14</f>
        <v>11.79</v>
      </c>
      <c r="L70" s="9">
        <f>datos_base!$H$4*parametros_carros!J$14</f>
        <v>11.135</v>
      </c>
      <c r="M70" s="9">
        <f>datos_base!$H$4*parametros_carros!K$14</f>
        <v>9.825</v>
      </c>
      <c r="N70" s="9">
        <f>datos_base!$H$4*parametros_carros!L$14</f>
        <v>9.17</v>
      </c>
      <c r="O70" s="9">
        <f>datos_base!$H$4*parametros_carros!M$14</f>
        <v>10.48</v>
      </c>
      <c r="P70" s="17">
        <f t="shared" si="13"/>
        <v>131</v>
      </c>
    </row>
    <row r="71" ht="14.25" customHeight="1">
      <c r="A71" s="5">
        <v>2032.0</v>
      </c>
      <c r="B71" s="2" t="s">
        <v>17</v>
      </c>
      <c r="C71" s="2" t="s">
        <v>28</v>
      </c>
      <c r="D71" s="9">
        <f>datos_base!$H$5*parametros_carros!B$15</f>
        <v>7.395</v>
      </c>
      <c r="E71" s="9">
        <f>datos_base!$H$5*parametros_carros!C$15</f>
        <v>6.525</v>
      </c>
      <c r="F71" s="9">
        <f>datos_base!$H$5*parametros_carros!D$15</f>
        <v>7.83</v>
      </c>
      <c r="G71" s="9">
        <f>datos_base!$H$5*parametros_carros!E$15</f>
        <v>7.83</v>
      </c>
      <c r="H71" s="9">
        <f>datos_base!$H$5*parametros_carros!F$15</f>
        <v>7.83</v>
      </c>
      <c r="I71" s="9">
        <f>datos_base!$H$5*parametros_carros!G$15</f>
        <v>6.96</v>
      </c>
      <c r="J71" s="9">
        <f>datos_base!$H$5*parametros_carros!H$15</f>
        <v>7.83</v>
      </c>
      <c r="K71" s="9">
        <f>datos_base!$H$5*parametros_carros!I$15</f>
        <v>7.83</v>
      </c>
      <c r="L71" s="9">
        <f>datos_base!$H$5*parametros_carros!J$15</f>
        <v>7.395</v>
      </c>
      <c r="M71" s="9">
        <f>datos_base!$H$5*parametros_carros!K$15</f>
        <v>6.525</v>
      </c>
      <c r="N71" s="9">
        <f>datos_base!$H$5*parametros_carros!L$15</f>
        <v>6.09</v>
      </c>
      <c r="O71" s="9">
        <f>datos_base!$H$5*parametros_carros!M$15</f>
        <v>6.96</v>
      </c>
      <c r="P71" s="17">
        <f t="shared" si="13"/>
        <v>87</v>
      </c>
    </row>
    <row r="72" ht="14.25" customHeight="1">
      <c r="A72" s="5">
        <v>2032.0</v>
      </c>
      <c r="B72" s="2" t="s">
        <v>42</v>
      </c>
      <c r="C72" s="2" t="s">
        <v>108</v>
      </c>
      <c r="D72" s="9">
        <f>datos_base!$H$9*parametros_carros!B$12</f>
        <v>16.235</v>
      </c>
      <c r="E72" s="9">
        <f>datos_base!$H$9*parametros_carros!C$12</f>
        <v>14.325</v>
      </c>
      <c r="F72" s="9">
        <f>datos_base!$H$9*parametros_carros!D$12</f>
        <v>17.19</v>
      </c>
      <c r="G72" s="9">
        <f>datos_base!$H$9*parametros_carros!E$12</f>
        <v>17.19</v>
      </c>
      <c r="H72" s="9">
        <f>datos_base!$H$9*parametros_carros!F$12</f>
        <v>17.19</v>
      </c>
      <c r="I72" s="9">
        <f>datos_base!$H$9*parametros_carros!G$12</f>
        <v>15.28</v>
      </c>
      <c r="J72" s="9">
        <f>datos_base!$H$9*parametros_carros!H$12</f>
        <v>17.19</v>
      </c>
      <c r="K72" s="9">
        <f>datos_base!$H$9*parametros_carros!I$12</f>
        <v>17.19</v>
      </c>
      <c r="L72" s="9">
        <f>datos_base!$H$9*parametros_carros!J$12</f>
        <v>16.235</v>
      </c>
      <c r="M72" s="9">
        <f>datos_base!$H$9*parametros_carros!K$12</f>
        <v>14.325</v>
      </c>
      <c r="N72" s="9">
        <f>datos_base!$H$9*parametros_carros!L$12</f>
        <v>13.37</v>
      </c>
      <c r="O72" s="9">
        <f>datos_base!$H$9*parametros_carros!M$12</f>
        <v>15.28</v>
      </c>
      <c r="P72" s="17">
        <f t="shared" si="13"/>
        <v>191</v>
      </c>
    </row>
    <row r="73" ht="14.25" customHeight="1">
      <c r="A73" s="5">
        <v>2032.0</v>
      </c>
      <c r="B73" s="2" t="s">
        <v>43</v>
      </c>
      <c r="C73" s="2" t="s">
        <v>108</v>
      </c>
      <c r="D73" s="9">
        <f>datos_base!$H$10*parametros_carros!B$13</f>
        <v>35.785</v>
      </c>
      <c r="E73" s="9">
        <f>datos_base!$H$10*parametros_carros!C$13</f>
        <v>31.575</v>
      </c>
      <c r="F73" s="9">
        <f>datos_base!$H$10*parametros_carros!D$13</f>
        <v>37.89</v>
      </c>
      <c r="G73" s="9">
        <f>datos_base!$H$10*parametros_carros!E$13</f>
        <v>37.89</v>
      </c>
      <c r="H73" s="9">
        <f>datos_base!$H$10*parametros_carros!F$13</f>
        <v>37.89</v>
      </c>
      <c r="I73" s="9">
        <f>datos_base!$H$10*parametros_carros!G$13</f>
        <v>33.68</v>
      </c>
      <c r="J73" s="9">
        <f>datos_base!$H$10*parametros_carros!H$13</f>
        <v>37.89</v>
      </c>
      <c r="K73" s="9">
        <f>datos_base!$H$10*parametros_carros!I$13</f>
        <v>37.89</v>
      </c>
      <c r="L73" s="9">
        <f>datos_base!$H$10*parametros_carros!J$13</f>
        <v>35.785</v>
      </c>
      <c r="M73" s="9">
        <f>datos_base!$H$10*parametros_carros!K$13</f>
        <v>31.575</v>
      </c>
      <c r="N73" s="9">
        <f>datos_base!$H$10*parametros_carros!L$13</f>
        <v>29.47</v>
      </c>
      <c r="O73" s="9">
        <f>datos_base!$H$10*parametros_carros!M$13</f>
        <v>33.68</v>
      </c>
      <c r="P73" s="17">
        <f t="shared" si="13"/>
        <v>421</v>
      </c>
    </row>
    <row r="74" ht="14.25" customHeight="1">
      <c r="A74" s="5">
        <v>2032.0</v>
      </c>
      <c r="B74" s="2" t="s">
        <v>44</v>
      </c>
      <c r="C74" s="2" t="s">
        <v>108</v>
      </c>
      <c r="D74" s="9">
        <f>datos_base!$H$11*parametros_carros!B$14</f>
        <v>7.82</v>
      </c>
      <c r="E74" s="9">
        <f>datos_base!$H$11*parametros_carros!C$14</f>
        <v>6.9</v>
      </c>
      <c r="F74" s="9">
        <f>datos_base!$H$11*parametros_carros!D$14</f>
        <v>8.28</v>
      </c>
      <c r="G74" s="9">
        <f>datos_base!$H$11*parametros_carros!E$14</f>
        <v>8.28</v>
      </c>
      <c r="H74" s="9">
        <f>datos_base!$H$11*parametros_carros!F$14</f>
        <v>8.28</v>
      </c>
      <c r="I74" s="9">
        <f>datos_base!$H$11*parametros_carros!G$14</f>
        <v>7.36</v>
      </c>
      <c r="J74" s="9">
        <f>datos_base!$H$11*parametros_carros!H$14</f>
        <v>8.28</v>
      </c>
      <c r="K74" s="9">
        <f>datos_base!$H$11*parametros_carros!I$14</f>
        <v>8.28</v>
      </c>
      <c r="L74" s="9">
        <f>datos_base!$H$11*parametros_carros!J$14</f>
        <v>7.82</v>
      </c>
      <c r="M74" s="9">
        <f>datos_base!$H$11*parametros_carros!K$14</f>
        <v>6.9</v>
      </c>
      <c r="N74" s="9">
        <f>datos_base!$H$11*parametros_carros!L$14</f>
        <v>6.44</v>
      </c>
      <c r="O74" s="9">
        <f>datos_base!$H$11*parametros_carros!M$14</f>
        <v>7.36</v>
      </c>
      <c r="P74" s="17">
        <f t="shared" si="13"/>
        <v>92</v>
      </c>
    </row>
    <row r="75" ht="14.25" customHeight="1">
      <c r="A75" s="5">
        <v>2032.0</v>
      </c>
      <c r="B75" s="2" t="s">
        <v>45</v>
      </c>
      <c r="C75" s="2" t="s">
        <v>108</v>
      </c>
      <c r="D75" s="9">
        <f>datos_base!$H$12*parametros_carros!B$15</f>
        <v>5.1</v>
      </c>
      <c r="E75" s="9">
        <f>datos_base!$H$12*parametros_carros!C$15</f>
        <v>4.5</v>
      </c>
      <c r="F75" s="9">
        <f>datos_base!$H$12*parametros_carros!D$15</f>
        <v>5.4</v>
      </c>
      <c r="G75" s="9">
        <f>datos_base!$H$12*parametros_carros!E$15</f>
        <v>5.4</v>
      </c>
      <c r="H75" s="9">
        <f>datos_base!$H$12*parametros_carros!F$15</f>
        <v>5.4</v>
      </c>
      <c r="I75" s="9">
        <f>datos_base!$H$12*parametros_carros!G$15</f>
        <v>4.8</v>
      </c>
      <c r="J75" s="9">
        <f>datos_base!$H$12*parametros_carros!H$15</f>
        <v>5.4</v>
      </c>
      <c r="K75" s="9">
        <f>datos_base!$H$12*parametros_carros!I$15</f>
        <v>5.4</v>
      </c>
      <c r="L75" s="9">
        <f>datos_base!$H$12*parametros_carros!J$15</f>
        <v>5.1</v>
      </c>
      <c r="M75" s="9">
        <f>datos_base!$H$12*parametros_carros!K$15</f>
        <v>4.5</v>
      </c>
      <c r="N75" s="9">
        <f>datos_base!$H$12*parametros_carros!L$15</f>
        <v>4.2</v>
      </c>
      <c r="O75" s="9">
        <f>datos_base!$H$12*parametros_carros!M$15</f>
        <v>4.8</v>
      </c>
      <c r="P75" s="17">
        <f t="shared" si="13"/>
        <v>60</v>
      </c>
    </row>
    <row r="76" ht="14.25" customHeight="1">
      <c r="A76" s="29"/>
      <c r="B76" s="14" t="s">
        <v>119</v>
      </c>
      <c r="C76" s="29"/>
      <c r="D76" s="30">
        <f t="shared" ref="D76:P76" si="14">SUM(D68:D75)</f>
        <v>157.59</v>
      </c>
      <c r="E76" s="30">
        <f t="shared" si="14"/>
        <v>139.05</v>
      </c>
      <c r="F76" s="30">
        <f t="shared" si="14"/>
        <v>166.86</v>
      </c>
      <c r="G76" s="30">
        <f t="shared" si="14"/>
        <v>166.86</v>
      </c>
      <c r="H76" s="30">
        <f t="shared" si="14"/>
        <v>166.86</v>
      </c>
      <c r="I76" s="30">
        <f t="shared" si="14"/>
        <v>148.32</v>
      </c>
      <c r="J76" s="30">
        <f t="shared" si="14"/>
        <v>166.86</v>
      </c>
      <c r="K76" s="30">
        <f t="shared" si="14"/>
        <v>166.86</v>
      </c>
      <c r="L76" s="30">
        <f t="shared" si="14"/>
        <v>157.59</v>
      </c>
      <c r="M76" s="30">
        <f t="shared" si="14"/>
        <v>139.05</v>
      </c>
      <c r="N76" s="30">
        <f t="shared" si="14"/>
        <v>129.78</v>
      </c>
      <c r="O76" s="30">
        <f t="shared" si="14"/>
        <v>148.32</v>
      </c>
      <c r="P76" s="30">
        <f t="shared" si="14"/>
        <v>1854</v>
      </c>
    </row>
    <row r="77" ht="14.25" customHeight="1"/>
    <row r="78" ht="14.25" customHeight="1">
      <c r="A78" s="1">
        <v>2033.0</v>
      </c>
      <c r="B78" s="1" t="s">
        <v>3</v>
      </c>
      <c r="C78" s="1" t="s">
        <v>5</v>
      </c>
      <c r="D78" s="1" t="s">
        <v>8</v>
      </c>
      <c r="E78" s="1" t="s">
        <v>9</v>
      </c>
      <c r="F78" s="1" t="s">
        <v>11</v>
      </c>
      <c r="G78" s="1" t="s">
        <v>13</v>
      </c>
      <c r="H78" s="1" t="s">
        <v>14</v>
      </c>
      <c r="I78" s="1" t="s">
        <v>15</v>
      </c>
      <c r="J78" s="1" t="s">
        <v>16</v>
      </c>
      <c r="K78" s="1" t="s">
        <v>18</v>
      </c>
      <c r="L78" s="1" t="s">
        <v>19</v>
      </c>
      <c r="M78" s="1" t="s">
        <v>20</v>
      </c>
      <c r="N78" s="1" t="s">
        <v>21</v>
      </c>
      <c r="O78" s="1" t="s">
        <v>22</v>
      </c>
      <c r="P78" s="1" t="s">
        <v>23</v>
      </c>
    </row>
    <row r="79" ht="14.25" customHeight="1">
      <c r="A79" s="5">
        <v>2033.0</v>
      </c>
      <c r="B79" s="2" t="s">
        <v>1</v>
      </c>
      <c r="C79" s="2" t="s">
        <v>28</v>
      </c>
      <c r="D79" s="9">
        <f>datos_base!$I$2*parametros_carros!B$12</f>
        <v>28.73</v>
      </c>
      <c r="E79" s="9">
        <f>datos_base!$I$2*parametros_carros!C$12</f>
        <v>25.35</v>
      </c>
      <c r="F79" s="9">
        <f>datos_base!$I$2*parametros_carros!D$12</f>
        <v>30.42</v>
      </c>
      <c r="G79" s="9">
        <f>datos_base!$I$2*parametros_carros!E$12</f>
        <v>30.42</v>
      </c>
      <c r="H79" s="9">
        <f>datos_base!$I$2*parametros_carros!F$12</f>
        <v>30.42</v>
      </c>
      <c r="I79" s="9">
        <f>datos_base!$I$2*parametros_carros!G$12</f>
        <v>27.04</v>
      </c>
      <c r="J79" s="9">
        <f>datos_base!$I$2*parametros_carros!H$12</f>
        <v>30.42</v>
      </c>
      <c r="K79" s="9">
        <f>datos_base!$I$2*parametros_carros!I$12</f>
        <v>30.42</v>
      </c>
      <c r="L79" s="9">
        <f>datos_base!$I$2*parametros_carros!J$12</f>
        <v>28.73</v>
      </c>
      <c r="M79" s="9">
        <f>datos_base!$I$2*parametros_carros!K$12</f>
        <v>25.35</v>
      </c>
      <c r="N79" s="9">
        <f>datos_base!$I$2*parametros_carros!L$12</f>
        <v>23.66</v>
      </c>
      <c r="O79" s="9">
        <f>datos_base!$I$2*parametros_carros!M$12</f>
        <v>27.04</v>
      </c>
      <c r="P79" s="17">
        <f t="shared" ref="P79:P86" si="15">SUM(D79:O79)</f>
        <v>338</v>
      </c>
    </row>
    <row r="80" ht="14.25" customHeight="1">
      <c r="A80" s="5">
        <v>2033.0</v>
      </c>
      <c r="B80" s="2" t="s">
        <v>7</v>
      </c>
      <c r="C80" s="2" t="s">
        <v>28</v>
      </c>
      <c r="D80" s="9">
        <f>datos_base!$I$3*parametros_carros!B$13</f>
        <v>63.155</v>
      </c>
      <c r="E80" s="9">
        <f>datos_base!$I$3*parametros_carros!C$13</f>
        <v>55.725</v>
      </c>
      <c r="F80" s="9">
        <f>datos_base!$I$3*parametros_carros!D$13</f>
        <v>66.87</v>
      </c>
      <c r="G80" s="9">
        <f>datos_base!$I$3*parametros_carros!E$13</f>
        <v>66.87</v>
      </c>
      <c r="H80" s="9">
        <f>datos_base!$I$3*parametros_carros!F$13</f>
        <v>66.87</v>
      </c>
      <c r="I80" s="9">
        <f>datos_base!$I$3*parametros_carros!G$13</f>
        <v>59.44</v>
      </c>
      <c r="J80" s="9">
        <f>datos_base!$I$3*parametros_carros!H$13</f>
        <v>66.87</v>
      </c>
      <c r="K80" s="9">
        <f>datos_base!$I$3*parametros_carros!I$13</f>
        <v>66.87</v>
      </c>
      <c r="L80" s="9">
        <f>datos_base!$I$3*parametros_carros!J$13</f>
        <v>63.155</v>
      </c>
      <c r="M80" s="9">
        <f>datos_base!$I$3*parametros_carros!K$13</f>
        <v>55.725</v>
      </c>
      <c r="N80" s="9">
        <f>datos_base!$I$3*parametros_carros!L$13</f>
        <v>52.01</v>
      </c>
      <c r="O80" s="9">
        <f>datos_base!$I$3*parametros_carros!M$13</f>
        <v>59.44</v>
      </c>
      <c r="P80" s="17">
        <f t="shared" si="15"/>
        <v>743</v>
      </c>
    </row>
    <row r="81" ht="14.25" customHeight="1">
      <c r="A81" s="5">
        <v>2033.0</v>
      </c>
      <c r="B81" s="2" t="s">
        <v>12</v>
      </c>
      <c r="C81" s="2" t="s">
        <v>28</v>
      </c>
      <c r="D81" s="9">
        <f>datos_base!$I$4*parametros_carros!B$14</f>
        <v>13.855</v>
      </c>
      <c r="E81" s="9">
        <f>datos_base!$I$4*parametros_carros!C$14</f>
        <v>12.225</v>
      </c>
      <c r="F81" s="9">
        <f>datos_base!$I$4*parametros_carros!D$14</f>
        <v>14.67</v>
      </c>
      <c r="G81" s="9">
        <f>datos_base!$I$4*parametros_carros!E$14</f>
        <v>14.67</v>
      </c>
      <c r="H81" s="9">
        <f>datos_base!$I$4*parametros_carros!F$14</f>
        <v>14.67</v>
      </c>
      <c r="I81" s="9">
        <f>datos_base!$I$4*parametros_carros!G$14</f>
        <v>13.04</v>
      </c>
      <c r="J81" s="9">
        <f>datos_base!$I$4*parametros_carros!H$14</f>
        <v>14.67</v>
      </c>
      <c r="K81" s="9">
        <f>datos_base!$I$4*parametros_carros!I$14</f>
        <v>14.67</v>
      </c>
      <c r="L81" s="9">
        <f>datos_base!$I$4*parametros_carros!J$14</f>
        <v>13.855</v>
      </c>
      <c r="M81" s="9">
        <f>datos_base!$I$4*parametros_carros!K$14</f>
        <v>12.225</v>
      </c>
      <c r="N81" s="9">
        <f>datos_base!$I$4*parametros_carros!L$14</f>
        <v>11.41</v>
      </c>
      <c r="O81" s="9">
        <f>datos_base!$I$4*parametros_carros!M$14</f>
        <v>13.04</v>
      </c>
      <c r="P81" s="17">
        <f t="shared" si="15"/>
        <v>163</v>
      </c>
    </row>
    <row r="82" ht="14.25" customHeight="1">
      <c r="A82" s="5">
        <v>2033.0</v>
      </c>
      <c r="B82" s="2" t="s">
        <v>17</v>
      </c>
      <c r="C82" s="2" t="s">
        <v>28</v>
      </c>
      <c r="D82" s="9">
        <f>datos_base!$I$5*parametros_carros!B$15</f>
        <v>9.18</v>
      </c>
      <c r="E82" s="9">
        <f>datos_base!$I$5*parametros_carros!C$15</f>
        <v>8.1</v>
      </c>
      <c r="F82" s="9">
        <f>datos_base!$I$5*parametros_carros!D$15</f>
        <v>9.72</v>
      </c>
      <c r="G82" s="9">
        <f>datos_base!$I$5*parametros_carros!E$15</f>
        <v>9.72</v>
      </c>
      <c r="H82" s="9">
        <f>datos_base!$I$5*parametros_carros!F$15</f>
        <v>9.72</v>
      </c>
      <c r="I82" s="9">
        <f>datos_base!$I$5*parametros_carros!G$15</f>
        <v>8.64</v>
      </c>
      <c r="J82" s="9">
        <f>datos_base!$I$5*parametros_carros!H$15</f>
        <v>9.72</v>
      </c>
      <c r="K82" s="9">
        <f>datos_base!$I$5*parametros_carros!I$15</f>
        <v>9.72</v>
      </c>
      <c r="L82" s="9">
        <f>datos_base!$I$5*parametros_carros!J$15</f>
        <v>9.18</v>
      </c>
      <c r="M82" s="9">
        <f>datos_base!$I$5*parametros_carros!K$15</f>
        <v>8.1</v>
      </c>
      <c r="N82" s="9">
        <f>datos_base!$I$5*parametros_carros!L$15</f>
        <v>7.56</v>
      </c>
      <c r="O82" s="9">
        <f>datos_base!$I$5*parametros_carros!M$15</f>
        <v>8.64</v>
      </c>
      <c r="P82" s="17">
        <f t="shared" si="15"/>
        <v>108</v>
      </c>
    </row>
    <row r="83" ht="14.25" customHeight="1">
      <c r="A83" s="5">
        <v>2033.0</v>
      </c>
      <c r="B83" s="2" t="s">
        <v>42</v>
      </c>
      <c r="C83" s="2" t="s">
        <v>108</v>
      </c>
      <c r="D83" s="9">
        <f>datos_base!$I$9*parametros_carros!B$12</f>
        <v>20.995</v>
      </c>
      <c r="E83" s="9">
        <f>datos_base!$I$9*parametros_carros!C$12</f>
        <v>18.525</v>
      </c>
      <c r="F83" s="9">
        <f>datos_base!$I$9*parametros_carros!D$12</f>
        <v>22.23</v>
      </c>
      <c r="G83" s="9">
        <f>datos_base!$I$9*parametros_carros!E$12</f>
        <v>22.23</v>
      </c>
      <c r="H83" s="9">
        <f>datos_base!$I$9*parametros_carros!F$12</f>
        <v>22.23</v>
      </c>
      <c r="I83" s="9">
        <f>datos_base!$I$9*parametros_carros!G$12</f>
        <v>19.76</v>
      </c>
      <c r="J83" s="9">
        <f>datos_base!$I$9*parametros_carros!H$12</f>
        <v>22.23</v>
      </c>
      <c r="K83" s="9">
        <f>datos_base!$I$9*parametros_carros!I$12</f>
        <v>22.23</v>
      </c>
      <c r="L83" s="9">
        <f>datos_base!$I$9*parametros_carros!J$12</f>
        <v>20.995</v>
      </c>
      <c r="M83" s="9">
        <f>datos_base!$I$9*parametros_carros!K$12</f>
        <v>18.525</v>
      </c>
      <c r="N83" s="9">
        <f>datos_base!$I$9*parametros_carros!L$12</f>
        <v>17.29</v>
      </c>
      <c r="O83" s="9">
        <f>datos_base!$I$9*parametros_carros!M$12</f>
        <v>19.76</v>
      </c>
      <c r="P83" s="17">
        <f t="shared" si="15"/>
        <v>247</v>
      </c>
    </row>
    <row r="84" ht="14.25" customHeight="1">
      <c r="A84" s="5">
        <v>2033.0</v>
      </c>
      <c r="B84" s="2" t="s">
        <v>43</v>
      </c>
      <c r="C84" s="2" t="s">
        <v>108</v>
      </c>
      <c r="D84" s="9">
        <f>datos_base!$I$10*parametros_carros!B$13</f>
        <v>46.24</v>
      </c>
      <c r="E84" s="9">
        <f>datos_base!$I$10*parametros_carros!C$13</f>
        <v>40.8</v>
      </c>
      <c r="F84" s="9">
        <f>datos_base!$I$10*parametros_carros!D$13</f>
        <v>48.96</v>
      </c>
      <c r="G84" s="9">
        <f>datos_base!$I$10*parametros_carros!E$13</f>
        <v>48.96</v>
      </c>
      <c r="H84" s="9">
        <f>datos_base!$I$10*parametros_carros!F$13</f>
        <v>48.96</v>
      </c>
      <c r="I84" s="9">
        <f>datos_base!$I$10*parametros_carros!G$13</f>
        <v>43.52</v>
      </c>
      <c r="J84" s="9">
        <f>datos_base!$I$10*parametros_carros!H$13</f>
        <v>48.96</v>
      </c>
      <c r="K84" s="9">
        <f>datos_base!$I$10*parametros_carros!I$13</f>
        <v>48.96</v>
      </c>
      <c r="L84" s="9">
        <f>datos_base!$I$10*parametros_carros!J$13</f>
        <v>46.24</v>
      </c>
      <c r="M84" s="9">
        <f>datos_base!$I$10*parametros_carros!K$13</f>
        <v>40.8</v>
      </c>
      <c r="N84" s="9">
        <f>datos_base!$I$10*parametros_carros!L$13</f>
        <v>38.08</v>
      </c>
      <c r="O84" s="9">
        <f>datos_base!$I$10*parametros_carros!M$13</f>
        <v>43.52</v>
      </c>
      <c r="P84" s="17">
        <f t="shared" si="15"/>
        <v>544</v>
      </c>
    </row>
    <row r="85" ht="14.25" customHeight="1">
      <c r="A85" s="5">
        <v>2033.0</v>
      </c>
      <c r="B85" s="2" t="s">
        <v>44</v>
      </c>
      <c r="C85" s="2" t="s">
        <v>108</v>
      </c>
      <c r="D85" s="9">
        <f>datos_base!$I$11*parametros_carros!B$14</f>
        <v>10.115</v>
      </c>
      <c r="E85" s="9">
        <f>datos_base!$I$11*parametros_carros!C$14</f>
        <v>8.925</v>
      </c>
      <c r="F85" s="9">
        <f>datos_base!$I$11*parametros_carros!D$14</f>
        <v>10.71</v>
      </c>
      <c r="G85" s="9">
        <f>datos_base!$I$11*parametros_carros!E$14</f>
        <v>10.71</v>
      </c>
      <c r="H85" s="9">
        <f>datos_base!$I$11*parametros_carros!F$14</f>
        <v>10.71</v>
      </c>
      <c r="I85" s="9">
        <f>datos_base!$I$11*parametros_carros!G$14</f>
        <v>9.52</v>
      </c>
      <c r="J85" s="9">
        <f>datos_base!$I$11*parametros_carros!H$14</f>
        <v>10.71</v>
      </c>
      <c r="K85" s="9">
        <f>datos_base!$I$11*parametros_carros!I$14</f>
        <v>10.71</v>
      </c>
      <c r="L85" s="9">
        <f>datos_base!$I$11*parametros_carros!J$14</f>
        <v>10.115</v>
      </c>
      <c r="M85" s="9">
        <f>datos_base!$I$11*parametros_carros!K$14</f>
        <v>8.925</v>
      </c>
      <c r="N85" s="9">
        <f>datos_base!$I$11*parametros_carros!L$14</f>
        <v>8.33</v>
      </c>
      <c r="O85" s="9">
        <f>datos_base!$I$11*parametros_carros!M$14</f>
        <v>9.52</v>
      </c>
      <c r="P85" s="17">
        <f t="shared" si="15"/>
        <v>119</v>
      </c>
    </row>
    <row r="86" ht="14.25" customHeight="1">
      <c r="A86" s="5">
        <v>2033.0</v>
      </c>
      <c r="B86" s="2" t="s">
        <v>45</v>
      </c>
      <c r="C86" s="2" t="s">
        <v>108</v>
      </c>
      <c r="D86" s="9">
        <f>datos_base!$I$12*parametros_carros!B$15</f>
        <v>6.63</v>
      </c>
      <c r="E86" s="9">
        <f>datos_base!$I$12*parametros_carros!C$15</f>
        <v>5.85</v>
      </c>
      <c r="F86" s="9">
        <f>datos_base!$I$12*parametros_carros!D$15</f>
        <v>7.02</v>
      </c>
      <c r="G86" s="9">
        <f>datos_base!$I$12*parametros_carros!E$15</f>
        <v>7.02</v>
      </c>
      <c r="H86" s="9">
        <f>datos_base!$I$12*parametros_carros!F$15</f>
        <v>7.02</v>
      </c>
      <c r="I86" s="9">
        <f>datos_base!$I$12*parametros_carros!G$15</f>
        <v>6.24</v>
      </c>
      <c r="J86" s="9">
        <f>datos_base!$I$12*parametros_carros!H$15</f>
        <v>7.02</v>
      </c>
      <c r="K86" s="9">
        <f>datos_base!$I$12*parametros_carros!I$15</f>
        <v>7.02</v>
      </c>
      <c r="L86" s="9">
        <f>datos_base!$I$12*parametros_carros!J$15</f>
        <v>6.63</v>
      </c>
      <c r="M86" s="9">
        <f>datos_base!$I$12*parametros_carros!K$15</f>
        <v>5.85</v>
      </c>
      <c r="N86" s="9">
        <f>datos_base!$I$12*parametros_carros!L$15</f>
        <v>5.46</v>
      </c>
      <c r="O86" s="9">
        <f>datos_base!$I$12*parametros_carros!M$15</f>
        <v>6.24</v>
      </c>
      <c r="P86" s="17">
        <f t="shared" si="15"/>
        <v>78</v>
      </c>
    </row>
    <row r="87" ht="14.25" customHeight="1">
      <c r="A87" s="29"/>
      <c r="B87" s="14" t="s">
        <v>119</v>
      </c>
      <c r="C87" s="29"/>
      <c r="D87" s="30">
        <f t="shared" ref="D87:P87" si="16">SUM(D79:D86)</f>
        <v>198.9</v>
      </c>
      <c r="E87" s="30">
        <f t="shared" si="16"/>
        <v>175.5</v>
      </c>
      <c r="F87" s="30">
        <f t="shared" si="16"/>
        <v>210.6</v>
      </c>
      <c r="G87" s="30">
        <f t="shared" si="16"/>
        <v>210.6</v>
      </c>
      <c r="H87" s="30">
        <f t="shared" si="16"/>
        <v>210.6</v>
      </c>
      <c r="I87" s="30">
        <f t="shared" si="16"/>
        <v>187.2</v>
      </c>
      <c r="J87" s="30">
        <f t="shared" si="16"/>
        <v>210.6</v>
      </c>
      <c r="K87" s="30">
        <f t="shared" si="16"/>
        <v>210.6</v>
      </c>
      <c r="L87" s="30">
        <f t="shared" si="16"/>
        <v>198.9</v>
      </c>
      <c r="M87" s="30">
        <f t="shared" si="16"/>
        <v>175.5</v>
      </c>
      <c r="N87" s="30">
        <f t="shared" si="16"/>
        <v>163.8</v>
      </c>
      <c r="O87" s="30">
        <f t="shared" si="16"/>
        <v>187.2</v>
      </c>
      <c r="P87" s="30">
        <f t="shared" si="16"/>
        <v>2340</v>
      </c>
    </row>
    <row r="88" ht="14.25" customHeight="1"/>
    <row r="89" ht="14.25" customHeight="1">
      <c r="A89" s="1">
        <v>2034.0</v>
      </c>
      <c r="B89" s="1" t="s">
        <v>3</v>
      </c>
      <c r="C89" s="1" t="s">
        <v>5</v>
      </c>
      <c r="D89" s="1" t="s">
        <v>8</v>
      </c>
      <c r="E89" s="1" t="s">
        <v>9</v>
      </c>
      <c r="F89" s="1" t="s">
        <v>11</v>
      </c>
      <c r="G89" s="1" t="s">
        <v>13</v>
      </c>
      <c r="H89" s="1" t="s">
        <v>14</v>
      </c>
      <c r="I89" s="1" t="s">
        <v>15</v>
      </c>
      <c r="J89" s="1" t="s">
        <v>16</v>
      </c>
      <c r="K89" s="1" t="s">
        <v>18</v>
      </c>
      <c r="L89" s="1" t="s">
        <v>19</v>
      </c>
      <c r="M89" s="1" t="s">
        <v>20</v>
      </c>
      <c r="N89" s="1" t="s">
        <v>21</v>
      </c>
      <c r="O89" s="1" t="s">
        <v>22</v>
      </c>
      <c r="P89" s="1" t="s">
        <v>23</v>
      </c>
    </row>
    <row r="90" ht="14.25" customHeight="1">
      <c r="A90" s="5">
        <v>2034.0</v>
      </c>
      <c r="B90" s="2" t="s">
        <v>1</v>
      </c>
      <c r="C90" s="2" t="s">
        <v>28</v>
      </c>
      <c r="D90" s="9">
        <f>datos_base!$J$2*parametros_carros!B$12</f>
        <v>33.405</v>
      </c>
      <c r="E90" s="9">
        <f>datos_base!$J$2*parametros_carros!C$12</f>
        <v>29.475</v>
      </c>
      <c r="F90" s="9">
        <f>datos_base!$J$2*parametros_carros!D$12</f>
        <v>35.37</v>
      </c>
      <c r="G90" s="9">
        <f>datos_base!$J$2*parametros_carros!E$12</f>
        <v>35.37</v>
      </c>
      <c r="H90" s="9">
        <f>datos_base!$J$2*parametros_carros!F$12</f>
        <v>35.37</v>
      </c>
      <c r="I90" s="9">
        <f>datos_base!$J$2*parametros_carros!G$12</f>
        <v>31.44</v>
      </c>
      <c r="J90" s="9">
        <f>datos_base!$J$2*parametros_carros!H$12</f>
        <v>35.37</v>
      </c>
      <c r="K90" s="9">
        <f>datos_base!$J$2*parametros_carros!I$12</f>
        <v>35.37</v>
      </c>
      <c r="L90" s="9">
        <f>datos_base!$J$2*parametros_carros!J$12</f>
        <v>33.405</v>
      </c>
      <c r="M90" s="9">
        <f>datos_base!$J$2*parametros_carros!K$12</f>
        <v>29.475</v>
      </c>
      <c r="N90" s="9">
        <f>datos_base!$J$2*parametros_carros!L$12</f>
        <v>27.51</v>
      </c>
      <c r="O90" s="9">
        <f>datos_base!$J$2*parametros_carros!M$12</f>
        <v>31.44</v>
      </c>
      <c r="P90" s="17">
        <f t="shared" ref="P90:P97" si="17">SUM(D90:O90)</f>
        <v>393</v>
      </c>
    </row>
    <row r="91" ht="14.25" customHeight="1">
      <c r="A91" s="5">
        <v>2034.0</v>
      </c>
      <c r="B91" s="2" t="s">
        <v>7</v>
      </c>
      <c r="C91" s="2" t="s">
        <v>28</v>
      </c>
      <c r="D91" s="9">
        <f>datos_base!$J$3*parametros_carros!B$13</f>
        <v>73.61</v>
      </c>
      <c r="E91" s="9">
        <f>datos_base!$J$3*parametros_carros!C$13</f>
        <v>64.95</v>
      </c>
      <c r="F91" s="9">
        <f>datos_base!$J$3*parametros_carros!D$13</f>
        <v>77.94</v>
      </c>
      <c r="G91" s="9">
        <f>datos_base!$J$3*parametros_carros!E$13</f>
        <v>77.94</v>
      </c>
      <c r="H91" s="9">
        <f>datos_base!$J$3*parametros_carros!F$13</f>
        <v>77.94</v>
      </c>
      <c r="I91" s="9">
        <f>datos_base!$J$3*parametros_carros!G$13</f>
        <v>69.28</v>
      </c>
      <c r="J91" s="9">
        <f>datos_base!$J$3*parametros_carros!H$13</f>
        <v>77.94</v>
      </c>
      <c r="K91" s="9">
        <f>datos_base!$J$3*parametros_carros!I$13</f>
        <v>77.94</v>
      </c>
      <c r="L91" s="9">
        <f>datos_base!$J$3*parametros_carros!J$13</f>
        <v>73.61</v>
      </c>
      <c r="M91" s="9">
        <f>datos_base!$J$3*parametros_carros!K$13</f>
        <v>64.95</v>
      </c>
      <c r="N91" s="9">
        <f>datos_base!$J$3*parametros_carros!L$13</f>
        <v>60.62</v>
      </c>
      <c r="O91" s="9">
        <f>datos_base!$J$3*parametros_carros!M$13</f>
        <v>69.28</v>
      </c>
      <c r="P91" s="17">
        <f t="shared" si="17"/>
        <v>866</v>
      </c>
    </row>
    <row r="92" ht="14.25" customHeight="1">
      <c r="A92" s="5">
        <v>2034.0</v>
      </c>
      <c r="B92" s="2" t="s">
        <v>12</v>
      </c>
      <c r="C92" s="2" t="s">
        <v>28</v>
      </c>
      <c r="D92" s="9">
        <f>datos_base!$J$4*parametros_carros!B$14</f>
        <v>16.065</v>
      </c>
      <c r="E92" s="9">
        <f>datos_base!$J$4*parametros_carros!C$14</f>
        <v>14.175</v>
      </c>
      <c r="F92" s="9">
        <f>datos_base!$J$4*parametros_carros!D$14</f>
        <v>17.01</v>
      </c>
      <c r="G92" s="9">
        <f>datos_base!$J$4*parametros_carros!E$14</f>
        <v>17.01</v>
      </c>
      <c r="H92" s="9">
        <f>datos_base!$J$4*parametros_carros!F$14</f>
        <v>17.01</v>
      </c>
      <c r="I92" s="9">
        <f>datos_base!$J$4*parametros_carros!G$14</f>
        <v>15.12</v>
      </c>
      <c r="J92" s="9">
        <f>datos_base!$J$4*parametros_carros!H$14</f>
        <v>17.01</v>
      </c>
      <c r="K92" s="9">
        <f>datos_base!$J$4*parametros_carros!I$14</f>
        <v>17.01</v>
      </c>
      <c r="L92" s="9">
        <f>datos_base!$J$4*parametros_carros!J$14</f>
        <v>16.065</v>
      </c>
      <c r="M92" s="9">
        <f>datos_base!$J$4*parametros_carros!K$14</f>
        <v>14.175</v>
      </c>
      <c r="N92" s="9">
        <f>datos_base!$J$4*parametros_carros!L$14</f>
        <v>13.23</v>
      </c>
      <c r="O92" s="9">
        <f>datos_base!$J$4*parametros_carros!M$14</f>
        <v>15.12</v>
      </c>
      <c r="P92" s="17">
        <f t="shared" si="17"/>
        <v>189</v>
      </c>
    </row>
    <row r="93" ht="14.25" customHeight="1">
      <c r="A93" s="5">
        <v>2034.0</v>
      </c>
      <c r="B93" s="2" t="s">
        <v>17</v>
      </c>
      <c r="C93" s="2" t="s">
        <v>28</v>
      </c>
      <c r="D93" s="9">
        <f>datos_base!$J$5*parametros_carros!B$15</f>
        <v>10.71</v>
      </c>
      <c r="E93" s="9">
        <f>datos_base!$J$5*parametros_carros!C$15</f>
        <v>9.45</v>
      </c>
      <c r="F93" s="9">
        <f>datos_base!$J$5*parametros_carros!D$15</f>
        <v>11.34</v>
      </c>
      <c r="G93" s="9">
        <f>datos_base!$J$5*parametros_carros!E$15</f>
        <v>11.34</v>
      </c>
      <c r="H93" s="9">
        <f>datos_base!$J$5*parametros_carros!F$15</f>
        <v>11.34</v>
      </c>
      <c r="I93" s="9">
        <f>datos_base!$J$5*parametros_carros!G$15</f>
        <v>10.08</v>
      </c>
      <c r="J93" s="9">
        <f>datos_base!$J$5*parametros_carros!H$15</f>
        <v>11.34</v>
      </c>
      <c r="K93" s="9">
        <f>datos_base!$J$5*parametros_carros!I$15</f>
        <v>11.34</v>
      </c>
      <c r="L93" s="9">
        <f>datos_base!$J$5*parametros_carros!J$15</f>
        <v>10.71</v>
      </c>
      <c r="M93" s="9">
        <f>datos_base!$J$5*parametros_carros!K$15</f>
        <v>9.45</v>
      </c>
      <c r="N93" s="9">
        <f>datos_base!$J$5*parametros_carros!L$15</f>
        <v>8.82</v>
      </c>
      <c r="O93" s="9">
        <f>datos_base!$J$5*parametros_carros!M$15</f>
        <v>10.08</v>
      </c>
      <c r="P93" s="17">
        <f t="shared" si="17"/>
        <v>126</v>
      </c>
    </row>
    <row r="94" ht="14.25" customHeight="1">
      <c r="A94" s="5">
        <v>2034.0</v>
      </c>
      <c r="B94" s="2" t="s">
        <v>42</v>
      </c>
      <c r="C94" s="2" t="s">
        <v>108</v>
      </c>
      <c r="D94" s="9">
        <f>datos_base!$J$9*parametros_carros!B$12</f>
        <v>23.545</v>
      </c>
      <c r="E94" s="9">
        <f>datos_base!$J$9*parametros_carros!C$12</f>
        <v>20.775</v>
      </c>
      <c r="F94" s="9">
        <f>datos_base!$J$9*parametros_carros!D$12</f>
        <v>24.93</v>
      </c>
      <c r="G94" s="9">
        <f>datos_base!$J$9*parametros_carros!E$12</f>
        <v>24.93</v>
      </c>
      <c r="H94" s="9">
        <f>datos_base!$J$9*parametros_carros!F$12</f>
        <v>24.93</v>
      </c>
      <c r="I94" s="9">
        <f>datos_base!$J$9*parametros_carros!G$12</f>
        <v>22.16</v>
      </c>
      <c r="J94" s="9">
        <f>datos_base!$J$9*parametros_carros!H$12</f>
        <v>24.93</v>
      </c>
      <c r="K94" s="9">
        <f>datos_base!$J$9*parametros_carros!I$12</f>
        <v>24.93</v>
      </c>
      <c r="L94" s="9">
        <f>datos_base!$J$9*parametros_carros!J$12</f>
        <v>23.545</v>
      </c>
      <c r="M94" s="9">
        <f>datos_base!$J$9*parametros_carros!K$12</f>
        <v>20.775</v>
      </c>
      <c r="N94" s="9">
        <f>datos_base!$J$9*parametros_carros!L$12</f>
        <v>19.39</v>
      </c>
      <c r="O94" s="9">
        <f>datos_base!$J$9*parametros_carros!M$12</f>
        <v>22.16</v>
      </c>
      <c r="P94" s="17">
        <f t="shared" si="17"/>
        <v>277</v>
      </c>
    </row>
    <row r="95" ht="14.25" customHeight="1">
      <c r="A95" s="5">
        <v>2034.0</v>
      </c>
      <c r="B95" s="2" t="s">
        <v>43</v>
      </c>
      <c r="C95" s="2" t="s">
        <v>108</v>
      </c>
      <c r="D95" s="9">
        <f>datos_base!$J$10*parametros_carros!B$13</f>
        <v>51.85</v>
      </c>
      <c r="E95" s="9">
        <f>datos_base!$J$10*parametros_carros!C$13</f>
        <v>45.75</v>
      </c>
      <c r="F95" s="9">
        <f>datos_base!$J$10*parametros_carros!D$13</f>
        <v>54.9</v>
      </c>
      <c r="G95" s="9">
        <f>datos_base!$J$10*parametros_carros!E$13</f>
        <v>54.9</v>
      </c>
      <c r="H95" s="9">
        <f>datos_base!$J$10*parametros_carros!F$13</f>
        <v>54.9</v>
      </c>
      <c r="I95" s="9">
        <f>datos_base!$J$10*parametros_carros!G$13</f>
        <v>48.8</v>
      </c>
      <c r="J95" s="9">
        <f>datos_base!$J$10*parametros_carros!H$13</f>
        <v>54.9</v>
      </c>
      <c r="K95" s="9">
        <f>datos_base!$J$10*parametros_carros!I$13</f>
        <v>54.9</v>
      </c>
      <c r="L95" s="9">
        <f>datos_base!$J$10*parametros_carros!J$13</f>
        <v>51.85</v>
      </c>
      <c r="M95" s="9">
        <f>datos_base!$J$10*parametros_carros!K$13</f>
        <v>45.75</v>
      </c>
      <c r="N95" s="9">
        <f>datos_base!$J$10*parametros_carros!L$13</f>
        <v>42.7</v>
      </c>
      <c r="O95" s="9">
        <f>datos_base!$J$10*parametros_carros!M$13</f>
        <v>48.8</v>
      </c>
      <c r="P95" s="17">
        <f t="shared" si="17"/>
        <v>610</v>
      </c>
    </row>
    <row r="96" ht="14.25" customHeight="1">
      <c r="A96" s="5">
        <v>2034.0</v>
      </c>
      <c r="B96" s="2" t="s">
        <v>44</v>
      </c>
      <c r="C96" s="2" t="s">
        <v>108</v>
      </c>
      <c r="D96" s="9">
        <f>datos_base!$J$11*parametros_carros!B$14</f>
        <v>11.305</v>
      </c>
      <c r="E96" s="9">
        <f>datos_base!$J$11*parametros_carros!C$14</f>
        <v>9.975</v>
      </c>
      <c r="F96" s="9">
        <f>datos_base!$J$11*parametros_carros!D$14</f>
        <v>11.97</v>
      </c>
      <c r="G96" s="9">
        <f>datos_base!$J$11*parametros_carros!E$14</f>
        <v>11.97</v>
      </c>
      <c r="H96" s="9">
        <f>datos_base!$J$11*parametros_carros!F$14</f>
        <v>11.97</v>
      </c>
      <c r="I96" s="9">
        <f>datos_base!$J$11*parametros_carros!G$14</f>
        <v>10.64</v>
      </c>
      <c r="J96" s="9">
        <f>datos_base!$J$11*parametros_carros!H$14</f>
        <v>11.97</v>
      </c>
      <c r="K96" s="9">
        <f>datos_base!$J$11*parametros_carros!I$14</f>
        <v>11.97</v>
      </c>
      <c r="L96" s="9">
        <f>datos_base!$J$11*parametros_carros!J$14</f>
        <v>11.305</v>
      </c>
      <c r="M96" s="9">
        <f>datos_base!$J$11*parametros_carros!K$14</f>
        <v>9.975</v>
      </c>
      <c r="N96" s="9">
        <f>datos_base!$J$11*parametros_carros!L$14</f>
        <v>9.31</v>
      </c>
      <c r="O96" s="9">
        <f>datos_base!$J$11*parametros_carros!M$14</f>
        <v>10.64</v>
      </c>
      <c r="P96" s="17">
        <f t="shared" si="17"/>
        <v>133</v>
      </c>
    </row>
    <row r="97" ht="14.25" customHeight="1">
      <c r="A97" s="5">
        <v>2034.0</v>
      </c>
      <c r="B97" s="2" t="s">
        <v>45</v>
      </c>
      <c r="C97" s="2" t="s">
        <v>108</v>
      </c>
      <c r="D97" s="9">
        <f>datos_base!$J$12*parametros_carros!B$15</f>
        <v>7.48</v>
      </c>
      <c r="E97" s="9">
        <f>datos_base!$J$12*parametros_carros!C$15</f>
        <v>6.6</v>
      </c>
      <c r="F97" s="9">
        <f>datos_base!$J$12*parametros_carros!D$15</f>
        <v>7.92</v>
      </c>
      <c r="G97" s="9">
        <f>datos_base!$J$12*parametros_carros!E$15</f>
        <v>7.92</v>
      </c>
      <c r="H97" s="9">
        <f>datos_base!$J$12*parametros_carros!F$15</f>
        <v>7.92</v>
      </c>
      <c r="I97" s="9">
        <f>datos_base!$J$12*parametros_carros!G$15</f>
        <v>7.04</v>
      </c>
      <c r="J97" s="9">
        <f>datos_base!$J$12*parametros_carros!H$15</f>
        <v>7.92</v>
      </c>
      <c r="K97" s="9">
        <f>datos_base!$J$12*parametros_carros!I$15</f>
        <v>7.92</v>
      </c>
      <c r="L97" s="9">
        <f>datos_base!$J$12*parametros_carros!J$15</f>
        <v>7.48</v>
      </c>
      <c r="M97" s="9">
        <f>datos_base!$J$12*parametros_carros!K$15</f>
        <v>6.6</v>
      </c>
      <c r="N97" s="9">
        <f>datos_base!$J$12*parametros_carros!L$15</f>
        <v>6.16</v>
      </c>
      <c r="O97" s="9">
        <f>datos_base!$J$12*parametros_carros!M$15</f>
        <v>7.04</v>
      </c>
      <c r="P97" s="17">
        <f t="shared" si="17"/>
        <v>88</v>
      </c>
    </row>
    <row r="98" ht="14.25" customHeight="1">
      <c r="A98" s="29"/>
      <c r="B98" s="14" t="s">
        <v>119</v>
      </c>
      <c r="C98" s="29"/>
      <c r="D98" s="30">
        <f t="shared" ref="D98:P98" si="18">SUM(D90:D97)</f>
        <v>227.97</v>
      </c>
      <c r="E98" s="30">
        <f t="shared" si="18"/>
        <v>201.15</v>
      </c>
      <c r="F98" s="30">
        <f t="shared" si="18"/>
        <v>241.38</v>
      </c>
      <c r="G98" s="30">
        <f t="shared" si="18"/>
        <v>241.38</v>
      </c>
      <c r="H98" s="30">
        <f t="shared" si="18"/>
        <v>241.38</v>
      </c>
      <c r="I98" s="30">
        <f t="shared" si="18"/>
        <v>214.56</v>
      </c>
      <c r="J98" s="30">
        <f t="shared" si="18"/>
        <v>241.38</v>
      </c>
      <c r="K98" s="30">
        <f t="shared" si="18"/>
        <v>241.38</v>
      </c>
      <c r="L98" s="30">
        <f t="shared" si="18"/>
        <v>227.97</v>
      </c>
      <c r="M98" s="30">
        <f t="shared" si="18"/>
        <v>201.15</v>
      </c>
      <c r="N98" s="30">
        <f t="shared" si="18"/>
        <v>187.74</v>
      </c>
      <c r="O98" s="30">
        <f t="shared" si="18"/>
        <v>214.56</v>
      </c>
      <c r="P98" s="30">
        <f t="shared" si="18"/>
        <v>2682</v>
      </c>
    </row>
    <row r="99" ht="14.25" customHeight="1"/>
    <row r="100" ht="14.25" customHeight="1">
      <c r="A100" s="1">
        <v>2035.0</v>
      </c>
      <c r="B100" s="1" t="s">
        <v>3</v>
      </c>
      <c r="C100" s="1" t="s">
        <v>5</v>
      </c>
      <c r="D100" s="1" t="s">
        <v>8</v>
      </c>
      <c r="E100" s="1" t="s">
        <v>9</v>
      </c>
      <c r="F100" s="1" t="s">
        <v>11</v>
      </c>
      <c r="G100" s="1" t="s">
        <v>13</v>
      </c>
      <c r="H100" s="1" t="s">
        <v>14</v>
      </c>
      <c r="I100" s="1" t="s">
        <v>15</v>
      </c>
      <c r="J100" s="1" t="s">
        <v>16</v>
      </c>
      <c r="K100" s="1" t="s">
        <v>18</v>
      </c>
      <c r="L100" s="1" t="s">
        <v>19</v>
      </c>
      <c r="M100" s="1" t="s">
        <v>20</v>
      </c>
      <c r="N100" s="1" t="s">
        <v>21</v>
      </c>
      <c r="O100" s="1" t="s">
        <v>22</v>
      </c>
      <c r="P100" s="1" t="s">
        <v>23</v>
      </c>
    </row>
    <row r="101" ht="14.25" customHeight="1">
      <c r="A101" s="5">
        <v>2035.0</v>
      </c>
      <c r="B101" s="2" t="s">
        <v>1</v>
      </c>
      <c r="C101" s="2" t="s">
        <v>28</v>
      </c>
      <c r="D101" s="9">
        <f>datos_base!$K$2*parametros_carros!B$12</f>
        <v>38.505</v>
      </c>
      <c r="E101" s="9">
        <f>datos_base!$K$2*parametros_carros!C$12</f>
        <v>33.975</v>
      </c>
      <c r="F101" s="9">
        <f>datos_base!$K$2*parametros_carros!D$12</f>
        <v>40.77</v>
      </c>
      <c r="G101" s="9">
        <f>datos_base!$K$2*parametros_carros!E$12</f>
        <v>40.77</v>
      </c>
      <c r="H101" s="9">
        <f>datos_base!$K$2*parametros_carros!F$12</f>
        <v>40.77</v>
      </c>
      <c r="I101" s="9">
        <f>datos_base!$K$2*parametros_carros!G$12</f>
        <v>36.24</v>
      </c>
      <c r="J101" s="9">
        <f>datos_base!$K$2*parametros_carros!H$12</f>
        <v>40.77</v>
      </c>
      <c r="K101" s="9">
        <f>datos_base!$K$2*parametros_carros!I$12</f>
        <v>40.77</v>
      </c>
      <c r="L101" s="9">
        <f>datos_base!$K$2*parametros_carros!J$12</f>
        <v>38.505</v>
      </c>
      <c r="M101" s="9">
        <f>datos_base!$K$2*parametros_carros!K$12</f>
        <v>33.975</v>
      </c>
      <c r="N101" s="9">
        <f>datos_base!$K$2*parametros_carros!L$12</f>
        <v>31.71</v>
      </c>
      <c r="O101" s="9">
        <f>datos_base!$K$2*parametros_carros!M$12</f>
        <v>36.24</v>
      </c>
      <c r="P101" s="17">
        <f t="shared" ref="P101:P108" si="19">SUM(D101:O101)</f>
        <v>453</v>
      </c>
    </row>
    <row r="102" ht="14.25" customHeight="1">
      <c r="A102" s="5">
        <v>2035.0</v>
      </c>
      <c r="B102" s="2" t="s">
        <v>7</v>
      </c>
      <c r="C102" s="2" t="s">
        <v>28</v>
      </c>
      <c r="D102" s="9">
        <f>datos_base!$K$3*parametros_carros!B$13</f>
        <v>84.745</v>
      </c>
      <c r="E102" s="9">
        <f>datos_base!$K$3*parametros_carros!C$13</f>
        <v>74.775</v>
      </c>
      <c r="F102" s="9">
        <f>datos_base!$K$3*parametros_carros!D$13</f>
        <v>89.73</v>
      </c>
      <c r="G102" s="9">
        <f>datos_base!$K$3*parametros_carros!E$13</f>
        <v>89.73</v>
      </c>
      <c r="H102" s="9">
        <f>datos_base!$K$3*parametros_carros!F$13</f>
        <v>89.73</v>
      </c>
      <c r="I102" s="9">
        <f>datos_base!$K$3*parametros_carros!G$13</f>
        <v>79.76</v>
      </c>
      <c r="J102" s="9">
        <f>datos_base!$K$3*parametros_carros!H$13</f>
        <v>89.73</v>
      </c>
      <c r="K102" s="9">
        <f>datos_base!$K$3*parametros_carros!I$13</f>
        <v>89.73</v>
      </c>
      <c r="L102" s="9">
        <f>datos_base!$K$3*parametros_carros!J$13</f>
        <v>84.745</v>
      </c>
      <c r="M102" s="9">
        <f>datos_base!$K$3*parametros_carros!K$13</f>
        <v>74.775</v>
      </c>
      <c r="N102" s="9">
        <f>datos_base!$K$3*parametros_carros!L$13</f>
        <v>69.79</v>
      </c>
      <c r="O102" s="9">
        <f>datos_base!$K$3*parametros_carros!M$13</f>
        <v>79.76</v>
      </c>
      <c r="P102" s="17">
        <f t="shared" si="19"/>
        <v>997</v>
      </c>
    </row>
    <row r="103" ht="14.25" customHeight="1">
      <c r="A103" s="5">
        <v>2035.0</v>
      </c>
      <c r="B103" s="2" t="s">
        <v>12</v>
      </c>
      <c r="C103" s="2" t="s">
        <v>28</v>
      </c>
      <c r="D103" s="9">
        <f>datos_base!$K$4*parametros_carros!B$14</f>
        <v>18.53</v>
      </c>
      <c r="E103" s="9">
        <f>datos_base!$K$4*parametros_carros!C$14</f>
        <v>16.35</v>
      </c>
      <c r="F103" s="9">
        <f>datos_base!$K$4*parametros_carros!D$14</f>
        <v>19.62</v>
      </c>
      <c r="G103" s="9">
        <f>datos_base!$K$4*parametros_carros!E$14</f>
        <v>19.62</v>
      </c>
      <c r="H103" s="9">
        <f>datos_base!$K$4*parametros_carros!F$14</f>
        <v>19.62</v>
      </c>
      <c r="I103" s="9">
        <f>datos_base!$K$4*parametros_carros!G$14</f>
        <v>17.44</v>
      </c>
      <c r="J103" s="9">
        <f>datos_base!$K$4*parametros_carros!H$14</f>
        <v>19.62</v>
      </c>
      <c r="K103" s="9">
        <f>datos_base!$K$4*parametros_carros!I$14</f>
        <v>19.62</v>
      </c>
      <c r="L103" s="9">
        <f>datos_base!$K$4*parametros_carros!J$14</f>
        <v>18.53</v>
      </c>
      <c r="M103" s="9">
        <f>datos_base!$K$4*parametros_carros!K$14</f>
        <v>16.35</v>
      </c>
      <c r="N103" s="9">
        <f>datos_base!$K$4*parametros_carros!L$14</f>
        <v>15.26</v>
      </c>
      <c r="O103" s="9">
        <f>datos_base!$K$4*parametros_carros!M$14</f>
        <v>17.44</v>
      </c>
      <c r="P103" s="17">
        <f t="shared" si="19"/>
        <v>218</v>
      </c>
    </row>
    <row r="104" ht="14.25" customHeight="1">
      <c r="A104" s="5">
        <v>2035.0</v>
      </c>
      <c r="B104" s="2" t="s">
        <v>17</v>
      </c>
      <c r="C104" s="2" t="s">
        <v>28</v>
      </c>
      <c r="D104" s="9">
        <f>datos_base!$K$5*parametros_carros!B$15</f>
        <v>12.325</v>
      </c>
      <c r="E104" s="9">
        <f>datos_base!$K$5*parametros_carros!C$15</f>
        <v>10.875</v>
      </c>
      <c r="F104" s="9">
        <f>datos_base!$K$5*parametros_carros!D$15</f>
        <v>13.05</v>
      </c>
      <c r="G104" s="9">
        <f>datos_base!$K$5*parametros_carros!E$15</f>
        <v>13.05</v>
      </c>
      <c r="H104" s="9">
        <f>datos_base!$K$5*parametros_carros!F$15</f>
        <v>13.05</v>
      </c>
      <c r="I104" s="9">
        <f>datos_base!$K$5*parametros_carros!G$15</f>
        <v>11.6</v>
      </c>
      <c r="J104" s="9">
        <f>datos_base!$K$5*parametros_carros!H$15</f>
        <v>13.05</v>
      </c>
      <c r="K104" s="9">
        <f>datos_base!$K$5*parametros_carros!I$15</f>
        <v>13.05</v>
      </c>
      <c r="L104" s="9">
        <f>datos_base!$K$5*parametros_carros!J$15</f>
        <v>12.325</v>
      </c>
      <c r="M104" s="9">
        <f>datos_base!$K$5*parametros_carros!K$15</f>
        <v>10.875</v>
      </c>
      <c r="N104" s="9">
        <f>datos_base!$K$5*parametros_carros!L$15</f>
        <v>10.15</v>
      </c>
      <c r="O104" s="9">
        <f>datos_base!$K$5*parametros_carros!M$15</f>
        <v>11.6</v>
      </c>
      <c r="P104" s="17">
        <f t="shared" si="19"/>
        <v>145</v>
      </c>
    </row>
    <row r="105" ht="14.25" customHeight="1">
      <c r="A105" s="5">
        <v>2035.0</v>
      </c>
      <c r="B105" s="2" t="s">
        <v>42</v>
      </c>
      <c r="C105" s="2" t="s">
        <v>108</v>
      </c>
      <c r="D105" s="9">
        <f>datos_base!$K$9*parametros_carros!B$12</f>
        <v>27.37</v>
      </c>
      <c r="E105" s="9">
        <f>datos_base!$K$9*parametros_carros!C$12</f>
        <v>24.15</v>
      </c>
      <c r="F105" s="9">
        <f>datos_base!$K$9*parametros_carros!D$12</f>
        <v>28.98</v>
      </c>
      <c r="G105" s="9">
        <f>datos_base!$K$9*parametros_carros!E$12</f>
        <v>28.98</v>
      </c>
      <c r="H105" s="9">
        <f>datos_base!$K$9*parametros_carros!F$12</f>
        <v>28.98</v>
      </c>
      <c r="I105" s="9">
        <f>datos_base!$K$9*parametros_carros!G$12</f>
        <v>25.76</v>
      </c>
      <c r="J105" s="9">
        <f>datos_base!$K$9*parametros_carros!H$12</f>
        <v>28.98</v>
      </c>
      <c r="K105" s="9">
        <f>datos_base!$K$9*parametros_carros!I$12</f>
        <v>28.98</v>
      </c>
      <c r="L105" s="9">
        <f>datos_base!$K$9*parametros_carros!J$12</f>
        <v>27.37</v>
      </c>
      <c r="M105" s="9">
        <f>datos_base!$K$9*parametros_carros!K$12</f>
        <v>24.15</v>
      </c>
      <c r="N105" s="9">
        <f>datos_base!$K$9*parametros_carros!L$12</f>
        <v>22.54</v>
      </c>
      <c r="O105" s="9">
        <f>datos_base!$K$9*parametros_carros!M$12</f>
        <v>25.76</v>
      </c>
      <c r="P105" s="17">
        <f t="shared" si="19"/>
        <v>322</v>
      </c>
    </row>
    <row r="106" ht="14.25" customHeight="1">
      <c r="A106" s="5">
        <v>2035.0</v>
      </c>
      <c r="B106" s="2" t="s">
        <v>43</v>
      </c>
      <c r="C106" s="2" t="s">
        <v>108</v>
      </c>
      <c r="D106" s="9">
        <f>datos_base!$K$10*parametros_carros!B$13</f>
        <v>60.18</v>
      </c>
      <c r="E106" s="9">
        <f>datos_base!$K$10*parametros_carros!C$13</f>
        <v>53.1</v>
      </c>
      <c r="F106" s="9">
        <f>datos_base!$K$10*parametros_carros!D$13</f>
        <v>63.72</v>
      </c>
      <c r="G106" s="9">
        <f>datos_base!$K$10*parametros_carros!E$13</f>
        <v>63.72</v>
      </c>
      <c r="H106" s="9">
        <f>datos_base!$K$10*parametros_carros!F$13</f>
        <v>63.72</v>
      </c>
      <c r="I106" s="9">
        <f>datos_base!$K$10*parametros_carros!G$13</f>
        <v>56.64</v>
      </c>
      <c r="J106" s="9">
        <f>datos_base!$K$10*parametros_carros!H$13</f>
        <v>63.72</v>
      </c>
      <c r="K106" s="9">
        <f>datos_base!$K$10*parametros_carros!I$13</f>
        <v>63.72</v>
      </c>
      <c r="L106" s="9">
        <f>datos_base!$K$10*parametros_carros!J$13</f>
        <v>60.18</v>
      </c>
      <c r="M106" s="9">
        <f>datos_base!$K$10*parametros_carros!K$13</f>
        <v>53.1</v>
      </c>
      <c r="N106" s="9">
        <f>datos_base!$K$10*parametros_carros!L$13</f>
        <v>49.56</v>
      </c>
      <c r="O106" s="9">
        <f>datos_base!$K$10*parametros_carros!M$13</f>
        <v>56.64</v>
      </c>
      <c r="P106" s="17">
        <f t="shared" si="19"/>
        <v>708</v>
      </c>
    </row>
    <row r="107" ht="14.25" customHeight="1">
      <c r="A107" s="5">
        <v>2035.0</v>
      </c>
      <c r="B107" s="2" t="s">
        <v>44</v>
      </c>
      <c r="C107" s="2" t="s">
        <v>108</v>
      </c>
      <c r="D107" s="9">
        <f>datos_base!$K$11*parametros_carros!B$14</f>
        <v>13.175</v>
      </c>
      <c r="E107" s="9">
        <f>datos_base!$K$11*parametros_carros!C$14</f>
        <v>11.625</v>
      </c>
      <c r="F107" s="9">
        <f>datos_base!$K$11*parametros_carros!D$14</f>
        <v>13.95</v>
      </c>
      <c r="G107" s="9">
        <f>datos_base!$K$11*parametros_carros!E$14</f>
        <v>13.95</v>
      </c>
      <c r="H107" s="9">
        <f>datos_base!$K$11*parametros_carros!F$14</f>
        <v>13.95</v>
      </c>
      <c r="I107" s="9">
        <f>datos_base!$K$11*parametros_carros!G$14</f>
        <v>12.4</v>
      </c>
      <c r="J107" s="9">
        <f>datos_base!$K$11*parametros_carros!H$14</f>
        <v>13.95</v>
      </c>
      <c r="K107" s="9">
        <f>datos_base!$K$11*parametros_carros!I$14</f>
        <v>13.95</v>
      </c>
      <c r="L107" s="9">
        <f>datos_base!$K$11*parametros_carros!J$14</f>
        <v>13.175</v>
      </c>
      <c r="M107" s="9">
        <f>datos_base!$K$11*parametros_carros!K$14</f>
        <v>11.625</v>
      </c>
      <c r="N107" s="9">
        <f>datos_base!$K$11*parametros_carros!L$14</f>
        <v>10.85</v>
      </c>
      <c r="O107" s="9">
        <f>datos_base!$K$11*parametros_carros!M$14</f>
        <v>12.4</v>
      </c>
      <c r="P107" s="17">
        <f t="shared" si="19"/>
        <v>155</v>
      </c>
    </row>
    <row r="108" ht="14.25" customHeight="1">
      <c r="A108" s="5">
        <v>2035.0</v>
      </c>
      <c r="B108" s="2" t="s">
        <v>45</v>
      </c>
      <c r="C108" s="2" t="s">
        <v>108</v>
      </c>
      <c r="D108" s="9">
        <f>datos_base!$K$12*parametros_carros!B$15</f>
        <v>8.67</v>
      </c>
      <c r="E108" s="9">
        <f>datos_base!$K$12*parametros_carros!C$15</f>
        <v>7.65</v>
      </c>
      <c r="F108" s="9">
        <f>datos_base!$K$12*parametros_carros!D$15</f>
        <v>9.18</v>
      </c>
      <c r="G108" s="9">
        <f>datos_base!$K$12*parametros_carros!E$15</f>
        <v>9.18</v>
      </c>
      <c r="H108" s="9">
        <f>datos_base!$K$12*parametros_carros!F$15</f>
        <v>9.18</v>
      </c>
      <c r="I108" s="9">
        <f>datos_base!$K$12*parametros_carros!G$15</f>
        <v>8.16</v>
      </c>
      <c r="J108" s="9">
        <f>datos_base!$K$12*parametros_carros!H$15</f>
        <v>9.18</v>
      </c>
      <c r="K108" s="9">
        <f>datos_base!$K$12*parametros_carros!I$15</f>
        <v>9.18</v>
      </c>
      <c r="L108" s="9">
        <f>datos_base!$K$12*parametros_carros!J$15</f>
        <v>8.67</v>
      </c>
      <c r="M108" s="9">
        <f>datos_base!$K$12*parametros_carros!K$15</f>
        <v>7.65</v>
      </c>
      <c r="N108" s="9">
        <f>datos_base!$K$12*parametros_carros!L$15</f>
        <v>7.14</v>
      </c>
      <c r="O108" s="9">
        <f>datos_base!$K$12*parametros_carros!M$15</f>
        <v>8.16</v>
      </c>
      <c r="P108" s="17">
        <f t="shared" si="19"/>
        <v>102</v>
      </c>
    </row>
    <row r="109" ht="14.25" customHeight="1">
      <c r="A109" s="29"/>
      <c r="B109" s="14" t="s">
        <v>119</v>
      </c>
      <c r="C109" s="29"/>
      <c r="D109" s="30">
        <f t="shared" ref="D109:P109" si="20">SUM(D101:D108)</f>
        <v>263.5</v>
      </c>
      <c r="E109" s="30">
        <f t="shared" si="20"/>
        <v>232.5</v>
      </c>
      <c r="F109" s="30">
        <f t="shared" si="20"/>
        <v>279</v>
      </c>
      <c r="G109" s="30">
        <f t="shared" si="20"/>
        <v>279</v>
      </c>
      <c r="H109" s="30">
        <f t="shared" si="20"/>
        <v>279</v>
      </c>
      <c r="I109" s="30">
        <f t="shared" si="20"/>
        <v>248</v>
      </c>
      <c r="J109" s="30">
        <f t="shared" si="20"/>
        <v>279</v>
      </c>
      <c r="K109" s="30">
        <f t="shared" si="20"/>
        <v>279</v>
      </c>
      <c r="L109" s="30">
        <f t="shared" si="20"/>
        <v>263.5</v>
      </c>
      <c r="M109" s="30">
        <f t="shared" si="20"/>
        <v>232.5</v>
      </c>
      <c r="N109" s="30">
        <f t="shared" si="20"/>
        <v>217</v>
      </c>
      <c r="O109" s="30">
        <f t="shared" si="20"/>
        <v>248</v>
      </c>
      <c r="P109" s="30">
        <f t="shared" si="20"/>
        <v>3100</v>
      </c>
    </row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4.0"/>
    <col customWidth="1" min="2" max="13" width="9.0"/>
    <col customWidth="1" min="14" max="15" width="12.0"/>
    <col customWidth="1" min="16" max="16" width="16.0"/>
    <col customWidth="1" min="17" max="17" width="9.0"/>
    <col customWidth="1" min="18" max="26" width="8.86"/>
  </cols>
  <sheetData>
    <row r="1" ht="45.0" customHeight="1">
      <c r="A1" s="1" t="s">
        <v>25</v>
      </c>
      <c r="B1" s="1" t="s">
        <v>8</v>
      </c>
      <c r="C1" s="1" t="s">
        <v>9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32</v>
      </c>
      <c r="O1" s="1" t="s">
        <v>33</v>
      </c>
      <c r="P1" s="1" t="s">
        <v>34</v>
      </c>
      <c r="Q1" s="1" t="s">
        <v>36</v>
      </c>
    </row>
    <row r="2" ht="14.25" customHeight="1">
      <c r="A2" s="2" t="str">
        <f>parametros_carros!$B$19</f>
        <v>Recepción de materia prima</v>
      </c>
      <c r="B2" s="9">
        <f>(parametros_carros!$D$19*('Plan mensual'!D2+IF(parametros_carros!$H$19="Todos",'Plan mensual'!D6,0))+parametros_carros!$E$19*('Plan mensual'!D3+IF(parametros_carros!$H$19="Todos",'Plan mensual'!D7,0))+parametros_carros!$F$19*('Plan mensual'!D4+IF(parametros_carros!$H$19="Todos",'Plan mensual'!D8,0))+parametros_carros!$G$19*('Plan mensual'!D5+IF(parametros_carros!$H$19="Todos",'Plan mensual'!D9,0)))/60</f>
        <v>0.3434283333</v>
      </c>
      <c r="C2" s="9">
        <f>(parametros_carros!$D$19*('Plan mensual'!E2+IF(parametros_carros!$H$19="Todos",'Plan mensual'!E6,0))+parametros_carros!$E$19*('Plan mensual'!E3+IF(parametros_carros!$H$19="Todos",'Plan mensual'!E7,0))+parametros_carros!$F$19*('Plan mensual'!E4+IF(parametros_carros!$H$19="Todos",'Plan mensual'!E8,0))+parametros_carros!$G$19*('Plan mensual'!E5+IF(parametros_carros!$H$19="Todos",'Plan mensual'!E9,0)))/60</f>
        <v>0.303025</v>
      </c>
      <c r="D2" s="9">
        <f>(parametros_carros!$D$19*('Plan mensual'!F2+IF(parametros_carros!$H$19="Todos",'Plan mensual'!F6,0))+parametros_carros!$E$19*('Plan mensual'!F3+IF(parametros_carros!$H$19="Todos",'Plan mensual'!F7,0))+parametros_carros!$F$19*('Plan mensual'!F4+IF(parametros_carros!$H$19="Todos",'Plan mensual'!F8,0))+parametros_carros!$G$19*('Plan mensual'!F5+IF(parametros_carros!$H$19="Todos",'Plan mensual'!F9,0)))/60</f>
        <v>0.36363</v>
      </c>
      <c r="E2" s="9">
        <f>(parametros_carros!$D$19*('Plan mensual'!G2+IF(parametros_carros!$H$19="Todos",'Plan mensual'!G6,0))+parametros_carros!$E$19*('Plan mensual'!G3+IF(parametros_carros!$H$19="Todos",'Plan mensual'!G7,0))+parametros_carros!$F$19*('Plan mensual'!G4+IF(parametros_carros!$H$19="Todos",'Plan mensual'!G8,0))+parametros_carros!$G$19*('Plan mensual'!G5+IF(parametros_carros!$H$19="Todos",'Plan mensual'!G9,0)))/60</f>
        <v>0.36363</v>
      </c>
      <c r="F2" s="9">
        <f>(parametros_carros!$D$19*('Plan mensual'!H2+IF(parametros_carros!$H$19="Todos",'Plan mensual'!H6,0))+parametros_carros!$E$19*('Plan mensual'!H3+IF(parametros_carros!$H$19="Todos",'Plan mensual'!H7,0))+parametros_carros!$F$19*('Plan mensual'!H4+IF(parametros_carros!$H$19="Todos",'Plan mensual'!H8,0))+parametros_carros!$G$19*('Plan mensual'!H5+IF(parametros_carros!$H$19="Todos",'Plan mensual'!H9,0)))/60</f>
        <v>0.36363</v>
      </c>
      <c r="G2" s="9">
        <f>(parametros_carros!$D$19*('Plan mensual'!I2+IF(parametros_carros!$H$19="Todos",'Plan mensual'!I6,0))+parametros_carros!$E$19*('Plan mensual'!I3+IF(parametros_carros!$H$19="Todos",'Plan mensual'!I7,0))+parametros_carros!$F$19*('Plan mensual'!I4+IF(parametros_carros!$H$19="Todos",'Plan mensual'!I8,0))+parametros_carros!$G$19*('Plan mensual'!I5+IF(parametros_carros!$H$19="Todos",'Plan mensual'!I9,0)))/60</f>
        <v>0.3232266667</v>
      </c>
      <c r="H2" s="9">
        <f>(parametros_carros!$D$19*('Plan mensual'!J2+IF(parametros_carros!$H$19="Todos",'Plan mensual'!J6,0))+parametros_carros!$E$19*('Plan mensual'!J3+IF(parametros_carros!$H$19="Todos",'Plan mensual'!J7,0))+parametros_carros!$F$19*('Plan mensual'!J4+IF(parametros_carros!$H$19="Todos",'Plan mensual'!J8,0))+parametros_carros!$G$19*('Plan mensual'!J5+IF(parametros_carros!$H$19="Todos",'Plan mensual'!J9,0)))/60</f>
        <v>0.36363</v>
      </c>
      <c r="I2" s="9">
        <f>(parametros_carros!$D$19*('Plan mensual'!K2+IF(parametros_carros!$H$19="Todos",'Plan mensual'!K6,0))+parametros_carros!$E$19*('Plan mensual'!K3+IF(parametros_carros!$H$19="Todos",'Plan mensual'!K7,0))+parametros_carros!$F$19*('Plan mensual'!K4+IF(parametros_carros!$H$19="Todos",'Plan mensual'!K8,0))+parametros_carros!$G$19*('Plan mensual'!K5+IF(parametros_carros!$H$19="Todos",'Plan mensual'!K9,0)))/60</f>
        <v>0.36363</v>
      </c>
      <c r="J2" s="9">
        <f>(parametros_carros!$D$19*('Plan mensual'!L2+IF(parametros_carros!$H$19="Todos",'Plan mensual'!L6,0))+parametros_carros!$E$19*('Plan mensual'!L3+IF(parametros_carros!$H$19="Todos",'Plan mensual'!L7,0))+parametros_carros!$F$19*('Plan mensual'!L4+IF(parametros_carros!$H$19="Todos",'Plan mensual'!L8,0))+parametros_carros!$G$19*('Plan mensual'!L5+IF(parametros_carros!$H$19="Todos",'Plan mensual'!L9,0)))/60</f>
        <v>0.3434283333</v>
      </c>
      <c r="K2" s="9">
        <f>(parametros_carros!$D$19*('Plan mensual'!M2+IF(parametros_carros!$H$19="Todos",'Plan mensual'!M6,0))+parametros_carros!$E$19*('Plan mensual'!M3+IF(parametros_carros!$H$19="Todos",'Plan mensual'!M7,0))+parametros_carros!$F$19*('Plan mensual'!M4+IF(parametros_carros!$H$19="Todos",'Plan mensual'!M8,0))+parametros_carros!$G$19*('Plan mensual'!M5+IF(parametros_carros!$H$19="Todos",'Plan mensual'!M9,0)))/60</f>
        <v>0.303025</v>
      </c>
      <c r="L2" s="9">
        <f>(parametros_carros!$D$19*('Plan mensual'!N2+IF(parametros_carros!$H$19="Todos",'Plan mensual'!N6,0))+parametros_carros!$E$19*('Plan mensual'!N3+IF(parametros_carros!$H$19="Todos",'Plan mensual'!N7,0))+parametros_carros!$F$19*('Plan mensual'!N4+IF(parametros_carros!$H$19="Todos",'Plan mensual'!N8,0))+parametros_carros!$G$19*('Plan mensual'!N5+IF(parametros_carros!$H$19="Todos",'Plan mensual'!N9,0)))/60</f>
        <v>0.2828233333</v>
      </c>
      <c r="M2" s="9">
        <f>(parametros_carros!$D$19*('Plan mensual'!O2+IF(parametros_carros!$H$19="Todos",'Plan mensual'!O6,0))+parametros_carros!$E$19*('Plan mensual'!O3+IF(parametros_carros!$H$19="Todos",'Plan mensual'!O7,0))+parametros_carros!$F$19*('Plan mensual'!O4+IF(parametros_carros!$H$19="Todos",'Plan mensual'!O8,0))+parametros_carros!$G$19*('Plan mensual'!O5+IF(parametros_carros!$H$19="Todos",'Plan mensual'!O9,0)))/60</f>
        <v>0.3232266667</v>
      </c>
      <c r="N2" s="9">
        <f t="shared" ref="N2:N19" si="1">SUM(B2:M2)</f>
        <v>4.040333333</v>
      </c>
      <c r="O2" s="9">
        <f t="shared" ref="O2:O19" si="2">MAX(B2:M2)</f>
        <v>0.36363</v>
      </c>
      <c r="P2" s="32">
        <f>IF(parametros_carros!$B$7=0,0,(O2+parametros_carros!$G$45)/parametros_carros!$B$7)</f>
        <v>0.05053531111</v>
      </c>
      <c r="Q2" s="21" t="str">
        <f t="shared" ref="Q2:Q19" si="3">IF(O2=0,"-",INDEX($B$1:$M$1,MATCH(O2,B2:M2,0)))</f>
        <v>Mar</v>
      </c>
    </row>
    <row r="3" ht="14.25" customHeight="1">
      <c r="A3" s="2" t="str">
        <f>parametros_carros!$B$20</f>
        <v>Corte de chapa (guillotina)</v>
      </c>
      <c r="B3" s="9">
        <f>(parametros_carros!$D$20*('Plan mensual'!D2+IF(parametros_carros!$H$20="Todos",'Plan mensual'!D6,0))+parametros_carros!$E$20*('Plan mensual'!D3+IF(parametros_carros!$H$20="Todos",'Plan mensual'!D7,0))+parametros_carros!$F$20*('Plan mensual'!D4+IF(parametros_carros!$H$20="Todos",'Plan mensual'!D8,0))+parametros_carros!$G$20*('Plan mensual'!D5+IF(parametros_carros!$H$20="Todos",'Plan mensual'!D9,0)))/60</f>
        <v>0.7537811292</v>
      </c>
      <c r="C3" s="9">
        <f>(parametros_carros!$D$20*('Plan mensual'!E2+IF(parametros_carros!$H$20="Todos",'Plan mensual'!E6,0))+parametros_carros!$E$20*('Plan mensual'!E3+IF(parametros_carros!$H$20="Todos",'Plan mensual'!E7,0))+parametros_carros!$F$20*('Plan mensual'!E4+IF(parametros_carros!$H$20="Todos",'Plan mensual'!E8,0))+parametros_carros!$G$20*('Plan mensual'!E5+IF(parametros_carros!$H$20="Todos",'Plan mensual'!E9,0)))/60</f>
        <v>0.6651009964</v>
      </c>
      <c r="D3" s="9">
        <f>(parametros_carros!$D$20*('Plan mensual'!F2+IF(parametros_carros!$H$20="Todos",'Plan mensual'!F6,0))+parametros_carros!$E$20*('Plan mensual'!F3+IF(parametros_carros!$H$20="Todos",'Plan mensual'!F7,0))+parametros_carros!$F$20*('Plan mensual'!F4+IF(parametros_carros!$H$20="Todos",'Plan mensual'!F8,0))+parametros_carros!$G$20*('Plan mensual'!F5+IF(parametros_carros!$H$20="Todos",'Plan mensual'!F9,0)))/60</f>
        <v>0.7981211957</v>
      </c>
      <c r="E3" s="9">
        <f>(parametros_carros!$D$20*('Plan mensual'!G2+IF(parametros_carros!$H$20="Todos",'Plan mensual'!G6,0))+parametros_carros!$E$20*('Plan mensual'!G3+IF(parametros_carros!$H$20="Todos",'Plan mensual'!G7,0))+parametros_carros!$F$20*('Plan mensual'!G4+IF(parametros_carros!$H$20="Todos",'Plan mensual'!G8,0))+parametros_carros!$G$20*('Plan mensual'!G5+IF(parametros_carros!$H$20="Todos",'Plan mensual'!G9,0)))/60</f>
        <v>0.7981211957</v>
      </c>
      <c r="F3" s="9">
        <f>(parametros_carros!$D$20*('Plan mensual'!H2+IF(parametros_carros!$H$20="Todos",'Plan mensual'!H6,0))+parametros_carros!$E$20*('Plan mensual'!H3+IF(parametros_carros!$H$20="Todos",'Plan mensual'!H7,0))+parametros_carros!$F$20*('Plan mensual'!H4+IF(parametros_carros!$H$20="Todos",'Plan mensual'!H8,0))+parametros_carros!$G$20*('Plan mensual'!H5+IF(parametros_carros!$H$20="Todos",'Plan mensual'!H9,0)))/60</f>
        <v>0.7981211957</v>
      </c>
      <c r="G3" s="9">
        <f>(parametros_carros!$D$20*('Plan mensual'!I2+IF(parametros_carros!$H$20="Todos",'Plan mensual'!I6,0))+parametros_carros!$E$20*('Plan mensual'!I3+IF(parametros_carros!$H$20="Todos",'Plan mensual'!I7,0))+parametros_carros!$F$20*('Plan mensual'!I4+IF(parametros_carros!$H$20="Todos",'Plan mensual'!I8,0))+parametros_carros!$G$20*('Plan mensual'!I5+IF(parametros_carros!$H$20="Todos",'Plan mensual'!I9,0)))/60</f>
        <v>0.7094410628</v>
      </c>
      <c r="H3" s="9">
        <f>(parametros_carros!$D$20*('Plan mensual'!J2+IF(parametros_carros!$H$20="Todos",'Plan mensual'!J6,0))+parametros_carros!$E$20*('Plan mensual'!J3+IF(parametros_carros!$H$20="Todos",'Plan mensual'!J7,0))+parametros_carros!$F$20*('Plan mensual'!J4+IF(parametros_carros!$H$20="Todos",'Plan mensual'!J8,0))+parametros_carros!$G$20*('Plan mensual'!J5+IF(parametros_carros!$H$20="Todos",'Plan mensual'!J9,0)))/60</f>
        <v>0.7981211957</v>
      </c>
      <c r="I3" s="9">
        <f>(parametros_carros!$D$20*('Plan mensual'!K2+IF(parametros_carros!$H$20="Todos",'Plan mensual'!K6,0))+parametros_carros!$E$20*('Plan mensual'!K3+IF(parametros_carros!$H$20="Todos",'Plan mensual'!K7,0))+parametros_carros!$F$20*('Plan mensual'!K4+IF(parametros_carros!$H$20="Todos",'Plan mensual'!K8,0))+parametros_carros!$G$20*('Plan mensual'!K5+IF(parametros_carros!$H$20="Todos",'Plan mensual'!K9,0)))/60</f>
        <v>0.7981211957</v>
      </c>
      <c r="J3" s="9">
        <f>(parametros_carros!$D$20*('Plan mensual'!L2+IF(parametros_carros!$H$20="Todos",'Plan mensual'!L6,0))+parametros_carros!$E$20*('Plan mensual'!L3+IF(parametros_carros!$H$20="Todos",'Plan mensual'!L7,0))+parametros_carros!$F$20*('Plan mensual'!L4+IF(parametros_carros!$H$20="Todos",'Plan mensual'!L8,0))+parametros_carros!$G$20*('Plan mensual'!L5+IF(parametros_carros!$H$20="Todos",'Plan mensual'!L9,0)))/60</f>
        <v>0.7537811292</v>
      </c>
      <c r="K3" s="9">
        <f>(parametros_carros!$D$20*('Plan mensual'!M2+IF(parametros_carros!$H$20="Todos",'Plan mensual'!M6,0))+parametros_carros!$E$20*('Plan mensual'!M3+IF(parametros_carros!$H$20="Todos",'Plan mensual'!M7,0))+parametros_carros!$F$20*('Plan mensual'!M4+IF(parametros_carros!$H$20="Todos",'Plan mensual'!M8,0))+parametros_carros!$G$20*('Plan mensual'!M5+IF(parametros_carros!$H$20="Todos",'Plan mensual'!M9,0)))/60</f>
        <v>0.6651009964</v>
      </c>
      <c r="L3" s="9">
        <f>(parametros_carros!$D$20*('Plan mensual'!N2+IF(parametros_carros!$H$20="Todos",'Plan mensual'!N6,0))+parametros_carros!$E$20*('Plan mensual'!N3+IF(parametros_carros!$H$20="Todos",'Plan mensual'!N7,0))+parametros_carros!$F$20*('Plan mensual'!N4+IF(parametros_carros!$H$20="Todos",'Plan mensual'!N8,0))+parametros_carros!$G$20*('Plan mensual'!N5+IF(parametros_carros!$H$20="Todos",'Plan mensual'!N9,0)))/60</f>
        <v>0.62076093</v>
      </c>
      <c r="M3" s="9">
        <f>(parametros_carros!$D$20*('Plan mensual'!O2+IF(parametros_carros!$H$20="Todos",'Plan mensual'!O6,0))+parametros_carros!$E$20*('Plan mensual'!O3+IF(parametros_carros!$H$20="Todos",'Plan mensual'!O7,0))+parametros_carros!$F$20*('Plan mensual'!O4+IF(parametros_carros!$H$20="Todos",'Plan mensual'!O8,0))+parametros_carros!$G$20*('Plan mensual'!O5+IF(parametros_carros!$H$20="Todos",'Plan mensual'!O9,0)))/60</f>
        <v>0.7094410628</v>
      </c>
      <c r="N3" s="9">
        <f t="shared" si="1"/>
        <v>8.868013285</v>
      </c>
      <c r="O3" s="9">
        <f t="shared" si="2"/>
        <v>0.7981211957</v>
      </c>
      <c r="P3" s="32">
        <f>IF(parametros_carros!$B$7=0,0,(O3+parametros_carros!$G$46)/parametros_carros!$B$7)</f>
        <v>0.06754303019</v>
      </c>
      <c r="Q3" s="21" t="str">
        <f t="shared" si="3"/>
        <v>Mar</v>
      </c>
    </row>
    <row r="4" ht="14.25" customHeight="1">
      <c r="A4" s="2" t="str">
        <f>parametros_carros!$B$21</f>
        <v>Marcado del cuerpo</v>
      </c>
      <c r="B4" s="9">
        <f>(parametros_carros!$D$21*('Plan mensual'!D2+IF(parametros_carros!$H$21="Todos",'Plan mensual'!D6,0))+parametros_carros!$E$21*('Plan mensual'!D3+IF(parametros_carros!$H$21="Todos",'Plan mensual'!D7,0))+parametros_carros!$F$21*('Plan mensual'!D4+IF(parametros_carros!$H$21="Todos",'Plan mensual'!D8,0))+parametros_carros!$G$21*('Plan mensual'!D5+IF(parametros_carros!$H$21="Todos",'Plan mensual'!D9,0)))/60</f>
        <v>0.300475</v>
      </c>
      <c r="C4" s="9">
        <f>(parametros_carros!$D$21*('Plan mensual'!E2+IF(parametros_carros!$H$21="Todos",'Plan mensual'!E6,0))+parametros_carros!$E$21*('Plan mensual'!E3+IF(parametros_carros!$H$21="Todos",'Plan mensual'!E7,0))+parametros_carros!$F$21*('Plan mensual'!E4+IF(parametros_carros!$H$21="Todos",'Plan mensual'!E8,0))+parametros_carros!$G$21*('Plan mensual'!E5+IF(parametros_carros!$H$21="Todos",'Plan mensual'!E9,0)))/60</f>
        <v>0.265125</v>
      </c>
      <c r="D4" s="9">
        <f>(parametros_carros!$D$21*('Plan mensual'!F2+IF(parametros_carros!$H$21="Todos",'Plan mensual'!F6,0))+parametros_carros!$E$21*('Plan mensual'!F3+IF(parametros_carros!$H$21="Todos",'Plan mensual'!F7,0))+parametros_carros!$F$21*('Plan mensual'!F4+IF(parametros_carros!$H$21="Todos",'Plan mensual'!F8,0))+parametros_carros!$G$21*('Plan mensual'!F5+IF(parametros_carros!$H$21="Todos",'Plan mensual'!F9,0)))/60</f>
        <v>0.31815</v>
      </c>
      <c r="E4" s="9">
        <f>(parametros_carros!$D$21*('Plan mensual'!G2+IF(parametros_carros!$H$21="Todos",'Plan mensual'!G6,0))+parametros_carros!$E$21*('Plan mensual'!G3+IF(parametros_carros!$H$21="Todos",'Plan mensual'!G7,0))+parametros_carros!$F$21*('Plan mensual'!G4+IF(parametros_carros!$H$21="Todos",'Plan mensual'!G8,0))+parametros_carros!$G$21*('Plan mensual'!G5+IF(parametros_carros!$H$21="Todos",'Plan mensual'!G9,0)))/60</f>
        <v>0.31815</v>
      </c>
      <c r="F4" s="9">
        <f>(parametros_carros!$D$21*('Plan mensual'!H2+IF(parametros_carros!$H$21="Todos",'Plan mensual'!H6,0))+parametros_carros!$E$21*('Plan mensual'!H3+IF(parametros_carros!$H$21="Todos",'Plan mensual'!H7,0))+parametros_carros!$F$21*('Plan mensual'!H4+IF(parametros_carros!$H$21="Todos",'Plan mensual'!H8,0))+parametros_carros!$G$21*('Plan mensual'!H5+IF(parametros_carros!$H$21="Todos",'Plan mensual'!H9,0)))/60</f>
        <v>0.31815</v>
      </c>
      <c r="G4" s="9">
        <f>(parametros_carros!$D$21*('Plan mensual'!I2+IF(parametros_carros!$H$21="Todos",'Plan mensual'!I6,0))+parametros_carros!$E$21*('Plan mensual'!I3+IF(parametros_carros!$H$21="Todos",'Plan mensual'!I7,0))+parametros_carros!$F$21*('Plan mensual'!I4+IF(parametros_carros!$H$21="Todos",'Plan mensual'!I8,0))+parametros_carros!$G$21*('Plan mensual'!I5+IF(parametros_carros!$H$21="Todos",'Plan mensual'!I9,0)))/60</f>
        <v>0.2828</v>
      </c>
      <c r="H4" s="9">
        <f>(parametros_carros!$D$21*('Plan mensual'!J2+IF(parametros_carros!$H$21="Todos",'Plan mensual'!J6,0))+parametros_carros!$E$21*('Plan mensual'!J3+IF(parametros_carros!$H$21="Todos",'Plan mensual'!J7,0))+parametros_carros!$F$21*('Plan mensual'!J4+IF(parametros_carros!$H$21="Todos",'Plan mensual'!J8,0))+parametros_carros!$G$21*('Plan mensual'!J5+IF(parametros_carros!$H$21="Todos",'Plan mensual'!J9,0)))/60</f>
        <v>0.31815</v>
      </c>
      <c r="I4" s="9">
        <f>(parametros_carros!$D$21*('Plan mensual'!K2+IF(parametros_carros!$H$21="Todos",'Plan mensual'!K6,0))+parametros_carros!$E$21*('Plan mensual'!K3+IF(parametros_carros!$H$21="Todos",'Plan mensual'!K7,0))+parametros_carros!$F$21*('Plan mensual'!K4+IF(parametros_carros!$H$21="Todos",'Plan mensual'!K8,0))+parametros_carros!$G$21*('Plan mensual'!K5+IF(parametros_carros!$H$21="Todos",'Plan mensual'!K9,0)))/60</f>
        <v>0.31815</v>
      </c>
      <c r="J4" s="9">
        <f>(parametros_carros!$D$21*('Plan mensual'!L2+IF(parametros_carros!$H$21="Todos",'Plan mensual'!L6,0))+parametros_carros!$E$21*('Plan mensual'!L3+IF(parametros_carros!$H$21="Todos",'Plan mensual'!L7,0))+parametros_carros!$F$21*('Plan mensual'!L4+IF(parametros_carros!$H$21="Todos",'Plan mensual'!L8,0))+parametros_carros!$G$21*('Plan mensual'!L5+IF(parametros_carros!$H$21="Todos",'Plan mensual'!L9,0)))/60</f>
        <v>0.300475</v>
      </c>
      <c r="K4" s="9">
        <f>(parametros_carros!$D$21*('Plan mensual'!M2+IF(parametros_carros!$H$21="Todos",'Plan mensual'!M6,0))+parametros_carros!$E$21*('Plan mensual'!M3+IF(parametros_carros!$H$21="Todos",'Plan mensual'!M7,0))+parametros_carros!$F$21*('Plan mensual'!M4+IF(parametros_carros!$H$21="Todos",'Plan mensual'!M8,0))+parametros_carros!$G$21*('Plan mensual'!M5+IF(parametros_carros!$H$21="Todos",'Plan mensual'!M9,0)))/60</f>
        <v>0.265125</v>
      </c>
      <c r="L4" s="9">
        <f>(parametros_carros!$D$21*('Plan mensual'!N2+IF(parametros_carros!$H$21="Todos",'Plan mensual'!N6,0))+parametros_carros!$E$21*('Plan mensual'!N3+IF(parametros_carros!$H$21="Todos",'Plan mensual'!N7,0))+parametros_carros!$F$21*('Plan mensual'!N4+IF(parametros_carros!$H$21="Todos",'Plan mensual'!N8,0))+parametros_carros!$G$21*('Plan mensual'!N5+IF(parametros_carros!$H$21="Todos",'Plan mensual'!N9,0)))/60</f>
        <v>0.24745</v>
      </c>
      <c r="M4" s="9">
        <f>(parametros_carros!$D$21*('Plan mensual'!O2+IF(parametros_carros!$H$21="Todos",'Plan mensual'!O6,0))+parametros_carros!$E$21*('Plan mensual'!O3+IF(parametros_carros!$H$21="Todos",'Plan mensual'!O7,0))+parametros_carros!$F$21*('Plan mensual'!O4+IF(parametros_carros!$H$21="Todos",'Plan mensual'!O8,0))+parametros_carros!$G$21*('Plan mensual'!O5+IF(parametros_carros!$H$21="Todos",'Plan mensual'!O9,0)))/60</f>
        <v>0.2828</v>
      </c>
      <c r="N4" s="9">
        <f t="shared" si="1"/>
        <v>3.535</v>
      </c>
      <c r="O4" s="9">
        <f t="shared" si="2"/>
        <v>0.31815</v>
      </c>
      <c r="P4" s="32">
        <f>IF(parametros_carros!$B$7=0,0,(O4+parametros_carros!$G$47)/parametros_carros!$B$7)</f>
        <v>0.01434322222</v>
      </c>
      <c r="Q4" s="21" t="str">
        <f t="shared" si="3"/>
        <v>Mar</v>
      </c>
    </row>
    <row r="5" ht="14.25" customHeight="1">
      <c r="A5" s="2" t="str">
        <f>parametros_carros!$B$22</f>
        <v>Cilindrado</v>
      </c>
      <c r="B5" s="9">
        <f>(parametros_carros!$D$22*('Plan mensual'!D2+IF(parametros_carros!$H$22="Todos",'Plan mensual'!D6,0))+parametros_carros!$E$22*('Plan mensual'!D3+IF(parametros_carros!$H$22="Todos",'Plan mensual'!D7,0))+parametros_carros!$F$22*('Plan mensual'!D4+IF(parametros_carros!$H$22="Todos",'Plan mensual'!D8,0))+parametros_carros!$G$22*('Plan mensual'!D5+IF(parametros_carros!$H$22="Todos",'Plan mensual'!D9,0)))/60</f>
        <v>0.6425630435</v>
      </c>
      <c r="C5" s="9">
        <f>(parametros_carros!$D$22*('Plan mensual'!E2+IF(parametros_carros!$H$22="Todos",'Plan mensual'!E6,0))+parametros_carros!$E$22*('Plan mensual'!E3+IF(parametros_carros!$H$22="Todos",'Plan mensual'!E7,0))+parametros_carros!$F$22*('Plan mensual'!E4+IF(parametros_carros!$H$22="Todos",'Plan mensual'!E8,0))+parametros_carros!$G$22*('Plan mensual'!E5+IF(parametros_carros!$H$22="Todos",'Plan mensual'!E9,0)))/60</f>
        <v>0.5669673913</v>
      </c>
      <c r="D5" s="9">
        <f>(parametros_carros!$D$22*('Plan mensual'!F2+IF(parametros_carros!$H$22="Todos",'Plan mensual'!F6,0))+parametros_carros!$E$22*('Plan mensual'!F3+IF(parametros_carros!$H$22="Todos",'Plan mensual'!F7,0))+parametros_carros!$F$22*('Plan mensual'!F4+IF(parametros_carros!$H$22="Todos",'Plan mensual'!F8,0))+parametros_carros!$G$22*('Plan mensual'!F5+IF(parametros_carros!$H$22="Todos",'Plan mensual'!F9,0)))/60</f>
        <v>0.6803608696</v>
      </c>
      <c r="E5" s="9">
        <f>(parametros_carros!$D$22*('Plan mensual'!G2+IF(parametros_carros!$H$22="Todos",'Plan mensual'!G6,0))+parametros_carros!$E$22*('Plan mensual'!G3+IF(parametros_carros!$H$22="Todos",'Plan mensual'!G7,0))+parametros_carros!$F$22*('Plan mensual'!G4+IF(parametros_carros!$H$22="Todos",'Plan mensual'!G8,0))+parametros_carros!$G$22*('Plan mensual'!G5+IF(parametros_carros!$H$22="Todos",'Plan mensual'!G9,0)))/60</f>
        <v>0.6803608696</v>
      </c>
      <c r="F5" s="9">
        <f>(parametros_carros!$D$22*('Plan mensual'!H2+IF(parametros_carros!$H$22="Todos",'Plan mensual'!H6,0))+parametros_carros!$E$22*('Plan mensual'!H3+IF(parametros_carros!$H$22="Todos",'Plan mensual'!H7,0))+parametros_carros!$F$22*('Plan mensual'!H4+IF(parametros_carros!$H$22="Todos",'Plan mensual'!H8,0))+parametros_carros!$G$22*('Plan mensual'!H5+IF(parametros_carros!$H$22="Todos",'Plan mensual'!H9,0)))/60</f>
        <v>0.6803608696</v>
      </c>
      <c r="G5" s="9">
        <f>(parametros_carros!$D$22*('Plan mensual'!I2+IF(parametros_carros!$H$22="Todos",'Plan mensual'!I6,0))+parametros_carros!$E$22*('Plan mensual'!I3+IF(parametros_carros!$H$22="Todos",'Plan mensual'!I7,0))+parametros_carros!$F$22*('Plan mensual'!I4+IF(parametros_carros!$H$22="Todos",'Plan mensual'!I8,0))+parametros_carros!$G$22*('Plan mensual'!I5+IF(parametros_carros!$H$22="Todos",'Plan mensual'!I9,0)))/60</f>
        <v>0.6047652174</v>
      </c>
      <c r="H5" s="9">
        <f>(parametros_carros!$D$22*('Plan mensual'!J2+IF(parametros_carros!$H$22="Todos",'Plan mensual'!J6,0))+parametros_carros!$E$22*('Plan mensual'!J3+IF(parametros_carros!$H$22="Todos",'Plan mensual'!J7,0))+parametros_carros!$F$22*('Plan mensual'!J4+IF(parametros_carros!$H$22="Todos",'Plan mensual'!J8,0))+parametros_carros!$G$22*('Plan mensual'!J5+IF(parametros_carros!$H$22="Todos",'Plan mensual'!J9,0)))/60</f>
        <v>0.6803608696</v>
      </c>
      <c r="I5" s="9">
        <f>(parametros_carros!$D$22*('Plan mensual'!K2+IF(parametros_carros!$H$22="Todos",'Plan mensual'!K6,0))+parametros_carros!$E$22*('Plan mensual'!K3+IF(parametros_carros!$H$22="Todos",'Plan mensual'!K7,0))+parametros_carros!$F$22*('Plan mensual'!K4+IF(parametros_carros!$H$22="Todos",'Plan mensual'!K8,0))+parametros_carros!$G$22*('Plan mensual'!K5+IF(parametros_carros!$H$22="Todos",'Plan mensual'!K9,0)))/60</f>
        <v>0.6803608696</v>
      </c>
      <c r="J5" s="9">
        <f>(parametros_carros!$D$22*('Plan mensual'!L2+IF(parametros_carros!$H$22="Todos",'Plan mensual'!L6,0))+parametros_carros!$E$22*('Plan mensual'!L3+IF(parametros_carros!$H$22="Todos",'Plan mensual'!L7,0))+parametros_carros!$F$22*('Plan mensual'!L4+IF(parametros_carros!$H$22="Todos",'Plan mensual'!L8,0))+parametros_carros!$G$22*('Plan mensual'!L5+IF(parametros_carros!$H$22="Todos",'Plan mensual'!L9,0)))/60</f>
        <v>0.6425630435</v>
      </c>
      <c r="K5" s="9">
        <f>(parametros_carros!$D$22*('Plan mensual'!M2+IF(parametros_carros!$H$22="Todos",'Plan mensual'!M6,0))+parametros_carros!$E$22*('Plan mensual'!M3+IF(parametros_carros!$H$22="Todos",'Plan mensual'!M7,0))+parametros_carros!$F$22*('Plan mensual'!M4+IF(parametros_carros!$H$22="Todos",'Plan mensual'!M8,0))+parametros_carros!$G$22*('Plan mensual'!M5+IF(parametros_carros!$H$22="Todos",'Plan mensual'!M9,0)))/60</f>
        <v>0.5669673913</v>
      </c>
      <c r="L5" s="9">
        <f>(parametros_carros!$D$22*('Plan mensual'!N2+IF(parametros_carros!$H$22="Todos",'Plan mensual'!N6,0))+parametros_carros!$E$22*('Plan mensual'!N3+IF(parametros_carros!$H$22="Todos",'Plan mensual'!N7,0))+parametros_carros!$F$22*('Plan mensual'!N4+IF(parametros_carros!$H$22="Todos",'Plan mensual'!N8,0))+parametros_carros!$G$22*('Plan mensual'!N5+IF(parametros_carros!$H$22="Todos",'Plan mensual'!N9,0)))/60</f>
        <v>0.5291695652</v>
      </c>
      <c r="M5" s="9">
        <f>(parametros_carros!$D$22*('Plan mensual'!O2+IF(parametros_carros!$H$22="Todos",'Plan mensual'!O6,0))+parametros_carros!$E$22*('Plan mensual'!O3+IF(parametros_carros!$H$22="Todos",'Plan mensual'!O7,0))+parametros_carros!$F$22*('Plan mensual'!O4+IF(parametros_carros!$H$22="Todos",'Plan mensual'!O8,0))+parametros_carros!$G$22*('Plan mensual'!O5+IF(parametros_carros!$H$22="Todos",'Plan mensual'!O9,0)))/60</f>
        <v>0.6047652174</v>
      </c>
      <c r="N5" s="9">
        <f t="shared" si="1"/>
        <v>7.559565217</v>
      </c>
      <c r="O5" s="9">
        <f t="shared" si="2"/>
        <v>0.6803608696</v>
      </c>
      <c r="P5" s="32">
        <f>IF(parametros_carros!$B$7=0,0,(O5+parametros_carros!$G$48)/parametros_carros!$B$7)</f>
        <v>0.04453573913</v>
      </c>
      <c r="Q5" s="21" t="str">
        <f t="shared" si="3"/>
        <v>Mar</v>
      </c>
    </row>
    <row r="6" ht="14.25" customHeight="1">
      <c r="A6" s="2" t="str">
        <f>parametros_carros!$B$23</f>
        <v>Punteo del cuerpo</v>
      </c>
      <c r="B6" s="9">
        <f>(parametros_carros!$D$23*('Plan mensual'!D2+IF(parametros_carros!$H$23="Todos",'Plan mensual'!D6,0))+parametros_carros!$E$23*('Plan mensual'!D3+IF(parametros_carros!$H$23="Todos",'Plan mensual'!D7,0))+parametros_carros!$F$23*('Plan mensual'!D4+IF(parametros_carros!$H$23="Todos",'Plan mensual'!D8,0))+parametros_carros!$G$23*('Plan mensual'!D5+IF(parametros_carros!$H$23="Todos",'Plan mensual'!D9,0)))/60</f>
        <v>0.9512547101</v>
      </c>
      <c r="C6" s="9">
        <f>(parametros_carros!$D$23*('Plan mensual'!E2+IF(parametros_carros!$H$23="Todos",'Plan mensual'!E6,0))+parametros_carros!$E$23*('Plan mensual'!E3+IF(parametros_carros!$H$23="Todos",'Plan mensual'!E7,0))+parametros_carros!$F$23*('Plan mensual'!E4+IF(parametros_carros!$H$23="Todos",'Plan mensual'!E8,0))+parametros_carros!$G$23*('Plan mensual'!E5+IF(parametros_carros!$H$23="Todos",'Plan mensual'!E9,0)))/60</f>
        <v>0.8393423913</v>
      </c>
      <c r="D6" s="9">
        <f>(parametros_carros!$D$23*('Plan mensual'!F2+IF(parametros_carros!$H$23="Todos",'Plan mensual'!F6,0))+parametros_carros!$E$23*('Plan mensual'!F3+IF(parametros_carros!$H$23="Todos",'Plan mensual'!F7,0))+parametros_carros!$F$23*('Plan mensual'!F4+IF(parametros_carros!$H$23="Todos",'Plan mensual'!F8,0))+parametros_carros!$G$23*('Plan mensual'!F5+IF(parametros_carros!$H$23="Todos",'Plan mensual'!F9,0)))/60</f>
        <v>1.00721087</v>
      </c>
      <c r="E6" s="9">
        <f>(parametros_carros!$D$23*('Plan mensual'!G2+IF(parametros_carros!$H$23="Todos",'Plan mensual'!G6,0))+parametros_carros!$E$23*('Plan mensual'!G3+IF(parametros_carros!$H$23="Todos",'Plan mensual'!G7,0))+parametros_carros!$F$23*('Plan mensual'!G4+IF(parametros_carros!$H$23="Todos",'Plan mensual'!G8,0))+parametros_carros!$G$23*('Plan mensual'!G5+IF(parametros_carros!$H$23="Todos",'Plan mensual'!G9,0)))/60</f>
        <v>1.00721087</v>
      </c>
      <c r="F6" s="9">
        <f>(parametros_carros!$D$23*('Plan mensual'!H2+IF(parametros_carros!$H$23="Todos",'Plan mensual'!H6,0))+parametros_carros!$E$23*('Plan mensual'!H3+IF(parametros_carros!$H$23="Todos",'Plan mensual'!H7,0))+parametros_carros!$F$23*('Plan mensual'!H4+IF(parametros_carros!$H$23="Todos",'Plan mensual'!H8,0))+parametros_carros!$G$23*('Plan mensual'!H5+IF(parametros_carros!$H$23="Todos",'Plan mensual'!H9,0)))/60</f>
        <v>1.00721087</v>
      </c>
      <c r="G6" s="9">
        <f>(parametros_carros!$D$23*('Plan mensual'!I2+IF(parametros_carros!$H$23="Todos",'Plan mensual'!I6,0))+parametros_carros!$E$23*('Plan mensual'!I3+IF(parametros_carros!$H$23="Todos",'Plan mensual'!I7,0))+parametros_carros!$F$23*('Plan mensual'!I4+IF(parametros_carros!$H$23="Todos",'Plan mensual'!I8,0))+parametros_carros!$G$23*('Plan mensual'!I5+IF(parametros_carros!$H$23="Todos",'Plan mensual'!I9,0)))/60</f>
        <v>0.8952985507</v>
      </c>
      <c r="H6" s="9">
        <f>(parametros_carros!$D$23*('Plan mensual'!J2+IF(parametros_carros!$H$23="Todos",'Plan mensual'!J6,0))+parametros_carros!$E$23*('Plan mensual'!J3+IF(parametros_carros!$H$23="Todos",'Plan mensual'!J7,0))+parametros_carros!$F$23*('Plan mensual'!J4+IF(parametros_carros!$H$23="Todos",'Plan mensual'!J8,0))+parametros_carros!$G$23*('Plan mensual'!J5+IF(parametros_carros!$H$23="Todos",'Plan mensual'!J9,0)))/60</f>
        <v>1.00721087</v>
      </c>
      <c r="I6" s="9">
        <f>(parametros_carros!$D$23*('Plan mensual'!K2+IF(parametros_carros!$H$23="Todos",'Plan mensual'!K6,0))+parametros_carros!$E$23*('Plan mensual'!K3+IF(parametros_carros!$H$23="Todos",'Plan mensual'!K7,0))+parametros_carros!$F$23*('Plan mensual'!K4+IF(parametros_carros!$H$23="Todos",'Plan mensual'!K8,0))+parametros_carros!$G$23*('Plan mensual'!K5+IF(parametros_carros!$H$23="Todos",'Plan mensual'!K9,0)))/60</f>
        <v>1.00721087</v>
      </c>
      <c r="J6" s="9">
        <f>(parametros_carros!$D$23*('Plan mensual'!L2+IF(parametros_carros!$H$23="Todos",'Plan mensual'!L6,0))+parametros_carros!$E$23*('Plan mensual'!L3+IF(parametros_carros!$H$23="Todos",'Plan mensual'!L7,0))+parametros_carros!$F$23*('Plan mensual'!L4+IF(parametros_carros!$H$23="Todos",'Plan mensual'!L8,0))+parametros_carros!$G$23*('Plan mensual'!L5+IF(parametros_carros!$H$23="Todos",'Plan mensual'!L9,0)))/60</f>
        <v>0.9512547101</v>
      </c>
      <c r="K6" s="9">
        <f>(parametros_carros!$D$23*('Plan mensual'!M2+IF(parametros_carros!$H$23="Todos",'Plan mensual'!M6,0))+parametros_carros!$E$23*('Plan mensual'!M3+IF(parametros_carros!$H$23="Todos",'Plan mensual'!M7,0))+parametros_carros!$F$23*('Plan mensual'!M4+IF(parametros_carros!$H$23="Todos",'Plan mensual'!M8,0))+parametros_carros!$G$23*('Plan mensual'!M5+IF(parametros_carros!$H$23="Todos",'Plan mensual'!M9,0)))/60</f>
        <v>0.8393423913</v>
      </c>
      <c r="L6" s="9">
        <f>(parametros_carros!$D$23*('Plan mensual'!N2+IF(parametros_carros!$H$23="Todos",'Plan mensual'!N6,0))+parametros_carros!$E$23*('Plan mensual'!N3+IF(parametros_carros!$H$23="Todos",'Plan mensual'!N7,0))+parametros_carros!$F$23*('Plan mensual'!N4+IF(parametros_carros!$H$23="Todos",'Plan mensual'!N8,0))+parametros_carros!$G$23*('Plan mensual'!N5+IF(parametros_carros!$H$23="Todos",'Plan mensual'!N9,0)))/60</f>
        <v>0.7833862319</v>
      </c>
      <c r="M6" s="9">
        <f>(parametros_carros!$D$23*('Plan mensual'!O2+IF(parametros_carros!$H$23="Todos",'Plan mensual'!O6,0))+parametros_carros!$E$23*('Plan mensual'!O3+IF(parametros_carros!$H$23="Todos",'Plan mensual'!O7,0))+parametros_carros!$F$23*('Plan mensual'!O4+IF(parametros_carros!$H$23="Todos",'Plan mensual'!O8,0))+parametros_carros!$G$23*('Plan mensual'!O5+IF(parametros_carros!$H$23="Todos",'Plan mensual'!O9,0)))/60</f>
        <v>0.8952985507</v>
      </c>
      <c r="N6" s="9">
        <f t="shared" si="1"/>
        <v>11.19123188</v>
      </c>
      <c r="O6" s="9">
        <f t="shared" si="2"/>
        <v>1.00721087</v>
      </c>
      <c r="P6" s="32">
        <f>IF(parametros_carros!$B$7=0,0,(O6+parametros_carros!$G$49)/parametros_carros!$B$7)</f>
        <v>0.01782585024</v>
      </c>
      <c r="Q6" s="21" t="str">
        <f t="shared" si="3"/>
        <v>Mar</v>
      </c>
    </row>
    <row r="7" ht="14.25" customHeight="1">
      <c r="A7" s="2" t="str">
        <f>parametros_carros!$B$24</f>
        <v>Soldadura longitudinal</v>
      </c>
      <c r="B7" s="9">
        <f>(parametros_carros!$D$24*('Plan mensual'!D2+IF(parametros_carros!$H$24="Todos",'Plan mensual'!D6,0))+parametros_carros!$E$24*('Plan mensual'!D3+IF(parametros_carros!$H$24="Todos",'Plan mensual'!D7,0))+parametros_carros!$F$24*('Plan mensual'!D4+IF(parametros_carros!$H$24="Todos",'Plan mensual'!D8,0))+parametros_carros!$G$24*('Plan mensual'!D5+IF(parametros_carros!$H$24="Todos",'Plan mensual'!D9,0)))/60</f>
        <v>0.6552083333</v>
      </c>
      <c r="C7" s="9">
        <f>(parametros_carros!$D$24*('Plan mensual'!E2+IF(parametros_carros!$H$24="Todos",'Plan mensual'!E6,0))+parametros_carros!$E$24*('Plan mensual'!E3+IF(parametros_carros!$H$24="Todos",'Plan mensual'!E7,0))+parametros_carros!$F$24*('Plan mensual'!E4+IF(parametros_carros!$H$24="Todos",'Plan mensual'!E8,0))+parametros_carros!$G$24*('Plan mensual'!E5+IF(parametros_carros!$H$24="Todos",'Plan mensual'!E9,0)))/60</f>
        <v>0.578125</v>
      </c>
      <c r="D7" s="9">
        <f>(parametros_carros!$D$24*('Plan mensual'!F2+IF(parametros_carros!$H$24="Todos",'Plan mensual'!F6,0))+parametros_carros!$E$24*('Plan mensual'!F3+IF(parametros_carros!$H$24="Todos",'Plan mensual'!F7,0))+parametros_carros!$F$24*('Plan mensual'!F4+IF(parametros_carros!$H$24="Todos",'Plan mensual'!F8,0))+parametros_carros!$G$24*('Plan mensual'!F5+IF(parametros_carros!$H$24="Todos",'Plan mensual'!F9,0)))/60</f>
        <v>0.69375</v>
      </c>
      <c r="E7" s="9">
        <f>(parametros_carros!$D$24*('Plan mensual'!G2+IF(parametros_carros!$H$24="Todos",'Plan mensual'!G6,0))+parametros_carros!$E$24*('Plan mensual'!G3+IF(parametros_carros!$H$24="Todos",'Plan mensual'!G7,0))+parametros_carros!$F$24*('Plan mensual'!G4+IF(parametros_carros!$H$24="Todos",'Plan mensual'!G8,0))+parametros_carros!$G$24*('Plan mensual'!G5+IF(parametros_carros!$H$24="Todos",'Plan mensual'!G9,0)))/60</f>
        <v>0.69375</v>
      </c>
      <c r="F7" s="9">
        <f>(parametros_carros!$D$24*('Plan mensual'!H2+IF(parametros_carros!$H$24="Todos",'Plan mensual'!H6,0))+parametros_carros!$E$24*('Plan mensual'!H3+IF(parametros_carros!$H$24="Todos",'Plan mensual'!H7,0))+parametros_carros!$F$24*('Plan mensual'!H4+IF(parametros_carros!$H$24="Todos",'Plan mensual'!H8,0))+parametros_carros!$G$24*('Plan mensual'!H5+IF(parametros_carros!$H$24="Todos",'Plan mensual'!H9,0)))/60</f>
        <v>0.69375</v>
      </c>
      <c r="G7" s="9">
        <f>(parametros_carros!$D$24*('Plan mensual'!I2+IF(parametros_carros!$H$24="Todos",'Plan mensual'!I6,0))+parametros_carros!$E$24*('Plan mensual'!I3+IF(parametros_carros!$H$24="Todos",'Plan mensual'!I7,0))+parametros_carros!$F$24*('Plan mensual'!I4+IF(parametros_carros!$H$24="Todos",'Plan mensual'!I8,0))+parametros_carros!$G$24*('Plan mensual'!I5+IF(parametros_carros!$H$24="Todos",'Plan mensual'!I9,0)))/60</f>
        <v>0.6166666667</v>
      </c>
      <c r="H7" s="9">
        <f>(parametros_carros!$D$24*('Plan mensual'!J2+IF(parametros_carros!$H$24="Todos",'Plan mensual'!J6,0))+parametros_carros!$E$24*('Plan mensual'!J3+IF(parametros_carros!$H$24="Todos",'Plan mensual'!J7,0))+parametros_carros!$F$24*('Plan mensual'!J4+IF(parametros_carros!$H$24="Todos",'Plan mensual'!J8,0))+parametros_carros!$G$24*('Plan mensual'!J5+IF(parametros_carros!$H$24="Todos",'Plan mensual'!J9,0)))/60</f>
        <v>0.69375</v>
      </c>
      <c r="I7" s="9">
        <f>(parametros_carros!$D$24*('Plan mensual'!K2+IF(parametros_carros!$H$24="Todos",'Plan mensual'!K6,0))+parametros_carros!$E$24*('Plan mensual'!K3+IF(parametros_carros!$H$24="Todos",'Plan mensual'!K7,0))+parametros_carros!$F$24*('Plan mensual'!K4+IF(parametros_carros!$H$24="Todos",'Plan mensual'!K8,0))+parametros_carros!$G$24*('Plan mensual'!K5+IF(parametros_carros!$H$24="Todos",'Plan mensual'!K9,0)))/60</f>
        <v>0.69375</v>
      </c>
      <c r="J7" s="9">
        <f>(parametros_carros!$D$24*('Plan mensual'!L2+IF(parametros_carros!$H$24="Todos",'Plan mensual'!L6,0))+parametros_carros!$E$24*('Plan mensual'!L3+IF(parametros_carros!$H$24="Todos",'Plan mensual'!L7,0))+parametros_carros!$F$24*('Plan mensual'!L4+IF(parametros_carros!$H$24="Todos",'Plan mensual'!L8,0))+parametros_carros!$G$24*('Plan mensual'!L5+IF(parametros_carros!$H$24="Todos",'Plan mensual'!L9,0)))/60</f>
        <v>0.6552083333</v>
      </c>
      <c r="K7" s="9">
        <f>(parametros_carros!$D$24*('Plan mensual'!M2+IF(parametros_carros!$H$24="Todos",'Plan mensual'!M6,0))+parametros_carros!$E$24*('Plan mensual'!M3+IF(parametros_carros!$H$24="Todos",'Plan mensual'!M7,0))+parametros_carros!$F$24*('Plan mensual'!M4+IF(parametros_carros!$H$24="Todos",'Plan mensual'!M8,0))+parametros_carros!$G$24*('Plan mensual'!M5+IF(parametros_carros!$H$24="Todos",'Plan mensual'!M9,0)))/60</f>
        <v>0.578125</v>
      </c>
      <c r="L7" s="9">
        <f>(parametros_carros!$D$24*('Plan mensual'!N2+IF(parametros_carros!$H$24="Todos",'Plan mensual'!N6,0))+parametros_carros!$E$24*('Plan mensual'!N3+IF(parametros_carros!$H$24="Todos",'Plan mensual'!N7,0))+parametros_carros!$F$24*('Plan mensual'!N4+IF(parametros_carros!$H$24="Todos",'Plan mensual'!N8,0))+parametros_carros!$G$24*('Plan mensual'!N5+IF(parametros_carros!$H$24="Todos",'Plan mensual'!N9,0)))/60</f>
        <v>0.5395833333</v>
      </c>
      <c r="M7" s="9">
        <f>(parametros_carros!$D$24*('Plan mensual'!O2+IF(parametros_carros!$H$24="Todos",'Plan mensual'!O6,0))+parametros_carros!$E$24*('Plan mensual'!O3+IF(parametros_carros!$H$24="Todos",'Plan mensual'!O7,0))+parametros_carros!$F$24*('Plan mensual'!O4+IF(parametros_carros!$H$24="Todos",'Plan mensual'!O8,0))+parametros_carros!$G$24*('Plan mensual'!O5+IF(parametros_carros!$H$24="Todos",'Plan mensual'!O9,0)))/60</f>
        <v>0.6166666667</v>
      </c>
      <c r="N7" s="9">
        <f t="shared" si="1"/>
        <v>7.708333333</v>
      </c>
      <c r="O7" s="9">
        <f t="shared" si="2"/>
        <v>0.69375</v>
      </c>
      <c r="P7" s="32">
        <f>IF(parametros_carros!$B$7=0,0,(O7+parametros_carros!$G$50)/parametros_carros!$B$7)</f>
        <v>0.02240277778</v>
      </c>
      <c r="Q7" s="21" t="str">
        <f t="shared" si="3"/>
        <v>Mar</v>
      </c>
    </row>
    <row r="8" ht="14.25" customHeight="1">
      <c r="A8" s="2" t="str">
        <f>parametros_carros!$B$25</f>
        <v>Soldadura de cupla en la cúpula</v>
      </c>
      <c r="B8" s="9">
        <f>(parametros_carros!$D$25*('Plan mensual'!D2+IF(parametros_carros!$H$25="Todos",'Plan mensual'!D6,0))+parametros_carros!$E$25*('Plan mensual'!D3+IF(parametros_carros!$H$25="Todos",'Plan mensual'!D7,0))+parametros_carros!$F$25*('Plan mensual'!D4+IF(parametros_carros!$H$25="Todos",'Plan mensual'!D8,0))+parametros_carros!$G$25*('Plan mensual'!D5+IF(parametros_carros!$H$25="Todos",'Plan mensual'!D9,0)))/60</f>
        <v>0.6471333333</v>
      </c>
      <c r="C8" s="9">
        <f>(parametros_carros!$D$25*('Plan mensual'!E2+IF(parametros_carros!$H$25="Todos",'Plan mensual'!E6,0))+parametros_carros!$E$25*('Plan mensual'!E3+IF(parametros_carros!$H$25="Todos",'Plan mensual'!E7,0))+parametros_carros!$F$25*('Plan mensual'!E4+IF(parametros_carros!$H$25="Todos",'Plan mensual'!E8,0))+parametros_carros!$G$25*('Plan mensual'!E5+IF(parametros_carros!$H$25="Todos",'Plan mensual'!E9,0)))/60</f>
        <v>0.571</v>
      </c>
      <c r="D8" s="9">
        <f>(parametros_carros!$D$25*('Plan mensual'!F2+IF(parametros_carros!$H$25="Todos",'Plan mensual'!F6,0))+parametros_carros!$E$25*('Plan mensual'!F3+IF(parametros_carros!$H$25="Todos",'Plan mensual'!F7,0))+parametros_carros!$F$25*('Plan mensual'!F4+IF(parametros_carros!$H$25="Todos",'Plan mensual'!F8,0))+parametros_carros!$G$25*('Plan mensual'!F5+IF(parametros_carros!$H$25="Todos",'Plan mensual'!F9,0)))/60</f>
        <v>0.6852</v>
      </c>
      <c r="E8" s="9">
        <f>(parametros_carros!$D$25*('Plan mensual'!G2+IF(parametros_carros!$H$25="Todos",'Plan mensual'!G6,0))+parametros_carros!$E$25*('Plan mensual'!G3+IF(parametros_carros!$H$25="Todos",'Plan mensual'!G7,0))+parametros_carros!$F$25*('Plan mensual'!G4+IF(parametros_carros!$H$25="Todos",'Plan mensual'!G8,0))+parametros_carros!$G$25*('Plan mensual'!G5+IF(parametros_carros!$H$25="Todos",'Plan mensual'!G9,0)))/60</f>
        <v>0.6852</v>
      </c>
      <c r="F8" s="9">
        <f>(parametros_carros!$D$25*('Plan mensual'!H2+IF(parametros_carros!$H$25="Todos",'Plan mensual'!H6,0))+parametros_carros!$E$25*('Plan mensual'!H3+IF(parametros_carros!$H$25="Todos",'Plan mensual'!H7,0))+parametros_carros!$F$25*('Plan mensual'!H4+IF(parametros_carros!$H$25="Todos",'Plan mensual'!H8,0))+parametros_carros!$G$25*('Plan mensual'!H5+IF(parametros_carros!$H$25="Todos",'Plan mensual'!H9,0)))/60</f>
        <v>0.6852</v>
      </c>
      <c r="G8" s="9">
        <f>(parametros_carros!$D$25*('Plan mensual'!I2+IF(parametros_carros!$H$25="Todos",'Plan mensual'!I6,0))+parametros_carros!$E$25*('Plan mensual'!I3+IF(parametros_carros!$H$25="Todos",'Plan mensual'!I7,0))+parametros_carros!$F$25*('Plan mensual'!I4+IF(parametros_carros!$H$25="Todos",'Plan mensual'!I8,0))+parametros_carros!$G$25*('Plan mensual'!I5+IF(parametros_carros!$H$25="Todos",'Plan mensual'!I9,0)))/60</f>
        <v>0.6090666667</v>
      </c>
      <c r="H8" s="9">
        <f>(parametros_carros!$D$25*('Plan mensual'!J2+IF(parametros_carros!$H$25="Todos",'Plan mensual'!J6,0))+parametros_carros!$E$25*('Plan mensual'!J3+IF(parametros_carros!$H$25="Todos",'Plan mensual'!J7,0))+parametros_carros!$F$25*('Plan mensual'!J4+IF(parametros_carros!$H$25="Todos",'Plan mensual'!J8,0))+parametros_carros!$G$25*('Plan mensual'!J5+IF(parametros_carros!$H$25="Todos",'Plan mensual'!J9,0)))/60</f>
        <v>0.6852</v>
      </c>
      <c r="I8" s="9">
        <f>(parametros_carros!$D$25*('Plan mensual'!K2+IF(parametros_carros!$H$25="Todos",'Plan mensual'!K6,0))+parametros_carros!$E$25*('Plan mensual'!K3+IF(parametros_carros!$H$25="Todos",'Plan mensual'!K7,0))+parametros_carros!$F$25*('Plan mensual'!K4+IF(parametros_carros!$H$25="Todos",'Plan mensual'!K8,0))+parametros_carros!$G$25*('Plan mensual'!K5+IF(parametros_carros!$H$25="Todos",'Plan mensual'!K9,0)))/60</f>
        <v>0.6852</v>
      </c>
      <c r="J8" s="9">
        <f>(parametros_carros!$D$25*('Plan mensual'!L2+IF(parametros_carros!$H$25="Todos",'Plan mensual'!L6,0))+parametros_carros!$E$25*('Plan mensual'!L3+IF(parametros_carros!$H$25="Todos",'Plan mensual'!L7,0))+parametros_carros!$F$25*('Plan mensual'!L4+IF(parametros_carros!$H$25="Todos",'Plan mensual'!L8,0))+parametros_carros!$G$25*('Plan mensual'!L5+IF(parametros_carros!$H$25="Todos",'Plan mensual'!L9,0)))/60</f>
        <v>0.6471333333</v>
      </c>
      <c r="K8" s="9">
        <f>(parametros_carros!$D$25*('Plan mensual'!M2+IF(parametros_carros!$H$25="Todos",'Plan mensual'!M6,0))+parametros_carros!$E$25*('Plan mensual'!M3+IF(parametros_carros!$H$25="Todos",'Plan mensual'!M7,0))+parametros_carros!$F$25*('Plan mensual'!M4+IF(parametros_carros!$H$25="Todos",'Plan mensual'!M8,0))+parametros_carros!$G$25*('Plan mensual'!M5+IF(parametros_carros!$H$25="Todos",'Plan mensual'!M9,0)))/60</f>
        <v>0.571</v>
      </c>
      <c r="L8" s="9">
        <f>(parametros_carros!$D$25*('Plan mensual'!N2+IF(parametros_carros!$H$25="Todos",'Plan mensual'!N6,0))+parametros_carros!$E$25*('Plan mensual'!N3+IF(parametros_carros!$H$25="Todos",'Plan mensual'!N7,0))+parametros_carros!$F$25*('Plan mensual'!N4+IF(parametros_carros!$H$25="Todos",'Plan mensual'!N8,0))+parametros_carros!$G$25*('Plan mensual'!N5+IF(parametros_carros!$H$25="Todos",'Plan mensual'!N9,0)))/60</f>
        <v>0.5329333333</v>
      </c>
      <c r="M8" s="9">
        <f>(parametros_carros!$D$25*('Plan mensual'!O2+IF(parametros_carros!$H$25="Todos",'Plan mensual'!O6,0))+parametros_carros!$E$25*('Plan mensual'!O3+IF(parametros_carros!$H$25="Todos",'Plan mensual'!O7,0))+parametros_carros!$F$25*('Plan mensual'!O4+IF(parametros_carros!$H$25="Todos",'Plan mensual'!O8,0))+parametros_carros!$G$25*('Plan mensual'!O5+IF(parametros_carros!$H$25="Todos",'Plan mensual'!O9,0)))/60</f>
        <v>0.6090666667</v>
      </c>
      <c r="N8" s="9">
        <f t="shared" si="1"/>
        <v>7.613333333</v>
      </c>
      <c r="O8" s="9">
        <f t="shared" si="2"/>
        <v>0.6852</v>
      </c>
      <c r="P8" s="32">
        <f>IF(parametros_carros!$B$7=0,0,(O8+parametros_carros!$G$51)/parametros_carros!$B$7)</f>
        <v>0.024568</v>
      </c>
      <c r="Q8" s="21" t="str">
        <f t="shared" si="3"/>
        <v>Mar</v>
      </c>
    </row>
    <row r="9" ht="14.25" customHeight="1">
      <c r="A9" s="2" t="str">
        <f>parametros_carros!$B$26</f>
        <v>Armado y soldadura circunferencial</v>
      </c>
      <c r="B9" s="9">
        <f>(parametros_carros!$D$26*('Plan mensual'!D2+IF(parametros_carros!$H$26="Todos",'Plan mensual'!D6,0))+parametros_carros!$E$26*('Plan mensual'!D3+IF(parametros_carros!$H$26="Todos",'Plan mensual'!D7,0))+parametros_carros!$F$26*('Plan mensual'!D4+IF(parametros_carros!$H$26="Todos",'Plan mensual'!D8,0))+parametros_carros!$G$26*('Plan mensual'!D5+IF(parametros_carros!$H$26="Todos",'Plan mensual'!D9,0)))/60</f>
        <v>3.060283333</v>
      </c>
      <c r="C9" s="9">
        <f>(parametros_carros!$D$26*('Plan mensual'!E2+IF(parametros_carros!$H$26="Todos",'Plan mensual'!E6,0))+parametros_carros!$E$26*('Plan mensual'!E3+IF(parametros_carros!$H$26="Todos",'Plan mensual'!E7,0))+parametros_carros!$F$26*('Plan mensual'!E4+IF(parametros_carros!$H$26="Todos",'Plan mensual'!E8,0))+parametros_carros!$G$26*('Plan mensual'!E5+IF(parametros_carros!$H$26="Todos",'Plan mensual'!E9,0)))/60</f>
        <v>2.70025</v>
      </c>
      <c r="D9" s="9">
        <f>(parametros_carros!$D$26*('Plan mensual'!F2+IF(parametros_carros!$H$26="Todos",'Plan mensual'!F6,0))+parametros_carros!$E$26*('Plan mensual'!F3+IF(parametros_carros!$H$26="Todos",'Plan mensual'!F7,0))+parametros_carros!$F$26*('Plan mensual'!F4+IF(parametros_carros!$H$26="Todos",'Plan mensual'!F8,0))+parametros_carros!$G$26*('Plan mensual'!F5+IF(parametros_carros!$H$26="Todos",'Plan mensual'!F9,0)))/60</f>
        <v>3.2403</v>
      </c>
      <c r="E9" s="9">
        <f>(parametros_carros!$D$26*('Plan mensual'!G2+IF(parametros_carros!$H$26="Todos",'Plan mensual'!G6,0))+parametros_carros!$E$26*('Plan mensual'!G3+IF(parametros_carros!$H$26="Todos",'Plan mensual'!G7,0))+parametros_carros!$F$26*('Plan mensual'!G4+IF(parametros_carros!$H$26="Todos",'Plan mensual'!G8,0))+parametros_carros!$G$26*('Plan mensual'!G5+IF(parametros_carros!$H$26="Todos",'Plan mensual'!G9,0)))/60</f>
        <v>3.2403</v>
      </c>
      <c r="F9" s="9">
        <f>(parametros_carros!$D$26*('Plan mensual'!H2+IF(parametros_carros!$H$26="Todos",'Plan mensual'!H6,0))+parametros_carros!$E$26*('Plan mensual'!H3+IF(parametros_carros!$H$26="Todos",'Plan mensual'!H7,0))+parametros_carros!$F$26*('Plan mensual'!H4+IF(parametros_carros!$H$26="Todos",'Plan mensual'!H8,0))+parametros_carros!$G$26*('Plan mensual'!H5+IF(parametros_carros!$H$26="Todos",'Plan mensual'!H9,0)))/60</f>
        <v>3.2403</v>
      </c>
      <c r="G9" s="9">
        <f>(parametros_carros!$D$26*('Plan mensual'!I2+IF(parametros_carros!$H$26="Todos",'Plan mensual'!I6,0))+parametros_carros!$E$26*('Plan mensual'!I3+IF(parametros_carros!$H$26="Todos",'Plan mensual'!I7,0))+parametros_carros!$F$26*('Plan mensual'!I4+IF(parametros_carros!$H$26="Todos",'Plan mensual'!I8,0))+parametros_carros!$G$26*('Plan mensual'!I5+IF(parametros_carros!$H$26="Todos",'Plan mensual'!I9,0)))/60</f>
        <v>2.880266667</v>
      </c>
      <c r="H9" s="9">
        <f>(parametros_carros!$D$26*('Plan mensual'!J2+IF(parametros_carros!$H$26="Todos",'Plan mensual'!J6,0))+parametros_carros!$E$26*('Plan mensual'!J3+IF(parametros_carros!$H$26="Todos",'Plan mensual'!J7,0))+parametros_carros!$F$26*('Plan mensual'!J4+IF(parametros_carros!$H$26="Todos",'Plan mensual'!J8,0))+parametros_carros!$G$26*('Plan mensual'!J5+IF(parametros_carros!$H$26="Todos",'Plan mensual'!J9,0)))/60</f>
        <v>3.2403</v>
      </c>
      <c r="I9" s="9">
        <f>(parametros_carros!$D$26*('Plan mensual'!K2+IF(parametros_carros!$H$26="Todos",'Plan mensual'!K6,0))+parametros_carros!$E$26*('Plan mensual'!K3+IF(parametros_carros!$H$26="Todos",'Plan mensual'!K7,0))+parametros_carros!$F$26*('Plan mensual'!K4+IF(parametros_carros!$H$26="Todos",'Plan mensual'!K8,0))+parametros_carros!$G$26*('Plan mensual'!K5+IF(parametros_carros!$H$26="Todos",'Plan mensual'!K9,0)))/60</f>
        <v>3.2403</v>
      </c>
      <c r="J9" s="9">
        <f>(parametros_carros!$D$26*('Plan mensual'!L2+IF(parametros_carros!$H$26="Todos",'Plan mensual'!L6,0))+parametros_carros!$E$26*('Plan mensual'!L3+IF(parametros_carros!$H$26="Todos",'Plan mensual'!L7,0))+parametros_carros!$F$26*('Plan mensual'!L4+IF(parametros_carros!$H$26="Todos",'Plan mensual'!L8,0))+parametros_carros!$G$26*('Plan mensual'!L5+IF(parametros_carros!$H$26="Todos",'Plan mensual'!L9,0)))/60</f>
        <v>3.060283333</v>
      </c>
      <c r="K9" s="9">
        <f>(parametros_carros!$D$26*('Plan mensual'!M2+IF(parametros_carros!$H$26="Todos",'Plan mensual'!M6,0))+parametros_carros!$E$26*('Plan mensual'!M3+IF(parametros_carros!$H$26="Todos",'Plan mensual'!M7,0))+parametros_carros!$F$26*('Plan mensual'!M4+IF(parametros_carros!$H$26="Todos",'Plan mensual'!M8,0))+parametros_carros!$G$26*('Plan mensual'!M5+IF(parametros_carros!$H$26="Todos",'Plan mensual'!M9,0)))/60</f>
        <v>2.70025</v>
      </c>
      <c r="L9" s="9">
        <f>(parametros_carros!$D$26*('Plan mensual'!N2+IF(parametros_carros!$H$26="Todos",'Plan mensual'!N6,0))+parametros_carros!$E$26*('Plan mensual'!N3+IF(parametros_carros!$H$26="Todos",'Plan mensual'!N7,0))+parametros_carros!$F$26*('Plan mensual'!N4+IF(parametros_carros!$H$26="Todos",'Plan mensual'!N8,0))+parametros_carros!$G$26*('Plan mensual'!N5+IF(parametros_carros!$H$26="Todos",'Plan mensual'!N9,0)))/60</f>
        <v>2.520233333</v>
      </c>
      <c r="M9" s="9">
        <f>(parametros_carros!$D$26*('Plan mensual'!O2+IF(parametros_carros!$H$26="Todos",'Plan mensual'!O6,0))+parametros_carros!$E$26*('Plan mensual'!O3+IF(parametros_carros!$H$26="Todos",'Plan mensual'!O7,0))+parametros_carros!$F$26*('Plan mensual'!O4+IF(parametros_carros!$H$26="Todos",'Plan mensual'!O8,0))+parametros_carros!$G$26*('Plan mensual'!O5+IF(parametros_carros!$H$26="Todos",'Plan mensual'!O9,0)))/60</f>
        <v>2.880266667</v>
      </c>
      <c r="N9" s="9">
        <f t="shared" si="1"/>
        <v>36.00333333</v>
      </c>
      <c r="O9" s="9">
        <f t="shared" si="2"/>
        <v>3.2403</v>
      </c>
      <c r="P9" s="32">
        <f>IF(parametros_carros!$B$7=0,0,(O9+parametros_carros!$G$52)/parametros_carros!$B$7)</f>
        <v>0.041602</v>
      </c>
      <c r="Q9" s="21" t="str">
        <f t="shared" si="3"/>
        <v>Mar</v>
      </c>
    </row>
    <row r="10" ht="14.25" customHeight="1">
      <c r="A10" s="2" t="str">
        <f>parametros_carros!$B$27</f>
        <v>Soldadura de accesorios</v>
      </c>
      <c r="B10" s="9">
        <f>(parametros_carros!$D$27*('Plan mensual'!D2+IF(parametros_carros!$H$27="Todos",'Plan mensual'!D6,0))+parametros_carros!$E$27*('Plan mensual'!D3+IF(parametros_carros!$H$27="Todos",'Plan mensual'!D7,0))+parametros_carros!$F$27*('Plan mensual'!D4+IF(parametros_carros!$H$27="Todos",'Plan mensual'!D8,0))+parametros_carros!$G$27*('Plan mensual'!D5+IF(parametros_carros!$H$27="Todos",'Plan mensual'!D9,0)))/60</f>
        <v>3.118791667</v>
      </c>
      <c r="C10" s="9">
        <f>(parametros_carros!$D$27*('Plan mensual'!E2+IF(parametros_carros!$H$27="Todos",'Plan mensual'!E6,0))+parametros_carros!$E$27*('Plan mensual'!E3+IF(parametros_carros!$H$27="Todos",'Plan mensual'!E7,0))+parametros_carros!$F$27*('Plan mensual'!E4+IF(parametros_carros!$H$27="Todos",'Plan mensual'!E8,0))+parametros_carros!$G$27*('Plan mensual'!E5+IF(parametros_carros!$H$27="Todos",'Plan mensual'!E9,0)))/60</f>
        <v>2.751875</v>
      </c>
      <c r="D10" s="9">
        <f>(parametros_carros!$D$27*('Plan mensual'!F2+IF(parametros_carros!$H$27="Todos",'Plan mensual'!F6,0))+parametros_carros!$E$27*('Plan mensual'!F3+IF(parametros_carros!$H$27="Todos",'Plan mensual'!F7,0))+parametros_carros!$F$27*('Plan mensual'!F4+IF(parametros_carros!$H$27="Todos",'Plan mensual'!F8,0))+parametros_carros!$G$27*('Plan mensual'!F5+IF(parametros_carros!$H$27="Todos",'Plan mensual'!F9,0)))/60</f>
        <v>3.30225</v>
      </c>
      <c r="E10" s="9">
        <f>(parametros_carros!$D$27*('Plan mensual'!G2+IF(parametros_carros!$H$27="Todos",'Plan mensual'!G6,0))+parametros_carros!$E$27*('Plan mensual'!G3+IF(parametros_carros!$H$27="Todos",'Plan mensual'!G7,0))+parametros_carros!$F$27*('Plan mensual'!G4+IF(parametros_carros!$H$27="Todos",'Plan mensual'!G8,0))+parametros_carros!$G$27*('Plan mensual'!G5+IF(parametros_carros!$H$27="Todos",'Plan mensual'!G9,0)))/60</f>
        <v>3.30225</v>
      </c>
      <c r="F10" s="9">
        <f>(parametros_carros!$D$27*('Plan mensual'!H2+IF(parametros_carros!$H$27="Todos",'Plan mensual'!H6,0))+parametros_carros!$E$27*('Plan mensual'!H3+IF(parametros_carros!$H$27="Todos",'Plan mensual'!H7,0))+parametros_carros!$F$27*('Plan mensual'!H4+IF(parametros_carros!$H$27="Todos",'Plan mensual'!H8,0))+parametros_carros!$G$27*('Plan mensual'!H5+IF(parametros_carros!$H$27="Todos",'Plan mensual'!H9,0)))/60</f>
        <v>3.30225</v>
      </c>
      <c r="G10" s="9">
        <f>(parametros_carros!$D$27*('Plan mensual'!I2+IF(parametros_carros!$H$27="Todos",'Plan mensual'!I6,0))+parametros_carros!$E$27*('Plan mensual'!I3+IF(parametros_carros!$H$27="Todos",'Plan mensual'!I7,0))+parametros_carros!$F$27*('Plan mensual'!I4+IF(parametros_carros!$H$27="Todos",'Plan mensual'!I8,0))+parametros_carros!$G$27*('Plan mensual'!I5+IF(parametros_carros!$H$27="Todos",'Plan mensual'!I9,0)))/60</f>
        <v>2.935333333</v>
      </c>
      <c r="H10" s="9">
        <f>(parametros_carros!$D$27*('Plan mensual'!J2+IF(parametros_carros!$H$27="Todos",'Plan mensual'!J6,0))+parametros_carros!$E$27*('Plan mensual'!J3+IF(parametros_carros!$H$27="Todos",'Plan mensual'!J7,0))+parametros_carros!$F$27*('Plan mensual'!J4+IF(parametros_carros!$H$27="Todos",'Plan mensual'!J8,0))+parametros_carros!$G$27*('Plan mensual'!J5+IF(parametros_carros!$H$27="Todos",'Plan mensual'!J9,0)))/60</f>
        <v>3.30225</v>
      </c>
      <c r="I10" s="9">
        <f>(parametros_carros!$D$27*('Plan mensual'!K2+IF(parametros_carros!$H$27="Todos",'Plan mensual'!K6,0))+parametros_carros!$E$27*('Plan mensual'!K3+IF(parametros_carros!$H$27="Todos",'Plan mensual'!K7,0))+parametros_carros!$F$27*('Plan mensual'!K4+IF(parametros_carros!$H$27="Todos",'Plan mensual'!K8,0))+parametros_carros!$G$27*('Plan mensual'!K5+IF(parametros_carros!$H$27="Todos",'Plan mensual'!K9,0)))/60</f>
        <v>3.30225</v>
      </c>
      <c r="J10" s="9">
        <f>(parametros_carros!$D$27*('Plan mensual'!L2+IF(parametros_carros!$H$27="Todos",'Plan mensual'!L6,0))+parametros_carros!$E$27*('Plan mensual'!L3+IF(parametros_carros!$H$27="Todos",'Plan mensual'!L7,0))+parametros_carros!$F$27*('Plan mensual'!L4+IF(parametros_carros!$H$27="Todos",'Plan mensual'!L8,0))+parametros_carros!$G$27*('Plan mensual'!L5+IF(parametros_carros!$H$27="Todos",'Plan mensual'!L9,0)))/60</f>
        <v>3.118791667</v>
      </c>
      <c r="K10" s="9">
        <f>(parametros_carros!$D$27*('Plan mensual'!M2+IF(parametros_carros!$H$27="Todos",'Plan mensual'!M6,0))+parametros_carros!$E$27*('Plan mensual'!M3+IF(parametros_carros!$H$27="Todos",'Plan mensual'!M7,0))+parametros_carros!$F$27*('Plan mensual'!M4+IF(parametros_carros!$H$27="Todos",'Plan mensual'!M8,0))+parametros_carros!$G$27*('Plan mensual'!M5+IF(parametros_carros!$H$27="Todos",'Plan mensual'!M9,0)))/60</f>
        <v>2.751875</v>
      </c>
      <c r="L10" s="9">
        <f>(parametros_carros!$D$27*('Plan mensual'!N2+IF(parametros_carros!$H$27="Todos",'Plan mensual'!N6,0))+parametros_carros!$E$27*('Plan mensual'!N3+IF(parametros_carros!$H$27="Todos",'Plan mensual'!N7,0))+parametros_carros!$F$27*('Plan mensual'!N4+IF(parametros_carros!$H$27="Todos",'Plan mensual'!N8,0))+parametros_carros!$G$27*('Plan mensual'!N5+IF(parametros_carros!$H$27="Todos",'Plan mensual'!N9,0)))/60</f>
        <v>2.568416667</v>
      </c>
      <c r="M10" s="9">
        <f>(parametros_carros!$D$27*('Plan mensual'!O2+IF(parametros_carros!$H$27="Todos",'Plan mensual'!O6,0))+parametros_carros!$E$27*('Plan mensual'!O3+IF(parametros_carros!$H$27="Todos",'Plan mensual'!O7,0))+parametros_carros!$F$27*('Plan mensual'!O4+IF(parametros_carros!$H$27="Todos",'Plan mensual'!O8,0))+parametros_carros!$G$27*('Plan mensual'!O5+IF(parametros_carros!$H$27="Todos",'Plan mensual'!O9,0)))/60</f>
        <v>2.935333333</v>
      </c>
      <c r="N10" s="9">
        <f t="shared" si="1"/>
        <v>36.69166667</v>
      </c>
      <c r="O10" s="9">
        <f t="shared" si="2"/>
        <v>3.30225</v>
      </c>
      <c r="P10" s="32">
        <f>IF(parametros_carros!$B$7=0,0,(O10+parametros_carros!$G$53)/parametros_carros!$B$7)</f>
        <v>0.042015</v>
      </c>
      <c r="Q10" s="21" t="str">
        <f t="shared" si="3"/>
        <v>Mar</v>
      </c>
    </row>
    <row r="11" ht="14.25" customHeight="1">
      <c r="A11" s="2" t="str">
        <f>parametros_carros!$B$28</f>
        <v>Fabricación de accesorios</v>
      </c>
      <c r="B11" s="9">
        <f>(parametros_carros!$D$28*('Plan mensual'!D2+IF(parametros_carros!$H$28="Todos",'Plan mensual'!D6,0))+parametros_carros!$E$28*('Plan mensual'!D3+IF(parametros_carros!$H$28="Todos",'Plan mensual'!D7,0))+parametros_carros!$F$28*('Plan mensual'!D4+IF(parametros_carros!$H$28="Todos",'Plan mensual'!D8,0))+parametros_carros!$G$28*('Plan mensual'!D5+IF(parametros_carros!$H$28="Todos",'Plan mensual'!D9,0)))/60</f>
        <v>2.119333333</v>
      </c>
      <c r="C11" s="9">
        <f>(parametros_carros!$D$28*('Plan mensual'!E2+IF(parametros_carros!$H$28="Todos",'Plan mensual'!E6,0))+parametros_carros!$E$28*('Plan mensual'!E3+IF(parametros_carros!$H$28="Todos",'Plan mensual'!E7,0))+parametros_carros!$F$28*('Plan mensual'!E4+IF(parametros_carros!$H$28="Todos",'Plan mensual'!E8,0))+parametros_carros!$G$28*('Plan mensual'!E5+IF(parametros_carros!$H$28="Todos",'Plan mensual'!E9,0)))/60</f>
        <v>1.87</v>
      </c>
      <c r="D11" s="9">
        <f>(parametros_carros!$D$28*('Plan mensual'!F2+IF(parametros_carros!$H$28="Todos",'Plan mensual'!F6,0))+parametros_carros!$E$28*('Plan mensual'!F3+IF(parametros_carros!$H$28="Todos",'Plan mensual'!F7,0))+parametros_carros!$F$28*('Plan mensual'!F4+IF(parametros_carros!$H$28="Todos",'Plan mensual'!F8,0))+parametros_carros!$G$28*('Plan mensual'!F5+IF(parametros_carros!$H$28="Todos",'Plan mensual'!F9,0)))/60</f>
        <v>2.244</v>
      </c>
      <c r="E11" s="9">
        <f>(parametros_carros!$D$28*('Plan mensual'!G2+IF(parametros_carros!$H$28="Todos",'Plan mensual'!G6,0))+parametros_carros!$E$28*('Plan mensual'!G3+IF(parametros_carros!$H$28="Todos",'Plan mensual'!G7,0))+parametros_carros!$F$28*('Plan mensual'!G4+IF(parametros_carros!$H$28="Todos",'Plan mensual'!G8,0))+parametros_carros!$G$28*('Plan mensual'!G5+IF(parametros_carros!$H$28="Todos",'Plan mensual'!G9,0)))/60</f>
        <v>2.244</v>
      </c>
      <c r="F11" s="9">
        <f>(parametros_carros!$D$28*('Plan mensual'!H2+IF(parametros_carros!$H$28="Todos",'Plan mensual'!H6,0))+parametros_carros!$E$28*('Plan mensual'!H3+IF(parametros_carros!$H$28="Todos",'Plan mensual'!H7,0))+parametros_carros!$F$28*('Plan mensual'!H4+IF(parametros_carros!$H$28="Todos",'Plan mensual'!H8,0))+parametros_carros!$G$28*('Plan mensual'!H5+IF(parametros_carros!$H$28="Todos",'Plan mensual'!H9,0)))/60</f>
        <v>2.244</v>
      </c>
      <c r="G11" s="9">
        <f>(parametros_carros!$D$28*('Plan mensual'!I2+IF(parametros_carros!$H$28="Todos",'Plan mensual'!I6,0))+parametros_carros!$E$28*('Plan mensual'!I3+IF(parametros_carros!$H$28="Todos",'Plan mensual'!I7,0))+parametros_carros!$F$28*('Plan mensual'!I4+IF(parametros_carros!$H$28="Todos",'Plan mensual'!I8,0))+parametros_carros!$G$28*('Plan mensual'!I5+IF(parametros_carros!$H$28="Todos",'Plan mensual'!I9,0)))/60</f>
        <v>1.994666667</v>
      </c>
      <c r="H11" s="9">
        <f>(parametros_carros!$D$28*('Plan mensual'!J2+IF(parametros_carros!$H$28="Todos",'Plan mensual'!J6,0))+parametros_carros!$E$28*('Plan mensual'!J3+IF(parametros_carros!$H$28="Todos",'Plan mensual'!J7,0))+parametros_carros!$F$28*('Plan mensual'!J4+IF(parametros_carros!$H$28="Todos",'Plan mensual'!J8,0))+parametros_carros!$G$28*('Plan mensual'!J5+IF(parametros_carros!$H$28="Todos",'Plan mensual'!J9,0)))/60</f>
        <v>2.244</v>
      </c>
      <c r="I11" s="9">
        <f>(parametros_carros!$D$28*('Plan mensual'!K2+IF(parametros_carros!$H$28="Todos",'Plan mensual'!K6,0))+parametros_carros!$E$28*('Plan mensual'!K3+IF(parametros_carros!$H$28="Todos",'Plan mensual'!K7,0))+parametros_carros!$F$28*('Plan mensual'!K4+IF(parametros_carros!$H$28="Todos",'Plan mensual'!K8,0))+parametros_carros!$G$28*('Plan mensual'!K5+IF(parametros_carros!$H$28="Todos",'Plan mensual'!K9,0)))/60</f>
        <v>2.244</v>
      </c>
      <c r="J11" s="9">
        <f>(parametros_carros!$D$28*('Plan mensual'!L2+IF(parametros_carros!$H$28="Todos",'Plan mensual'!L6,0))+parametros_carros!$E$28*('Plan mensual'!L3+IF(parametros_carros!$H$28="Todos",'Plan mensual'!L7,0))+parametros_carros!$F$28*('Plan mensual'!L4+IF(parametros_carros!$H$28="Todos",'Plan mensual'!L8,0))+parametros_carros!$G$28*('Plan mensual'!L5+IF(parametros_carros!$H$28="Todos",'Plan mensual'!L9,0)))/60</f>
        <v>2.119333333</v>
      </c>
      <c r="K11" s="9">
        <f>(parametros_carros!$D$28*('Plan mensual'!M2+IF(parametros_carros!$H$28="Todos",'Plan mensual'!M6,0))+parametros_carros!$E$28*('Plan mensual'!M3+IF(parametros_carros!$H$28="Todos",'Plan mensual'!M7,0))+parametros_carros!$F$28*('Plan mensual'!M4+IF(parametros_carros!$H$28="Todos",'Plan mensual'!M8,0))+parametros_carros!$G$28*('Plan mensual'!M5+IF(parametros_carros!$H$28="Todos",'Plan mensual'!M9,0)))/60</f>
        <v>1.87</v>
      </c>
      <c r="L11" s="9">
        <f>(parametros_carros!$D$28*('Plan mensual'!N2+IF(parametros_carros!$H$28="Todos",'Plan mensual'!N6,0))+parametros_carros!$E$28*('Plan mensual'!N3+IF(parametros_carros!$H$28="Todos",'Plan mensual'!N7,0))+parametros_carros!$F$28*('Plan mensual'!N4+IF(parametros_carros!$H$28="Todos",'Plan mensual'!N8,0))+parametros_carros!$G$28*('Plan mensual'!N5+IF(parametros_carros!$H$28="Todos",'Plan mensual'!N9,0)))/60</f>
        <v>1.745333333</v>
      </c>
      <c r="M11" s="9">
        <f>(parametros_carros!$D$28*('Plan mensual'!O2+IF(parametros_carros!$H$28="Todos",'Plan mensual'!O6,0))+parametros_carros!$E$28*('Plan mensual'!O3+IF(parametros_carros!$H$28="Todos",'Plan mensual'!O7,0))+parametros_carros!$F$28*('Plan mensual'!O4+IF(parametros_carros!$H$28="Todos",'Plan mensual'!O8,0))+parametros_carros!$G$28*('Plan mensual'!O5+IF(parametros_carros!$H$28="Todos",'Plan mensual'!O9,0)))/60</f>
        <v>1.994666667</v>
      </c>
      <c r="N11" s="9">
        <f t="shared" si="1"/>
        <v>24.93333333</v>
      </c>
      <c r="O11" s="9">
        <f t="shared" si="2"/>
        <v>2.244</v>
      </c>
      <c r="P11" s="32">
        <f>IF(parametros_carros!$B$7=0,0,(O11+parametros_carros!$G$54)/parametros_carros!$B$7)</f>
        <v>0.04829333333</v>
      </c>
      <c r="Q11" s="21" t="str">
        <f t="shared" si="3"/>
        <v>Mar</v>
      </c>
    </row>
    <row r="12" ht="14.25" customHeight="1">
      <c r="A12" s="2" t="str">
        <f>parametros_carros!$B$29</f>
        <v>Prueba hidráulica</v>
      </c>
      <c r="B12" s="9">
        <f>(parametros_carros!$D$29*('Plan mensual'!D2+IF(parametros_carros!$H$29="Todos",'Plan mensual'!D6,0))+parametros_carros!$E$29*('Plan mensual'!D3+IF(parametros_carros!$H$29="Todos",'Plan mensual'!D7,0))+parametros_carros!$F$29*('Plan mensual'!D4+IF(parametros_carros!$H$29="Todos",'Plan mensual'!D8,0))+parametros_carros!$G$29*('Plan mensual'!D5+IF(parametros_carros!$H$29="Todos",'Plan mensual'!D9,0)))/60</f>
        <v>1.730146667</v>
      </c>
      <c r="C12" s="9">
        <f>(parametros_carros!$D$29*('Plan mensual'!E2+IF(parametros_carros!$H$29="Todos",'Plan mensual'!E6,0))+parametros_carros!$E$29*('Plan mensual'!E3+IF(parametros_carros!$H$29="Todos",'Plan mensual'!E7,0))+parametros_carros!$F$29*('Plan mensual'!E4+IF(parametros_carros!$H$29="Todos",'Plan mensual'!E8,0))+parametros_carros!$G$29*('Plan mensual'!E5+IF(parametros_carros!$H$29="Todos",'Plan mensual'!E9,0)))/60</f>
        <v>1.5266</v>
      </c>
      <c r="D12" s="9">
        <f>(parametros_carros!$D$29*('Plan mensual'!F2+IF(parametros_carros!$H$29="Todos",'Plan mensual'!F6,0))+parametros_carros!$E$29*('Plan mensual'!F3+IF(parametros_carros!$H$29="Todos",'Plan mensual'!F7,0))+parametros_carros!$F$29*('Plan mensual'!F4+IF(parametros_carros!$H$29="Todos",'Plan mensual'!F8,0))+parametros_carros!$G$29*('Plan mensual'!F5+IF(parametros_carros!$H$29="Todos",'Plan mensual'!F9,0)))/60</f>
        <v>1.83192</v>
      </c>
      <c r="E12" s="9">
        <f>(parametros_carros!$D$29*('Plan mensual'!G2+IF(parametros_carros!$H$29="Todos",'Plan mensual'!G6,0))+parametros_carros!$E$29*('Plan mensual'!G3+IF(parametros_carros!$H$29="Todos",'Plan mensual'!G7,0))+parametros_carros!$F$29*('Plan mensual'!G4+IF(parametros_carros!$H$29="Todos",'Plan mensual'!G8,0))+parametros_carros!$G$29*('Plan mensual'!G5+IF(parametros_carros!$H$29="Todos",'Plan mensual'!G9,0)))/60</f>
        <v>1.83192</v>
      </c>
      <c r="F12" s="9">
        <f>(parametros_carros!$D$29*('Plan mensual'!H2+IF(parametros_carros!$H$29="Todos",'Plan mensual'!H6,0))+parametros_carros!$E$29*('Plan mensual'!H3+IF(parametros_carros!$H$29="Todos",'Plan mensual'!H7,0))+parametros_carros!$F$29*('Plan mensual'!H4+IF(parametros_carros!$H$29="Todos",'Plan mensual'!H8,0))+parametros_carros!$G$29*('Plan mensual'!H5+IF(parametros_carros!$H$29="Todos",'Plan mensual'!H9,0)))/60</f>
        <v>1.83192</v>
      </c>
      <c r="G12" s="9">
        <f>(parametros_carros!$D$29*('Plan mensual'!I2+IF(parametros_carros!$H$29="Todos",'Plan mensual'!I6,0))+parametros_carros!$E$29*('Plan mensual'!I3+IF(parametros_carros!$H$29="Todos",'Plan mensual'!I7,0))+parametros_carros!$F$29*('Plan mensual'!I4+IF(parametros_carros!$H$29="Todos",'Plan mensual'!I8,0))+parametros_carros!$G$29*('Plan mensual'!I5+IF(parametros_carros!$H$29="Todos",'Plan mensual'!I9,0)))/60</f>
        <v>1.628373333</v>
      </c>
      <c r="H12" s="9">
        <f>(parametros_carros!$D$29*('Plan mensual'!J2+IF(parametros_carros!$H$29="Todos",'Plan mensual'!J6,0))+parametros_carros!$E$29*('Plan mensual'!J3+IF(parametros_carros!$H$29="Todos",'Plan mensual'!J7,0))+parametros_carros!$F$29*('Plan mensual'!J4+IF(parametros_carros!$H$29="Todos",'Plan mensual'!J8,0))+parametros_carros!$G$29*('Plan mensual'!J5+IF(parametros_carros!$H$29="Todos",'Plan mensual'!J9,0)))/60</f>
        <v>1.83192</v>
      </c>
      <c r="I12" s="9">
        <f>(parametros_carros!$D$29*('Plan mensual'!K2+IF(parametros_carros!$H$29="Todos",'Plan mensual'!K6,0))+parametros_carros!$E$29*('Plan mensual'!K3+IF(parametros_carros!$H$29="Todos",'Plan mensual'!K7,0))+parametros_carros!$F$29*('Plan mensual'!K4+IF(parametros_carros!$H$29="Todos",'Plan mensual'!K8,0))+parametros_carros!$G$29*('Plan mensual'!K5+IF(parametros_carros!$H$29="Todos",'Plan mensual'!K9,0)))/60</f>
        <v>1.83192</v>
      </c>
      <c r="J12" s="9">
        <f>(parametros_carros!$D$29*('Plan mensual'!L2+IF(parametros_carros!$H$29="Todos",'Plan mensual'!L6,0))+parametros_carros!$E$29*('Plan mensual'!L3+IF(parametros_carros!$H$29="Todos",'Plan mensual'!L7,0))+parametros_carros!$F$29*('Plan mensual'!L4+IF(parametros_carros!$H$29="Todos",'Plan mensual'!L8,0))+parametros_carros!$G$29*('Plan mensual'!L5+IF(parametros_carros!$H$29="Todos",'Plan mensual'!L9,0)))/60</f>
        <v>1.730146667</v>
      </c>
      <c r="K12" s="9">
        <f>(parametros_carros!$D$29*('Plan mensual'!M2+IF(parametros_carros!$H$29="Todos",'Plan mensual'!M6,0))+parametros_carros!$E$29*('Plan mensual'!M3+IF(parametros_carros!$H$29="Todos",'Plan mensual'!M7,0))+parametros_carros!$F$29*('Plan mensual'!M4+IF(parametros_carros!$H$29="Todos",'Plan mensual'!M8,0))+parametros_carros!$G$29*('Plan mensual'!M5+IF(parametros_carros!$H$29="Todos",'Plan mensual'!M9,0)))/60</f>
        <v>1.5266</v>
      </c>
      <c r="L12" s="9">
        <f>(parametros_carros!$D$29*('Plan mensual'!N2+IF(parametros_carros!$H$29="Todos",'Plan mensual'!N6,0))+parametros_carros!$E$29*('Plan mensual'!N3+IF(parametros_carros!$H$29="Todos",'Plan mensual'!N7,0))+parametros_carros!$F$29*('Plan mensual'!N4+IF(parametros_carros!$H$29="Todos",'Plan mensual'!N8,0))+parametros_carros!$G$29*('Plan mensual'!N5+IF(parametros_carros!$H$29="Todos",'Plan mensual'!N9,0)))/60</f>
        <v>1.424826667</v>
      </c>
      <c r="M12" s="9">
        <f>(parametros_carros!$D$29*('Plan mensual'!O2+IF(parametros_carros!$H$29="Todos",'Plan mensual'!O6,0))+parametros_carros!$E$29*('Plan mensual'!O3+IF(parametros_carros!$H$29="Todos",'Plan mensual'!O7,0))+parametros_carros!$F$29*('Plan mensual'!O4+IF(parametros_carros!$H$29="Todos",'Plan mensual'!O8,0))+parametros_carros!$G$29*('Plan mensual'!O5+IF(parametros_carros!$H$29="Todos",'Plan mensual'!O9,0)))/60</f>
        <v>1.628373333</v>
      </c>
      <c r="N12" s="9">
        <f t="shared" si="1"/>
        <v>20.35466667</v>
      </c>
      <c r="O12" s="9">
        <f t="shared" si="2"/>
        <v>1.83192</v>
      </c>
      <c r="P12" s="32">
        <f>IF(parametros_carros!$B$7=0,0,(O12+parametros_carros!$G$55)/parametros_carros!$B$7)</f>
        <v>0.03443502222</v>
      </c>
      <c r="Q12" s="21" t="str">
        <f t="shared" si="3"/>
        <v>Mar</v>
      </c>
    </row>
    <row r="13" ht="14.25" customHeight="1">
      <c r="A13" s="2" t="str">
        <f>parametros_carros!$B$30</f>
        <v>Secado</v>
      </c>
      <c r="B13" s="9">
        <f>(parametros_carros!$D$30*('Plan mensual'!D2+IF(parametros_carros!$H$30="Todos",'Plan mensual'!D6,0))+parametros_carros!$E$30*('Plan mensual'!D3+IF(parametros_carros!$H$30="Todos",'Plan mensual'!D7,0))+parametros_carros!$F$30*('Plan mensual'!D4+IF(parametros_carros!$H$30="Todos",'Plan mensual'!D8,0))+parametros_carros!$G$30*('Plan mensual'!D5+IF(parametros_carros!$H$30="Todos",'Plan mensual'!D9,0)))/60</f>
        <v>1.938</v>
      </c>
      <c r="C13" s="9">
        <f>(parametros_carros!$D$30*('Plan mensual'!E2+IF(parametros_carros!$H$30="Todos",'Plan mensual'!E6,0))+parametros_carros!$E$30*('Plan mensual'!E3+IF(parametros_carros!$H$30="Todos",'Plan mensual'!E7,0))+parametros_carros!$F$30*('Plan mensual'!E4+IF(parametros_carros!$H$30="Todos",'Plan mensual'!E8,0))+parametros_carros!$G$30*('Plan mensual'!E5+IF(parametros_carros!$H$30="Todos",'Plan mensual'!E9,0)))/60</f>
        <v>1.71</v>
      </c>
      <c r="D13" s="9">
        <f>(parametros_carros!$D$30*('Plan mensual'!F2+IF(parametros_carros!$H$30="Todos",'Plan mensual'!F6,0))+parametros_carros!$E$30*('Plan mensual'!F3+IF(parametros_carros!$H$30="Todos",'Plan mensual'!F7,0))+parametros_carros!$F$30*('Plan mensual'!F4+IF(parametros_carros!$H$30="Todos",'Plan mensual'!F8,0))+parametros_carros!$G$30*('Plan mensual'!F5+IF(parametros_carros!$H$30="Todos",'Plan mensual'!F9,0)))/60</f>
        <v>2.052</v>
      </c>
      <c r="E13" s="9">
        <f>(parametros_carros!$D$30*('Plan mensual'!G2+IF(parametros_carros!$H$30="Todos",'Plan mensual'!G6,0))+parametros_carros!$E$30*('Plan mensual'!G3+IF(parametros_carros!$H$30="Todos",'Plan mensual'!G7,0))+parametros_carros!$F$30*('Plan mensual'!G4+IF(parametros_carros!$H$30="Todos",'Plan mensual'!G8,0))+parametros_carros!$G$30*('Plan mensual'!G5+IF(parametros_carros!$H$30="Todos",'Plan mensual'!G9,0)))/60</f>
        <v>2.052</v>
      </c>
      <c r="F13" s="9">
        <f>(parametros_carros!$D$30*('Plan mensual'!H2+IF(parametros_carros!$H$30="Todos",'Plan mensual'!H6,0))+parametros_carros!$E$30*('Plan mensual'!H3+IF(parametros_carros!$H$30="Todos",'Plan mensual'!H7,0))+parametros_carros!$F$30*('Plan mensual'!H4+IF(parametros_carros!$H$30="Todos",'Plan mensual'!H8,0))+parametros_carros!$G$30*('Plan mensual'!H5+IF(parametros_carros!$H$30="Todos",'Plan mensual'!H9,0)))/60</f>
        <v>2.052</v>
      </c>
      <c r="G13" s="9">
        <f>(parametros_carros!$D$30*('Plan mensual'!I2+IF(parametros_carros!$H$30="Todos",'Plan mensual'!I6,0))+parametros_carros!$E$30*('Plan mensual'!I3+IF(parametros_carros!$H$30="Todos",'Plan mensual'!I7,0))+parametros_carros!$F$30*('Plan mensual'!I4+IF(parametros_carros!$H$30="Todos",'Plan mensual'!I8,0))+parametros_carros!$G$30*('Plan mensual'!I5+IF(parametros_carros!$H$30="Todos",'Plan mensual'!I9,0)))/60</f>
        <v>1.824</v>
      </c>
      <c r="H13" s="9">
        <f>(parametros_carros!$D$30*('Plan mensual'!J2+IF(parametros_carros!$H$30="Todos",'Plan mensual'!J6,0))+parametros_carros!$E$30*('Plan mensual'!J3+IF(parametros_carros!$H$30="Todos",'Plan mensual'!J7,0))+parametros_carros!$F$30*('Plan mensual'!J4+IF(parametros_carros!$H$30="Todos",'Plan mensual'!J8,0))+parametros_carros!$G$30*('Plan mensual'!J5+IF(parametros_carros!$H$30="Todos",'Plan mensual'!J9,0)))/60</f>
        <v>2.052</v>
      </c>
      <c r="I13" s="9">
        <f>(parametros_carros!$D$30*('Plan mensual'!K2+IF(parametros_carros!$H$30="Todos",'Plan mensual'!K6,0))+parametros_carros!$E$30*('Plan mensual'!K3+IF(parametros_carros!$H$30="Todos",'Plan mensual'!K7,0))+parametros_carros!$F$30*('Plan mensual'!K4+IF(parametros_carros!$H$30="Todos",'Plan mensual'!K8,0))+parametros_carros!$G$30*('Plan mensual'!K5+IF(parametros_carros!$H$30="Todos",'Plan mensual'!K9,0)))/60</f>
        <v>2.052</v>
      </c>
      <c r="J13" s="9">
        <f>(parametros_carros!$D$30*('Plan mensual'!L2+IF(parametros_carros!$H$30="Todos",'Plan mensual'!L6,0))+parametros_carros!$E$30*('Plan mensual'!L3+IF(parametros_carros!$H$30="Todos",'Plan mensual'!L7,0))+parametros_carros!$F$30*('Plan mensual'!L4+IF(parametros_carros!$H$30="Todos",'Plan mensual'!L8,0))+parametros_carros!$G$30*('Plan mensual'!L5+IF(parametros_carros!$H$30="Todos",'Plan mensual'!L9,0)))/60</f>
        <v>1.938</v>
      </c>
      <c r="K13" s="9">
        <f>(parametros_carros!$D$30*('Plan mensual'!M2+IF(parametros_carros!$H$30="Todos",'Plan mensual'!M6,0))+parametros_carros!$E$30*('Plan mensual'!M3+IF(parametros_carros!$H$30="Todos",'Plan mensual'!M7,0))+parametros_carros!$F$30*('Plan mensual'!M4+IF(parametros_carros!$H$30="Todos",'Plan mensual'!M8,0))+parametros_carros!$G$30*('Plan mensual'!M5+IF(parametros_carros!$H$30="Todos",'Plan mensual'!M9,0)))/60</f>
        <v>1.71</v>
      </c>
      <c r="L13" s="9">
        <f>(parametros_carros!$D$30*('Plan mensual'!N2+IF(parametros_carros!$H$30="Todos",'Plan mensual'!N6,0))+parametros_carros!$E$30*('Plan mensual'!N3+IF(parametros_carros!$H$30="Todos",'Plan mensual'!N7,0))+parametros_carros!$F$30*('Plan mensual'!N4+IF(parametros_carros!$H$30="Todos",'Plan mensual'!N8,0))+parametros_carros!$G$30*('Plan mensual'!N5+IF(parametros_carros!$H$30="Todos",'Plan mensual'!N9,0)))/60</f>
        <v>1.596</v>
      </c>
      <c r="M13" s="9">
        <f>(parametros_carros!$D$30*('Plan mensual'!O2+IF(parametros_carros!$H$30="Todos",'Plan mensual'!O6,0))+parametros_carros!$E$30*('Plan mensual'!O3+IF(parametros_carros!$H$30="Todos",'Plan mensual'!O7,0))+parametros_carros!$F$30*('Plan mensual'!O4+IF(parametros_carros!$H$30="Todos",'Plan mensual'!O8,0))+parametros_carros!$G$30*('Plan mensual'!O5+IF(parametros_carros!$H$30="Todos",'Plan mensual'!O9,0)))/60</f>
        <v>1.824</v>
      </c>
      <c r="N13" s="9">
        <f t="shared" si="1"/>
        <v>22.8</v>
      </c>
      <c r="O13" s="9">
        <f t="shared" si="2"/>
        <v>2.052</v>
      </c>
      <c r="P13" s="32">
        <f>IF(parametros_carros!$B$7=0,0,(O13+parametros_carros!$G$56)/parametros_carros!$B$7)</f>
        <v>0.01368</v>
      </c>
      <c r="Q13" s="21" t="str">
        <f t="shared" si="3"/>
        <v>Mar</v>
      </c>
    </row>
    <row r="14" ht="14.25" customHeight="1">
      <c r="A14" s="2" t="str">
        <f>parametros_carros!$B$31</f>
        <v>Pulmón de despacho y carga a pintura</v>
      </c>
      <c r="B14" s="9">
        <f>(parametros_carros!$D$31*('Plan mensual'!D2+IF(parametros_carros!$H$31="Todos",'Plan mensual'!D6,0))+parametros_carros!$E$31*('Plan mensual'!D3+IF(parametros_carros!$H$31="Todos",'Plan mensual'!D7,0))+parametros_carros!$F$31*('Plan mensual'!D4+IF(parametros_carros!$H$31="Todos",'Plan mensual'!D8,0))+parametros_carros!$G$31*('Plan mensual'!D5+IF(parametros_carros!$H$31="Todos",'Plan mensual'!D9,0)))/60</f>
        <v>0.3080541667</v>
      </c>
      <c r="C14" s="9">
        <f>(parametros_carros!$D$31*('Plan mensual'!E2+IF(parametros_carros!$H$31="Todos",'Plan mensual'!E6,0))+parametros_carros!$E$31*('Plan mensual'!E3+IF(parametros_carros!$H$31="Todos",'Plan mensual'!E7,0))+parametros_carros!$F$31*('Plan mensual'!E4+IF(parametros_carros!$H$31="Todos",'Plan mensual'!E8,0))+parametros_carros!$G$31*('Plan mensual'!E5+IF(parametros_carros!$H$31="Todos",'Plan mensual'!E9,0)))/60</f>
        <v>0.2718125</v>
      </c>
      <c r="D14" s="9">
        <f>(parametros_carros!$D$31*('Plan mensual'!F2+IF(parametros_carros!$H$31="Todos",'Plan mensual'!F6,0))+parametros_carros!$E$31*('Plan mensual'!F3+IF(parametros_carros!$H$31="Todos",'Plan mensual'!F7,0))+parametros_carros!$F$31*('Plan mensual'!F4+IF(parametros_carros!$H$31="Todos",'Plan mensual'!F8,0))+parametros_carros!$G$31*('Plan mensual'!F5+IF(parametros_carros!$H$31="Todos",'Plan mensual'!F9,0)))/60</f>
        <v>0.326175</v>
      </c>
      <c r="E14" s="9">
        <f>(parametros_carros!$D$31*('Plan mensual'!G2+IF(parametros_carros!$H$31="Todos",'Plan mensual'!G6,0))+parametros_carros!$E$31*('Plan mensual'!G3+IF(parametros_carros!$H$31="Todos",'Plan mensual'!G7,0))+parametros_carros!$F$31*('Plan mensual'!G4+IF(parametros_carros!$H$31="Todos",'Plan mensual'!G8,0))+parametros_carros!$G$31*('Plan mensual'!G5+IF(parametros_carros!$H$31="Todos",'Plan mensual'!G9,0)))/60</f>
        <v>0.326175</v>
      </c>
      <c r="F14" s="9">
        <f>(parametros_carros!$D$31*('Plan mensual'!H2+IF(parametros_carros!$H$31="Todos",'Plan mensual'!H6,0))+parametros_carros!$E$31*('Plan mensual'!H3+IF(parametros_carros!$H$31="Todos",'Plan mensual'!H7,0))+parametros_carros!$F$31*('Plan mensual'!H4+IF(parametros_carros!$H$31="Todos",'Plan mensual'!H8,0))+parametros_carros!$G$31*('Plan mensual'!H5+IF(parametros_carros!$H$31="Todos",'Plan mensual'!H9,0)))/60</f>
        <v>0.326175</v>
      </c>
      <c r="G14" s="9">
        <f>(parametros_carros!$D$31*('Plan mensual'!I2+IF(parametros_carros!$H$31="Todos",'Plan mensual'!I6,0))+parametros_carros!$E$31*('Plan mensual'!I3+IF(parametros_carros!$H$31="Todos",'Plan mensual'!I7,0))+parametros_carros!$F$31*('Plan mensual'!I4+IF(parametros_carros!$H$31="Todos",'Plan mensual'!I8,0))+parametros_carros!$G$31*('Plan mensual'!I5+IF(parametros_carros!$H$31="Todos",'Plan mensual'!I9,0)))/60</f>
        <v>0.2899333333</v>
      </c>
      <c r="H14" s="9">
        <f>(parametros_carros!$D$31*('Plan mensual'!J2+IF(parametros_carros!$H$31="Todos",'Plan mensual'!J6,0))+parametros_carros!$E$31*('Plan mensual'!J3+IF(parametros_carros!$H$31="Todos",'Plan mensual'!J7,0))+parametros_carros!$F$31*('Plan mensual'!J4+IF(parametros_carros!$H$31="Todos",'Plan mensual'!J8,0))+parametros_carros!$G$31*('Plan mensual'!J5+IF(parametros_carros!$H$31="Todos",'Plan mensual'!J9,0)))/60</f>
        <v>0.326175</v>
      </c>
      <c r="I14" s="9">
        <f>(parametros_carros!$D$31*('Plan mensual'!K2+IF(parametros_carros!$H$31="Todos",'Plan mensual'!K6,0))+parametros_carros!$E$31*('Plan mensual'!K3+IF(parametros_carros!$H$31="Todos",'Plan mensual'!K7,0))+parametros_carros!$F$31*('Plan mensual'!K4+IF(parametros_carros!$H$31="Todos",'Plan mensual'!K8,0))+parametros_carros!$G$31*('Plan mensual'!K5+IF(parametros_carros!$H$31="Todos",'Plan mensual'!K9,0)))/60</f>
        <v>0.326175</v>
      </c>
      <c r="J14" s="9">
        <f>(parametros_carros!$D$31*('Plan mensual'!L2+IF(parametros_carros!$H$31="Todos",'Plan mensual'!L6,0))+parametros_carros!$E$31*('Plan mensual'!L3+IF(parametros_carros!$H$31="Todos",'Plan mensual'!L7,0))+parametros_carros!$F$31*('Plan mensual'!L4+IF(parametros_carros!$H$31="Todos",'Plan mensual'!L8,0))+parametros_carros!$G$31*('Plan mensual'!L5+IF(parametros_carros!$H$31="Todos",'Plan mensual'!L9,0)))/60</f>
        <v>0.3080541667</v>
      </c>
      <c r="K14" s="9">
        <f>(parametros_carros!$D$31*('Plan mensual'!M2+IF(parametros_carros!$H$31="Todos",'Plan mensual'!M6,0))+parametros_carros!$E$31*('Plan mensual'!M3+IF(parametros_carros!$H$31="Todos",'Plan mensual'!M7,0))+parametros_carros!$F$31*('Plan mensual'!M4+IF(parametros_carros!$H$31="Todos",'Plan mensual'!M8,0))+parametros_carros!$G$31*('Plan mensual'!M5+IF(parametros_carros!$H$31="Todos",'Plan mensual'!M9,0)))/60</f>
        <v>0.2718125</v>
      </c>
      <c r="L14" s="9">
        <f>(parametros_carros!$D$31*('Plan mensual'!N2+IF(parametros_carros!$H$31="Todos",'Plan mensual'!N6,0))+parametros_carros!$E$31*('Plan mensual'!N3+IF(parametros_carros!$H$31="Todos",'Plan mensual'!N7,0))+parametros_carros!$F$31*('Plan mensual'!N4+IF(parametros_carros!$H$31="Todos",'Plan mensual'!N8,0))+parametros_carros!$G$31*('Plan mensual'!N5+IF(parametros_carros!$H$31="Todos",'Plan mensual'!N9,0)))/60</f>
        <v>0.2536916667</v>
      </c>
      <c r="M14" s="9">
        <f>(parametros_carros!$D$31*('Plan mensual'!O2+IF(parametros_carros!$H$31="Todos",'Plan mensual'!O6,0))+parametros_carros!$E$31*('Plan mensual'!O3+IF(parametros_carros!$H$31="Todos",'Plan mensual'!O7,0))+parametros_carros!$F$31*('Plan mensual'!O4+IF(parametros_carros!$H$31="Todos",'Plan mensual'!O8,0))+parametros_carros!$G$31*('Plan mensual'!O5+IF(parametros_carros!$H$31="Todos",'Plan mensual'!O9,0)))/60</f>
        <v>0.2899333333</v>
      </c>
      <c r="N14" s="9">
        <f t="shared" si="1"/>
        <v>3.624166667</v>
      </c>
      <c r="O14" s="9">
        <f t="shared" si="2"/>
        <v>0.326175</v>
      </c>
      <c r="P14" s="32">
        <f>IF(parametros_carros!$B$7=0,0,(O14+parametros_carros!$G$57)/parametros_carros!$B$7)</f>
        <v>0.01106338889</v>
      </c>
      <c r="Q14" s="21" t="str">
        <f t="shared" si="3"/>
        <v>Mar</v>
      </c>
    </row>
    <row r="15" ht="14.25" customHeight="1">
      <c r="A15" s="2" t="str">
        <f>parametros_carros!$B$32</f>
        <v>Recepción de pintados y cambio de juego</v>
      </c>
      <c r="B15" s="9">
        <f>(parametros_carros!$D$32*('Plan mensual'!D2+IF(parametros_carros!$H$32="Todos",'Plan mensual'!D6,0))+parametros_carros!$E$32*('Plan mensual'!D3+IF(parametros_carros!$H$32="Todos",'Plan mensual'!D7,0))+parametros_carros!$F$32*('Plan mensual'!D4+IF(parametros_carros!$H$32="Todos",'Plan mensual'!D8,0))+parametros_carros!$G$32*('Plan mensual'!D5+IF(parametros_carros!$H$32="Todos",'Plan mensual'!D9,0)))/60</f>
        <v>0.6027916667</v>
      </c>
      <c r="C15" s="9">
        <f>(parametros_carros!$D$32*('Plan mensual'!E2+IF(parametros_carros!$H$32="Todos",'Plan mensual'!E6,0))+parametros_carros!$E$32*('Plan mensual'!E3+IF(parametros_carros!$H$32="Todos",'Plan mensual'!E7,0))+parametros_carros!$F$32*('Plan mensual'!E4+IF(parametros_carros!$H$32="Todos",'Plan mensual'!E8,0))+parametros_carros!$G$32*('Plan mensual'!E5+IF(parametros_carros!$H$32="Todos",'Plan mensual'!E9,0)))/60</f>
        <v>0.531875</v>
      </c>
      <c r="D15" s="9">
        <f>(parametros_carros!$D$32*('Plan mensual'!F2+IF(parametros_carros!$H$32="Todos",'Plan mensual'!F6,0))+parametros_carros!$E$32*('Plan mensual'!F3+IF(parametros_carros!$H$32="Todos",'Plan mensual'!F7,0))+parametros_carros!$F$32*('Plan mensual'!F4+IF(parametros_carros!$H$32="Todos",'Plan mensual'!F8,0))+parametros_carros!$G$32*('Plan mensual'!F5+IF(parametros_carros!$H$32="Todos",'Plan mensual'!F9,0)))/60</f>
        <v>0.63825</v>
      </c>
      <c r="E15" s="9">
        <f>(parametros_carros!$D$32*('Plan mensual'!G2+IF(parametros_carros!$H$32="Todos",'Plan mensual'!G6,0))+parametros_carros!$E$32*('Plan mensual'!G3+IF(parametros_carros!$H$32="Todos",'Plan mensual'!G7,0))+parametros_carros!$F$32*('Plan mensual'!G4+IF(parametros_carros!$H$32="Todos",'Plan mensual'!G8,0))+parametros_carros!$G$32*('Plan mensual'!G5+IF(parametros_carros!$H$32="Todos",'Plan mensual'!G9,0)))/60</f>
        <v>0.63825</v>
      </c>
      <c r="F15" s="9">
        <f>(parametros_carros!$D$32*('Plan mensual'!H2+IF(parametros_carros!$H$32="Todos",'Plan mensual'!H6,0))+parametros_carros!$E$32*('Plan mensual'!H3+IF(parametros_carros!$H$32="Todos",'Plan mensual'!H7,0))+parametros_carros!$F$32*('Plan mensual'!H4+IF(parametros_carros!$H$32="Todos",'Plan mensual'!H8,0))+parametros_carros!$G$32*('Plan mensual'!H5+IF(parametros_carros!$H$32="Todos",'Plan mensual'!H9,0)))/60</f>
        <v>0.63825</v>
      </c>
      <c r="G15" s="9">
        <f>(parametros_carros!$D$32*('Plan mensual'!I2+IF(parametros_carros!$H$32="Todos",'Plan mensual'!I6,0))+parametros_carros!$E$32*('Plan mensual'!I3+IF(parametros_carros!$H$32="Todos",'Plan mensual'!I7,0))+parametros_carros!$F$32*('Plan mensual'!I4+IF(parametros_carros!$H$32="Todos",'Plan mensual'!I8,0))+parametros_carros!$G$32*('Plan mensual'!I5+IF(parametros_carros!$H$32="Todos",'Plan mensual'!I9,0)))/60</f>
        <v>0.5673333333</v>
      </c>
      <c r="H15" s="9">
        <f>(parametros_carros!$D$32*('Plan mensual'!J2+IF(parametros_carros!$H$32="Todos",'Plan mensual'!J6,0))+parametros_carros!$E$32*('Plan mensual'!J3+IF(parametros_carros!$H$32="Todos",'Plan mensual'!J7,0))+parametros_carros!$F$32*('Plan mensual'!J4+IF(parametros_carros!$H$32="Todos",'Plan mensual'!J8,0))+parametros_carros!$G$32*('Plan mensual'!J5+IF(parametros_carros!$H$32="Todos",'Plan mensual'!J9,0)))/60</f>
        <v>0.63825</v>
      </c>
      <c r="I15" s="9">
        <f>(parametros_carros!$D$32*('Plan mensual'!K2+IF(parametros_carros!$H$32="Todos",'Plan mensual'!K6,0))+parametros_carros!$E$32*('Plan mensual'!K3+IF(parametros_carros!$H$32="Todos",'Plan mensual'!K7,0))+parametros_carros!$F$32*('Plan mensual'!K4+IF(parametros_carros!$H$32="Todos",'Plan mensual'!K8,0))+parametros_carros!$G$32*('Plan mensual'!K5+IF(parametros_carros!$H$32="Todos",'Plan mensual'!K9,0)))/60</f>
        <v>0.63825</v>
      </c>
      <c r="J15" s="9">
        <f>(parametros_carros!$D$32*('Plan mensual'!L2+IF(parametros_carros!$H$32="Todos",'Plan mensual'!L6,0))+parametros_carros!$E$32*('Plan mensual'!L3+IF(parametros_carros!$H$32="Todos",'Plan mensual'!L7,0))+parametros_carros!$F$32*('Plan mensual'!L4+IF(parametros_carros!$H$32="Todos",'Plan mensual'!L8,0))+parametros_carros!$G$32*('Plan mensual'!L5+IF(parametros_carros!$H$32="Todos",'Plan mensual'!L9,0)))/60</f>
        <v>0.6027916667</v>
      </c>
      <c r="K15" s="9">
        <f>(parametros_carros!$D$32*('Plan mensual'!M2+IF(parametros_carros!$H$32="Todos",'Plan mensual'!M6,0))+parametros_carros!$E$32*('Plan mensual'!M3+IF(parametros_carros!$H$32="Todos",'Plan mensual'!M7,0))+parametros_carros!$F$32*('Plan mensual'!M4+IF(parametros_carros!$H$32="Todos",'Plan mensual'!M8,0))+parametros_carros!$G$32*('Plan mensual'!M5+IF(parametros_carros!$H$32="Todos",'Plan mensual'!M9,0)))/60</f>
        <v>0.531875</v>
      </c>
      <c r="L15" s="9">
        <f>(parametros_carros!$D$32*('Plan mensual'!N2+IF(parametros_carros!$H$32="Todos",'Plan mensual'!N6,0))+parametros_carros!$E$32*('Plan mensual'!N3+IF(parametros_carros!$H$32="Todos",'Plan mensual'!N7,0))+parametros_carros!$F$32*('Plan mensual'!N4+IF(parametros_carros!$H$32="Todos",'Plan mensual'!N8,0))+parametros_carros!$G$32*('Plan mensual'!N5+IF(parametros_carros!$H$32="Todos",'Plan mensual'!N9,0)))/60</f>
        <v>0.4964166667</v>
      </c>
      <c r="M15" s="9">
        <f>(parametros_carros!$D$32*('Plan mensual'!O2+IF(parametros_carros!$H$32="Todos",'Plan mensual'!O6,0))+parametros_carros!$E$32*('Plan mensual'!O3+IF(parametros_carros!$H$32="Todos",'Plan mensual'!O7,0))+parametros_carros!$F$32*('Plan mensual'!O4+IF(parametros_carros!$H$32="Todos",'Plan mensual'!O8,0))+parametros_carros!$G$32*('Plan mensual'!O5+IF(parametros_carros!$H$32="Todos",'Plan mensual'!O9,0)))/60</f>
        <v>0.5673333333</v>
      </c>
      <c r="N15" s="9">
        <f t="shared" si="1"/>
        <v>7.091666667</v>
      </c>
      <c r="O15" s="9">
        <f t="shared" si="2"/>
        <v>0.63825</v>
      </c>
      <c r="P15" s="32">
        <f>IF(parametros_carros!$B$7=0,0,(O15+parametros_carros!$G$58)/parametros_carros!$B$7)</f>
        <v>0.01314388889</v>
      </c>
      <c r="Q15" s="21" t="str">
        <f t="shared" si="3"/>
        <v>Mar</v>
      </c>
    </row>
    <row r="16" ht="14.25" customHeight="1">
      <c r="A16" s="2" t="str">
        <f>parametros_carros!$B$33</f>
        <v>Carga de polvo y presurización</v>
      </c>
      <c r="B16" s="9">
        <f>(parametros_carros!$D$33*('Plan mensual'!D2+IF(parametros_carros!$H$33="Todos",'Plan mensual'!D6,0))+parametros_carros!$E$33*('Plan mensual'!D3+IF(parametros_carros!$H$33="Todos",'Plan mensual'!D7,0))+parametros_carros!$F$33*('Plan mensual'!D4+IF(parametros_carros!$H$33="Todos",'Plan mensual'!D8,0))+parametros_carros!$G$33*('Plan mensual'!D5+IF(parametros_carros!$H$33="Todos",'Plan mensual'!D9,0)))/60</f>
        <v>2.1828</v>
      </c>
      <c r="C16" s="9">
        <f>(parametros_carros!$D$33*('Plan mensual'!E2+IF(parametros_carros!$H$33="Todos",'Plan mensual'!E6,0))+parametros_carros!$E$33*('Plan mensual'!E3+IF(parametros_carros!$H$33="Todos",'Plan mensual'!E7,0))+parametros_carros!$F$33*('Plan mensual'!E4+IF(parametros_carros!$H$33="Todos",'Plan mensual'!E8,0))+parametros_carros!$G$33*('Plan mensual'!E5+IF(parametros_carros!$H$33="Todos",'Plan mensual'!E9,0)))/60</f>
        <v>1.926</v>
      </c>
      <c r="D16" s="9">
        <f>(parametros_carros!$D$33*('Plan mensual'!F2+IF(parametros_carros!$H$33="Todos",'Plan mensual'!F6,0))+parametros_carros!$E$33*('Plan mensual'!F3+IF(parametros_carros!$H$33="Todos",'Plan mensual'!F7,0))+parametros_carros!$F$33*('Plan mensual'!F4+IF(parametros_carros!$H$33="Todos",'Plan mensual'!F8,0))+parametros_carros!$G$33*('Plan mensual'!F5+IF(parametros_carros!$H$33="Todos",'Plan mensual'!F9,0)))/60</f>
        <v>2.3112</v>
      </c>
      <c r="E16" s="9">
        <f>(parametros_carros!$D$33*('Plan mensual'!G2+IF(parametros_carros!$H$33="Todos",'Plan mensual'!G6,0))+parametros_carros!$E$33*('Plan mensual'!G3+IF(parametros_carros!$H$33="Todos",'Plan mensual'!G7,0))+parametros_carros!$F$33*('Plan mensual'!G4+IF(parametros_carros!$H$33="Todos",'Plan mensual'!G8,0))+parametros_carros!$G$33*('Plan mensual'!G5+IF(parametros_carros!$H$33="Todos",'Plan mensual'!G9,0)))/60</f>
        <v>2.3112</v>
      </c>
      <c r="F16" s="9">
        <f>(parametros_carros!$D$33*('Plan mensual'!H2+IF(parametros_carros!$H$33="Todos",'Plan mensual'!H6,0))+parametros_carros!$E$33*('Plan mensual'!H3+IF(parametros_carros!$H$33="Todos",'Plan mensual'!H7,0))+parametros_carros!$F$33*('Plan mensual'!H4+IF(parametros_carros!$H$33="Todos",'Plan mensual'!H8,0))+parametros_carros!$G$33*('Plan mensual'!H5+IF(parametros_carros!$H$33="Todos",'Plan mensual'!H9,0)))/60</f>
        <v>2.3112</v>
      </c>
      <c r="G16" s="9">
        <f>(parametros_carros!$D$33*('Plan mensual'!I2+IF(parametros_carros!$H$33="Todos",'Plan mensual'!I6,0))+parametros_carros!$E$33*('Plan mensual'!I3+IF(parametros_carros!$H$33="Todos",'Plan mensual'!I7,0))+parametros_carros!$F$33*('Plan mensual'!I4+IF(parametros_carros!$H$33="Todos",'Plan mensual'!I8,0))+parametros_carros!$G$33*('Plan mensual'!I5+IF(parametros_carros!$H$33="Todos",'Plan mensual'!I9,0)))/60</f>
        <v>2.0544</v>
      </c>
      <c r="H16" s="9">
        <f>(parametros_carros!$D$33*('Plan mensual'!J2+IF(parametros_carros!$H$33="Todos",'Plan mensual'!J6,0))+parametros_carros!$E$33*('Plan mensual'!J3+IF(parametros_carros!$H$33="Todos",'Plan mensual'!J7,0))+parametros_carros!$F$33*('Plan mensual'!J4+IF(parametros_carros!$H$33="Todos",'Plan mensual'!J8,0))+parametros_carros!$G$33*('Plan mensual'!J5+IF(parametros_carros!$H$33="Todos",'Plan mensual'!J9,0)))/60</f>
        <v>2.3112</v>
      </c>
      <c r="I16" s="9">
        <f>(parametros_carros!$D$33*('Plan mensual'!K2+IF(parametros_carros!$H$33="Todos",'Plan mensual'!K6,0))+parametros_carros!$E$33*('Plan mensual'!K3+IF(parametros_carros!$H$33="Todos",'Plan mensual'!K7,0))+parametros_carros!$F$33*('Plan mensual'!K4+IF(parametros_carros!$H$33="Todos",'Plan mensual'!K8,0))+parametros_carros!$G$33*('Plan mensual'!K5+IF(parametros_carros!$H$33="Todos",'Plan mensual'!K9,0)))/60</f>
        <v>2.3112</v>
      </c>
      <c r="J16" s="9">
        <f>(parametros_carros!$D$33*('Plan mensual'!L2+IF(parametros_carros!$H$33="Todos",'Plan mensual'!L6,0))+parametros_carros!$E$33*('Plan mensual'!L3+IF(parametros_carros!$H$33="Todos",'Plan mensual'!L7,0))+parametros_carros!$F$33*('Plan mensual'!L4+IF(parametros_carros!$H$33="Todos",'Plan mensual'!L8,0))+parametros_carros!$G$33*('Plan mensual'!L5+IF(parametros_carros!$H$33="Todos",'Plan mensual'!L9,0)))/60</f>
        <v>2.1828</v>
      </c>
      <c r="K16" s="9">
        <f>(parametros_carros!$D$33*('Plan mensual'!M2+IF(parametros_carros!$H$33="Todos",'Plan mensual'!M6,0))+parametros_carros!$E$33*('Plan mensual'!M3+IF(parametros_carros!$H$33="Todos",'Plan mensual'!M7,0))+parametros_carros!$F$33*('Plan mensual'!M4+IF(parametros_carros!$H$33="Todos",'Plan mensual'!M8,0))+parametros_carros!$G$33*('Plan mensual'!M5+IF(parametros_carros!$H$33="Todos",'Plan mensual'!M9,0)))/60</f>
        <v>1.926</v>
      </c>
      <c r="L16" s="9">
        <f>(parametros_carros!$D$33*('Plan mensual'!N2+IF(parametros_carros!$H$33="Todos",'Plan mensual'!N6,0))+parametros_carros!$E$33*('Plan mensual'!N3+IF(parametros_carros!$H$33="Todos",'Plan mensual'!N7,0))+parametros_carros!$F$33*('Plan mensual'!N4+IF(parametros_carros!$H$33="Todos",'Plan mensual'!N8,0))+parametros_carros!$G$33*('Plan mensual'!N5+IF(parametros_carros!$H$33="Todos",'Plan mensual'!N9,0)))/60</f>
        <v>1.7976</v>
      </c>
      <c r="M16" s="9">
        <f>(parametros_carros!$D$33*('Plan mensual'!O2+IF(parametros_carros!$H$33="Todos",'Plan mensual'!O6,0))+parametros_carros!$E$33*('Plan mensual'!O3+IF(parametros_carros!$H$33="Todos",'Plan mensual'!O7,0))+parametros_carros!$F$33*('Plan mensual'!O4+IF(parametros_carros!$H$33="Todos",'Plan mensual'!O8,0))+parametros_carros!$G$33*('Plan mensual'!O5+IF(parametros_carros!$H$33="Todos",'Plan mensual'!O9,0)))/60</f>
        <v>2.0544</v>
      </c>
      <c r="N16" s="9">
        <f t="shared" si="1"/>
        <v>25.68</v>
      </c>
      <c r="O16" s="9">
        <f t="shared" si="2"/>
        <v>2.3112</v>
      </c>
      <c r="P16" s="32">
        <f>IF(parametros_carros!$B$7=0,0,(O16+parametros_carros!$G$59)/parametros_carros!$B$7)</f>
        <v>0.1220746667</v>
      </c>
      <c r="Q16" s="21" t="str">
        <f t="shared" si="3"/>
        <v>Mar</v>
      </c>
    </row>
    <row r="17" ht="14.25" customHeight="1">
      <c r="A17" s="2" t="str">
        <f>parametros_carros!$B$34</f>
        <v>Montaje, manga, precinto y etiquetado</v>
      </c>
      <c r="B17" s="9">
        <f>(parametros_carros!$D$34*('Plan mensual'!D2+IF(parametros_carros!$H$34="Todos",'Plan mensual'!D6,0))+parametros_carros!$E$34*('Plan mensual'!D3+IF(parametros_carros!$H$34="Todos",'Plan mensual'!D7,0))+parametros_carros!$F$34*('Plan mensual'!D4+IF(parametros_carros!$H$34="Todos",'Plan mensual'!D8,0))+parametros_carros!$G$34*('Plan mensual'!D5+IF(parametros_carros!$H$34="Todos",'Plan mensual'!D9,0)))/60</f>
        <v>1.217625</v>
      </c>
      <c r="C17" s="9">
        <f>(parametros_carros!$D$34*('Plan mensual'!E2+IF(parametros_carros!$H$34="Todos",'Plan mensual'!E6,0))+parametros_carros!$E$34*('Plan mensual'!E3+IF(parametros_carros!$H$34="Todos",'Plan mensual'!E7,0))+parametros_carros!$F$34*('Plan mensual'!E4+IF(parametros_carros!$H$34="Todos",'Plan mensual'!E8,0))+parametros_carros!$G$34*('Plan mensual'!E5+IF(parametros_carros!$H$34="Todos",'Plan mensual'!E9,0)))/60</f>
        <v>1.074375</v>
      </c>
      <c r="D17" s="9">
        <f>(parametros_carros!$D$34*('Plan mensual'!F2+IF(parametros_carros!$H$34="Todos",'Plan mensual'!F6,0))+parametros_carros!$E$34*('Plan mensual'!F3+IF(parametros_carros!$H$34="Todos",'Plan mensual'!F7,0))+parametros_carros!$F$34*('Plan mensual'!F4+IF(parametros_carros!$H$34="Todos",'Plan mensual'!F8,0))+parametros_carros!$G$34*('Plan mensual'!F5+IF(parametros_carros!$H$34="Todos",'Plan mensual'!F9,0)))/60</f>
        <v>1.28925</v>
      </c>
      <c r="E17" s="9">
        <f>(parametros_carros!$D$34*('Plan mensual'!G2+IF(parametros_carros!$H$34="Todos",'Plan mensual'!G6,0))+parametros_carros!$E$34*('Plan mensual'!G3+IF(parametros_carros!$H$34="Todos",'Plan mensual'!G7,0))+parametros_carros!$F$34*('Plan mensual'!G4+IF(parametros_carros!$H$34="Todos",'Plan mensual'!G8,0))+parametros_carros!$G$34*('Plan mensual'!G5+IF(parametros_carros!$H$34="Todos",'Plan mensual'!G9,0)))/60</f>
        <v>1.28925</v>
      </c>
      <c r="F17" s="9">
        <f>(parametros_carros!$D$34*('Plan mensual'!H2+IF(parametros_carros!$H$34="Todos",'Plan mensual'!H6,0))+parametros_carros!$E$34*('Plan mensual'!H3+IF(parametros_carros!$H$34="Todos",'Plan mensual'!H7,0))+parametros_carros!$F$34*('Plan mensual'!H4+IF(parametros_carros!$H$34="Todos",'Plan mensual'!H8,0))+parametros_carros!$G$34*('Plan mensual'!H5+IF(parametros_carros!$H$34="Todos",'Plan mensual'!H9,0)))/60</f>
        <v>1.28925</v>
      </c>
      <c r="G17" s="9">
        <f>(parametros_carros!$D$34*('Plan mensual'!I2+IF(parametros_carros!$H$34="Todos",'Plan mensual'!I6,0))+parametros_carros!$E$34*('Plan mensual'!I3+IF(parametros_carros!$H$34="Todos",'Plan mensual'!I7,0))+parametros_carros!$F$34*('Plan mensual'!I4+IF(parametros_carros!$H$34="Todos",'Plan mensual'!I8,0))+parametros_carros!$G$34*('Plan mensual'!I5+IF(parametros_carros!$H$34="Todos",'Plan mensual'!I9,0)))/60</f>
        <v>1.146</v>
      </c>
      <c r="H17" s="9">
        <f>(parametros_carros!$D$34*('Plan mensual'!J2+IF(parametros_carros!$H$34="Todos",'Plan mensual'!J6,0))+parametros_carros!$E$34*('Plan mensual'!J3+IF(parametros_carros!$H$34="Todos",'Plan mensual'!J7,0))+parametros_carros!$F$34*('Plan mensual'!J4+IF(parametros_carros!$H$34="Todos",'Plan mensual'!J8,0))+parametros_carros!$G$34*('Plan mensual'!J5+IF(parametros_carros!$H$34="Todos",'Plan mensual'!J9,0)))/60</f>
        <v>1.28925</v>
      </c>
      <c r="I17" s="9">
        <f>(parametros_carros!$D$34*('Plan mensual'!K2+IF(parametros_carros!$H$34="Todos",'Plan mensual'!K6,0))+parametros_carros!$E$34*('Plan mensual'!K3+IF(parametros_carros!$H$34="Todos",'Plan mensual'!K7,0))+parametros_carros!$F$34*('Plan mensual'!K4+IF(parametros_carros!$H$34="Todos",'Plan mensual'!K8,0))+parametros_carros!$G$34*('Plan mensual'!K5+IF(parametros_carros!$H$34="Todos",'Plan mensual'!K9,0)))/60</f>
        <v>1.28925</v>
      </c>
      <c r="J17" s="9">
        <f>(parametros_carros!$D$34*('Plan mensual'!L2+IF(parametros_carros!$H$34="Todos",'Plan mensual'!L6,0))+parametros_carros!$E$34*('Plan mensual'!L3+IF(parametros_carros!$H$34="Todos",'Plan mensual'!L7,0))+parametros_carros!$F$34*('Plan mensual'!L4+IF(parametros_carros!$H$34="Todos",'Plan mensual'!L8,0))+parametros_carros!$G$34*('Plan mensual'!L5+IF(parametros_carros!$H$34="Todos",'Plan mensual'!L9,0)))/60</f>
        <v>1.217625</v>
      </c>
      <c r="K17" s="9">
        <f>(parametros_carros!$D$34*('Plan mensual'!M2+IF(parametros_carros!$H$34="Todos",'Plan mensual'!M6,0))+parametros_carros!$E$34*('Plan mensual'!M3+IF(parametros_carros!$H$34="Todos",'Plan mensual'!M7,0))+parametros_carros!$F$34*('Plan mensual'!M4+IF(parametros_carros!$H$34="Todos",'Plan mensual'!M8,0))+parametros_carros!$G$34*('Plan mensual'!M5+IF(parametros_carros!$H$34="Todos",'Plan mensual'!M9,0)))/60</f>
        <v>1.074375</v>
      </c>
      <c r="L17" s="9">
        <f>(parametros_carros!$D$34*('Plan mensual'!N2+IF(parametros_carros!$H$34="Todos",'Plan mensual'!N6,0))+parametros_carros!$E$34*('Plan mensual'!N3+IF(parametros_carros!$H$34="Todos",'Plan mensual'!N7,0))+parametros_carros!$F$34*('Plan mensual'!N4+IF(parametros_carros!$H$34="Todos",'Plan mensual'!N8,0))+parametros_carros!$G$34*('Plan mensual'!N5+IF(parametros_carros!$H$34="Todos",'Plan mensual'!N9,0)))/60</f>
        <v>1.00275</v>
      </c>
      <c r="M17" s="9">
        <f>(parametros_carros!$D$34*('Plan mensual'!O2+IF(parametros_carros!$H$34="Todos",'Plan mensual'!O6,0))+parametros_carros!$E$34*('Plan mensual'!O3+IF(parametros_carros!$H$34="Todos",'Plan mensual'!O7,0))+parametros_carros!$F$34*('Plan mensual'!O4+IF(parametros_carros!$H$34="Todos",'Plan mensual'!O8,0))+parametros_carros!$G$34*('Plan mensual'!O5+IF(parametros_carros!$H$34="Todos",'Plan mensual'!O9,0)))/60</f>
        <v>1.146</v>
      </c>
      <c r="N17" s="9">
        <f t="shared" si="1"/>
        <v>14.325</v>
      </c>
      <c r="O17" s="9">
        <f t="shared" si="2"/>
        <v>1.28925</v>
      </c>
      <c r="P17" s="32">
        <f>IF(parametros_carros!$B$7=0,0,(O17+parametros_carros!$G$60)/parametros_carros!$B$7)</f>
        <v>0.05526166667</v>
      </c>
      <c r="Q17" s="21" t="str">
        <f t="shared" si="3"/>
        <v>Mar</v>
      </c>
    </row>
    <row r="18" ht="14.25" customHeight="1">
      <c r="A18" s="2" t="str">
        <f>parametros_carros!$B$35</f>
        <v>Calidad: pérdidas, inspección final, liberación y ensayos de lote</v>
      </c>
      <c r="B18" s="9">
        <f>(parametros_carros!$D$35*('Plan mensual'!D2+IF(parametros_carros!$H$35="Todos",'Plan mensual'!D6,0))+parametros_carros!$E$35*('Plan mensual'!D3+IF(parametros_carros!$H$35="Todos",'Plan mensual'!D7,0))+parametros_carros!$F$35*('Plan mensual'!D4+IF(parametros_carros!$H$35="Todos",'Plan mensual'!D8,0))+parametros_carros!$G$35*('Plan mensual'!D5+IF(parametros_carros!$H$35="Todos",'Plan mensual'!D9,0)))/60</f>
        <v>0.9228733333</v>
      </c>
      <c r="C18" s="9">
        <f>(parametros_carros!$D$35*('Plan mensual'!E2+IF(parametros_carros!$H$35="Todos",'Plan mensual'!E6,0))+parametros_carros!$E$35*('Plan mensual'!E3+IF(parametros_carros!$H$35="Todos",'Plan mensual'!E7,0))+parametros_carros!$F$35*('Plan mensual'!E4+IF(parametros_carros!$H$35="Todos",'Plan mensual'!E8,0))+parametros_carros!$G$35*('Plan mensual'!E5+IF(parametros_carros!$H$35="Todos",'Plan mensual'!E9,0)))/60</f>
        <v>0.8143</v>
      </c>
      <c r="D18" s="9">
        <f>(parametros_carros!$D$35*('Plan mensual'!F2+IF(parametros_carros!$H$35="Todos",'Plan mensual'!F6,0))+parametros_carros!$E$35*('Plan mensual'!F3+IF(parametros_carros!$H$35="Todos",'Plan mensual'!F7,0))+parametros_carros!$F$35*('Plan mensual'!F4+IF(parametros_carros!$H$35="Todos",'Plan mensual'!F8,0))+parametros_carros!$G$35*('Plan mensual'!F5+IF(parametros_carros!$H$35="Todos",'Plan mensual'!F9,0)))/60</f>
        <v>0.97716</v>
      </c>
      <c r="E18" s="9">
        <f>(parametros_carros!$D$35*('Plan mensual'!G2+IF(parametros_carros!$H$35="Todos",'Plan mensual'!G6,0))+parametros_carros!$E$35*('Plan mensual'!G3+IF(parametros_carros!$H$35="Todos",'Plan mensual'!G7,0))+parametros_carros!$F$35*('Plan mensual'!G4+IF(parametros_carros!$H$35="Todos",'Plan mensual'!G8,0))+parametros_carros!$G$35*('Plan mensual'!G5+IF(parametros_carros!$H$35="Todos",'Plan mensual'!G9,0)))/60</f>
        <v>0.97716</v>
      </c>
      <c r="F18" s="9">
        <f>(parametros_carros!$D$35*('Plan mensual'!H2+IF(parametros_carros!$H$35="Todos",'Plan mensual'!H6,0))+parametros_carros!$E$35*('Plan mensual'!H3+IF(parametros_carros!$H$35="Todos",'Plan mensual'!H7,0))+parametros_carros!$F$35*('Plan mensual'!H4+IF(parametros_carros!$H$35="Todos",'Plan mensual'!H8,0))+parametros_carros!$G$35*('Plan mensual'!H5+IF(parametros_carros!$H$35="Todos",'Plan mensual'!H9,0)))/60</f>
        <v>0.97716</v>
      </c>
      <c r="G18" s="9">
        <f>(parametros_carros!$D$35*('Plan mensual'!I2+IF(parametros_carros!$H$35="Todos",'Plan mensual'!I6,0))+parametros_carros!$E$35*('Plan mensual'!I3+IF(parametros_carros!$H$35="Todos",'Plan mensual'!I7,0))+parametros_carros!$F$35*('Plan mensual'!I4+IF(parametros_carros!$H$35="Todos",'Plan mensual'!I8,0))+parametros_carros!$G$35*('Plan mensual'!I5+IF(parametros_carros!$H$35="Todos",'Plan mensual'!I9,0)))/60</f>
        <v>0.8685866667</v>
      </c>
      <c r="H18" s="9">
        <f>(parametros_carros!$D$35*('Plan mensual'!J2+IF(parametros_carros!$H$35="Todos",'Plan mensual'!J6,0))+parametros_carros!$E$35*('Plan mensual'!J3+IF(parametros_carros!$H$35="Todos",'Plan mensual'!J7,0))+parametros_carros!$F$35*('Plan mensual'!J4+IF(parametros_carros!$H$35="Todos",'Plan mensual'!J8,0))+parametros_carros!$G$35*('Plan mensual'!J5+IF(parametros_carros!$H$35="Todos",'Plan mensual'!J9,0)))/60</f>
        <v>0.97716</v>
      </c>
      <c r="I18" s="9">
        <f>(parametros_carros!$D$35*('Plan mensual'!K2+IF(parametros_carros!$H$35="Todos",'Plan mensual'!K6,0))+parametros_carros!$E$35*('Plan mensual'!K3+IF(parametros_carros!$H$35="Todos",'Plan mensual'!K7,0))+parametros_carros!$F$35*('Plan mensual'!K4+IF(parametros_carros!$H$35="Todos",'Plan mensual'!K8,0))+parametros_carros!$G$35*('Plan mensual'!K5+IF(parametros_carros!$H$35="Todos",'Plan mensual'!K9,0)))/60</f>
        <v>0.97716</v>
      </c>
      <c r="J18" s="9">
        <f>(parametros_carros!$D$35*('Plan mensual'!L2+IF(parametros_carros!$H$35="Todos",'Plan mensual'!L6,0))+parametros_carros!$E$35*('Plan mensual'!L3+IF(parametros_carros!$H$35="Todos",'Plan mensual'!L7,0))+parametros_carros!$F$35*('Plan mensual'!L4+IF(parametros_carros!$H$35="Todos",'Plan mensual'!L8,0))+parametros_carros!$G$35*('Plan mensual'!L5+IF(parametros_carros!$H$35="Todos",'Plan mensual'!L9,0)))/60</f>
        <v>0.9228733333</v>
      </c>
      <c r="K18" s="9">
        <f>(parametros_carros!$D$35*('Plan mensual'!M2+IF(parametros_carros!$H$35="Todos",'Plan mensual'!M6,0))+parametros_carros!$E$35*('Plan mensual'!M3+IF(parametros_carros!$H$35="Todos",'Plan mensual'!M7,0))+parametros_carros!$F$35*('Plan mensual'!M4+IF(parametros_carros!$H$35="Todos",'Plan mensual'!M8,0))+parametros_carros!$G$35*('Plan mensual'!M5+IF(parametros_carros!$H$35="Todos",'Plan mensual'!M9,0)))/60</f>
        <v>0.8143</v>
      </c>
      <c r="L18" s="9">
        <f>(parametros_carros!$D$35*('Plan mensual'!N2+IF(parametros_carros!$H$35="Todos",'Plan mensual'!N6,0))+parametros_carros!$E$35*('Plan mensual'!N3+IF(parametros_carros!$H$35="Todos",'Plan mensual'!N7,0))+parametros_carros!$F$35*('Plan mensual'!N4+IF(parametros_carros!$H$35="Todos",'Plan mensual'!N8,0))+parametros_carros!$G$35*('Plan mensual'!N5+IF(parametros_carros!$H$35="Todos",'Plan mensual'!N9,0)))/60</f>
        <v>0.7600133333</v>
      </c>
      <c r="M18" s="9">
        <f>(parametros_carros!$D$35*('Plan mensual'!O2+IF(parametros_carros!$H$35="Todos",'Plan mensual'!O6,0))+parametros_carros!$E$35*('Plan mensual'!O3+IF(parametros_carros!$H$35="Todos",'Plan mensual'!O7,0))+parametros_carros!$F$35*('Plan mensual'!O4+IF(parametros_carros!$H$35="Todos",'Plan mensual'!O8,0))+parametros_carros!$G$35*('Plan mensual'!O5+IF(parametros_carros!$H$35="Todos",'Plan mensual'!O9,0)))/60</f>
        <v>0.8685866667</v>
      </c>
      <c r="N18" s="9">
        <f t="shared" si="1"/>
        <v>10.85733333</v>
      </c>
      <c r="O18" s="9">
        <f t="shared" si="2"/>
        <v>0.97716</v>
      </c>
      <c r="P18" s="32">
        <f>IF(parametros_carros!$B$7=0,0,(O18+parametros_carros!$G$61)/parametros_carros!$B$7)</f>
        <v>0.3767366222</v>
      </c>
      <c r="Q18" s="21" t="str">
        <f t="shared" si="3"/>
        <v>Mar</v>
      </c>
    </row>
    <row r="19" ht="14.25" customHeight="1">
      <c r="A19" s="2" t="str">
        <f>parametros_carros!$B$36</f>
        <v>Depósito de producto terminado y despacho</v>
      </c>
      <c r="B19" s="9">
        <f>(parametros_carros!$D$36*('Plan mensual'!D2+IF(parametros_carros!$H$36="Todos",'Plan mensual'!D6,0))+parametros_carros!$E$36*('Plan mensual'!D3+IF(parametros_carros!$H$36="Todos",'Plan mensual'!D7,0))+parametros_carros!$F$36*('Plan mensual'!D4+IF(parametros_carros!$H$36="Todos",'Plan mensual'!D8,0))+parametros_carros!$G$36*('Plan mensual'!D5+IF(parametros_carros!$H$36="Todos",'Plan mensual'!D9,0)))/60</f>
        <v>0.2618</v>
      </c>
      <c r="C19" s="9">
        <f>(parametros_carros!$D$36*('Plan mensual'!E2+IF(parametros_carros!$H$36="Todos",'Plan mensual'!E6,0))+parametros_carros!$E$36*('Plan mensual'!E3+IF(parametros_carros!$H$36="Todos",'Plan mensual'!E7,0))+parametros_carros!$F$36*('Plan mensual'!E4+IF(parametros_carros!$H$36="Todos",'Plan mensual'!E8,0))+parametros_carros!$G$36*('Plan mensual'!E5+IF(parametros_carros!$H$36="Todos",'Plan mensual'!E9,0)))/60</f>
        <v>0.231</v>
      </c>
      <c r="D19" s="9">
        <f>(parametros_carros!$D$36*('Plan mensual'!F2+IF(parametros_carros!$H$36="Todos",'Plan mensual'!F6,0))+parametros_carros!$E$36*('Plan mensual'!F3+IF(parametros_carros!$H$36="Todos",'Plan mensual'!F7,0))+parametros_carros!$F$36*('Plan mensual'!F4+IF(parametros_carros!$H$36="Todos",'Plan mensual'!F8,0))+parametros_carros!$G$36*('Plan mensual'!F5+IF(parametros_carros!$H$36="Todos",'Plan mensual'!F9,0)))/60</f>
        <v>0.2772</v>
      </c>
      <c r="E19" s="9">
        <f>(parametros_carros!$D$36*('Plan mensual'!G2+IF(parametros_carros!$H$36="Todos",'Plan mensual'!G6,0))+parametros_carros!$E$36*('Plan mensual'!G3+IF(parametros_carros!$H$36="Todos",'Plan mensual'!G7,0))+parametros_carros!$F$36*('Plan mensual'!G4+IF(parametros_carros!$H$36="Todos",'Plan mensual'!G8,0))+parametros_carros!$G$36*('Plan mensual'!G5+IF(parametros_carros!$H$36="Todos",'Plan mensual'!G9,0)))/60</f>
        <v>0.2772</v>
      </c>
      <c r="F19" s="9">
        <f>(parametros_carros!$D$36*('Plan mensual'!H2+IF(parametros_carros!$H$36="Todos",'Plan mensual'!H6,0))+parametros_carros!$E$36*('Plan mensual'!H3+IF(parametros_carros!$H$36="Todos",'Plan mensual'!H7,0))+parametros_carros!$F$36*('Plan mensual'!H4+IF(parametros_carros!$H$36="Todos",'Plan mensual'!H8,0))+parametros_carros!$G$36*('Plan mensual'!H5+IF(parametros_carros!$H$36="Todos",'Plan mensual'!H9,0)))/60</f>
        <v>0.2772</v>
      </c>
      <c r="G19" s="9">
        <f>(parametros_carros!$D$36*('Plan mensual'!I2+IF(parametros_carros!$H$36="Todos",'Plan mensual'!I6,0))+parametros_carros!$E$36*('Plan mensual'!I3+IF(parametros_carros!$H$36="Todos",'Plan mensual'!I7,0))+parametros_carros!$F$36*('Plan mensual'!I4+IF(parametros_carros!$H$36="Todos",'Plan mensual'!I8,0))+parametros_carros!$G$36*('Plan mensual'!I5+IF(parametros_carros!$H$36="Todos",'Plan mensual'!I9,0)))/60</f>
        <v>0.2464</v>
      </c>
      <c r="H19" s="9">
        <f>(parametros_carros!$D$36*('Plan mensual'!J2+IF(parametros_carros!$H$36="Todos",'Plan mensual'!J6,0))+parametros_carros!$E$36*('Plan mensual'!J3+IF(parametros_carros!$H$36="Todos",'Plan mensual'!J7,0))+parametros_carros!$F$36*('Plan mensual'!J4+IF(parametros_carros!$H$36="Todos",'Plan mensual'!J8,0))+parametros_carros!$G$36*('Plan mensual'!J5+IF(parametros_carros!$H$36="Todos",'Plan mensual'!J9,0)))/60</f>
        <v>0.2772</v>
      </c>
      <c r="I19" s="9">
        <f>(parametros_carros!$D$36*('Plan mensual'!K2+IF(parametros_carros!$H$36="Todos",'Plan mensual'!K6,0))+parametros_carros!$E$36*('Plan mensual'!K3+IF(parametros_carros!$H$36="Todos",'Plan mensual'!K7,0))+parametros_carros!$F$36*('Plan mensual'!K4+IF(parametros_carros!$H$36="Todos",'Plan mensual'!K8,0))+parametros_carros!$G$36*('Plan mensual'!K5+IF(parametros_carros!$H$36="Todos",'Plan mensual'!K9,0)))/60</f>
        <v>0.2772</v>
      </c>
      <c r="J19" s="9">
        <f>(parametros_carros!$D$36*('Plan mensual'!L2+IF(parametros_carros!$H$36="Todos",'Plan mensual'!L6,0))+parametros_carros!$E$36*('Plan mensual'!L3+IF(parametros_carros!$H$36="Todos",'Plan mensual'!L7,0))+parametros_carros!$F$36*('Plan mensual'!L4+IF(parametros_carros!$H$36="Todos",'Plan mensual'!L8,0))+parametros_carros!$G$36*('Plan mensual'!L5+IF(parametros_carros!$H$36="Todos",'Plan mensual'!L9,0)))/60</f>
        <v>0.2618</v>
      </c>
      <c r="K19" s="9">
        <f>(parametros_carros!$D$36*('Plan mensual'!M2+IF(parametros_carros!$H$36="Todos",'Plan mensual'!M6,0))+parametros_carros!$E$36*('Plan mensual'!M3+IF(parametros_carros!$H$36="Todos",'Plan mensual'!M7,0))+parametros_carros!$F$36*('Plan mensual'!M4+IF(parametros_carros!$H$36="Todos",'Plan mensual'!M8,0))+parametros_carros!$G$36*('Plan mensual'!M5+IF(parametros_carros!$H$36="Todos",'Plan mensual'!M9,0)))/60</f>
        <v>0.231</v>
      </c>
      <c r="L19" s="9">
        <f>(parametros_carros!$D$36*('Plan mensual'!N2+IF(parametros_carros!$H$36="Todos",'Plan mensual'!N6,0))+parametros_carros!$E$36*('Plan mensual'!N3+IF(parametros_carros!$H$36="Todos",'Plan mensual'!N7,0))+parametros_carros!$F$36*('Plan mensual'!N4+IF(parametros_carros!$H$36="Todos",'Plan mensual'!N8,0))+parametros_carros!$G$36*('Plan mensual'!N5+IF(parametros_carros!$H$36="Todos",'Plan mensual'!N9,0)))/60</f>
        <v>0.2156</v>
      </c>
      <c r="M19" s="9">
        <f>(parametros_carros!$D$36*('Plan mensual'!O2+IF(parametros_carros!$H$36="Todos",'Plan mensual'!O6,0))+parametros_carros!$E$36*('Plan mensual'!O3+IF(parametros_carros!$H$36="Todos",'Plan mensual'!O7,0))+parametros_carros!$F$36*('Plan mensual'!O4+IF(parametros_carros!$H$36="Todos",'Plan mensual'!O8,0))+parametros_carros!$G$36*('Plan mensual'!O5+IF(parametros_carros!$H$36="Todos",'Plan mensual'!O9,0)))/60</f>
        <v>0.2464</v>
      </c>
      <c r="N19" s="9">
        <f t="shared" si="1"/>
        <v>3.08</v>
      </c>
      <c r="O19" s="9">
        <f t="shared" si="2"/>
        <v>0.2772</v>
      </c>
      <c r="P19" s="32">
        <f>IF(parametros_carros!$B$7=0,0,(O19+parametros_carros!$G$62)/parametros_carros!$B$7)</f>
        <v>0.02407022222</v>
      </c>
      <c r="Q19" s="21" t="str">
        <f t="shared" si="3"/>
        <v>Mar</v>
      </c>
    </row>
    <row r="20" ht="14.25" customHeight="1"/>
    <row r="21" ht="45.0" customHeight="1">
      <c r="A21" s="1" t="s">
        <v>453</v>
      </c>
      <c r="B21" s="1" t="s">
        <v>8</v>
      </c>
      <c r="C21" s="1" t="s">
        <v>9</v>
      </c>
      <c r="D21" s="1" t="s">
        <v>11</v>
      </c>
      <c r="E21" s="1" t="s">
        <v>13</v>
      </c>
      <c r="F21" s="1" t="s">
        <v>14</v>
      </c>
      <c r="G21" s="1" t="s">
        <v>15</v>
      </c>
      <c r="H21" s="1" t="s">
        <v>16</v>
      </c>
      <c r="I21" s="1" t="s">
        <v>18</v>
      </c>
      <c r="J21" s="1" t="s">
        <v>19</v>
      </c>
      <c r="K21" s="1" t="s">
        <v>20</v>
      </c>
      <c r="L21" s="1" t="s">
        <v>21</v>
      </c>
      <c r="M21" s="1" t="s">
        <v>22</v>
      </c>
      <c r="N21" s="1" t="s">
        <v>32</v>
      </c>
      <c r="O21" s="1" t="s">
        <v>33</v>
      </c>
      <c r="P21" s="1" t="s">
        <v>34</v>
      </c>
      <c r="Q21" s="1" t="s">
        <v>36</v>
      </c>
    </row>
    <row r="22" ht="14.25" customHeight="1">
      <c r="A22" s="2" t="str">
        <f>parametros_carros!$B$19</f>
        <v>Recepción de materia prima</v>
      </c>
      <c r="B22" s="9">
        <f>(parametros_carros!$D$19*('Plan mensual'!D13+IF(parametros_carros!$H$19="Todos",'Plan mensual'!D17,0))+parametros_carros!$E$19*('Plan mensual'!D14+IF(parametros_carros!$H$19="Todos",'Plan mensual'!D18,0))+parametros_carros!$F$19*('Plan mensual'!D15+IF(parametros_carros!$H$19="Todos",'Plan mensual'!D19,0))+parametros_carros!$G$19*('Plan mensual'!D16+IF(parametros_carros!$H$19="Todos",'Plan mensual'!D20,0)))/60</f>
        <v>0.5883735417</v>
      </c>
      <c r="C22" s="9">
        <f>(parametros_carros!$D$19*('Plan mensual'!E13+IF(parametros_carros!$H$19="Todos",'Plan mensual'!E17,0))+parametros_carros!$E$19*('Plan mensual'!E14+IF(parametros_carros!$H$19="Todos",'Plan mensual'!E18,0))+parametros_carros!$F$19*('Plan mensual'!E15+IF(parametros_carros!$H$19="Todos",'Plan mensual'!E19,0))+parametros_carros!$G$19*('Plan mensual'!E16+IF(parametros_carros!$H$19="Todos",'Plan mensual'!E20,0)))/60</f>
        <v>0.519153125</v>
      </c>
      <c r="D22" s="9">
        <f>(parametros_carros!$D$19*('Plan mensual'!F13+IF(parametros_carros!$H$19="Todos",'Plan mensual'!F17,0))+parametros_carros!$E$19*('Plan mensual'!F14+IF(parametros_carros!$H$19="Todos",'Plan mensual'!F18,0))+parametros_carros!$F$19*('Plan mensual'!F15+IF(parametros_carros!$H$19="Todos",'Plan mensual'!F19,0))+parametros_carros!$G$19*('Plan mensual'!F16+IF(parametros_carros!$H$19="Todos",'Plan mensual'!F20,0)))/60</f>
        <v>0.62298375</v>
      </c>
      <c r="E22" s="9">
        <f>(parametros_carros!$D$19*('Plan mensual'!G13+IF(parametros_carros!$H$19="Todos",'Plan mensual'!G17,0))+parametros_carros!$E$19*('Plan mensual'!G14+IF(parametros_carros!$H$19="Todos",'Plan mensual'!G18,0))+parametros_carros!$F$19*('Plan mensual'!G15+IF(parametros_carros!$H$19="Todos",'Plan mensual'!G19,0))+parametros_carros!$G$19*('Plan mensual'!G16+IF(parametros_carros!$H$19="Todos",'Plan mensual'!G20,0)))/60</f>
        <v>0.62298375</v>
      </c>
      <c r="F22" s="9">
        <f>(parametros_carros!$D$19*('Plan mensual'!H13+IF(parametros_carros!$H$19="Todos",'Plan mensual'!H17,0))+parametros_carros!$E$19*('Plan mensual'!H14+IF(parametros_carros!$H$19="Todos",'Plan mensual'!H18,0))+parametros_carros!$F$19*('Plan mensual'!H15+IF(parametros_carros!$H$19="Todos",'Plan mensual'!H19,0))+parametros_carros!$G$19*('Plan mensual'!H16+IF(parametros_carros!$H$19="Todos",'Plan mensual'!H20,0)))/60</f>
        <v>0.62298375</v>
      </c>
      <c r="G22" s="9">
        <f>(parametros_carros!$D$19*('Plan mensual'!I13+IF(parametros_carros!$H$19="Todos",'Plan mensual'!I17,0))+parametros_carros!$E$19*('Plan mensual'!I14+IF(parametros_carros!$H$19="Todos",'Plan mensual'!I18,0))+parametros_carros!$F$19*('Plan mensual'!I15+IF(parametros_carros!$H$19="Todos",'Plan mensual'!I19,0))+parametros_carros!$G$19*('Plan mensual'!I16+IF(parametros_carros!$H$19="Todos",'Plan mensual'!I20,0)))/60</f>
        <v>0.5537633333</v>
      </c>
      <c r="H22" s="9">
        <f>(parametros_carros!$D$19*('Plan mensual'!J13+IF(parametros_carros!$H$19="Todos",'Plan mensual'!J17,0))+parametros_carros!$E$19*('Plan mensual'!J14+IF(parametros_carros!$H$19="Todos",'Plan mensual'!J18,0))+parametros_carros!$F$19*('Plan mensual'!J15+IF(parametros_carros!$H$19="Todos",'Plan mensual'!J19,0))+parametros_carros!$G$19*('Plan mensual'!J16+IF(parametros_carros!$H$19="Todos",'Plan mensual'!J20,0)))/60</f>
        <v>0.62298375</v>
      </c>
      <c r="I22" s="9">
        <f>(parametros_carros!$D$19*('Plan mensual'!K13+IF(parametros_carros!$H$19="Todos",'Plan mensual'!K17,0))+parametros_carros!$E$19*('Plan mensual'!K14+IF(parametros_carros!$H$19="Todos",'Plan mensual'!K18,0))+parametros_carros!$F$19*('Plan mensual'!K15+IF(parametros_carros!$H$19="Todos",'Plan mensual'!K19,0))+parametros_carros!$G$19*('Plan mensual'!K16+IF(parametros_carros!$H$19="Todos",'Plan mensual'!K20,0)))/60</f>
        <v>0.62298375</v>
      </c>
      <c r="J22" s="9">
        <f>(parametros_carros!$D$19*('Plan mensual'!L13+IF(parametros_carros!$H$19="Todos",'Plan mensual'!L17,0))+parametros_carros!$E$19*('Plan mensual'!L14+IF(parametros_carros!$H$19="Todos",'Plan mensual'!L18,0))+parametros_carros!$F$19*('Plan mensual'!L15+IF(parametros_carros!$H$19="Todos",'Plan mensual'!L19,0))+parametros_carros!$G$19*('Plan mensual'!L16+IF(parametros_carros!$H$19="Todos",'Plan mensual'!L20,0)))/60</f>
        <v>0.5883735417</v>
      </c>
      <c r="K22" s="9">
        <f>(parametros_carros!$D$19*('Plan mensual'!M13+IF(parametros_carros!$H$19="Todos",'Plan mensual'!M17,0))+parametros_carros!$E$19*('Plan mensual'!M14+IF(parametros_carros!$H$19="Todos",'Plan mensual'!M18,0))+parametros_carros!$F$19*('Plan mensual'!M15+IF(parametros_carros!$H$19="Todos",'Plan mensual'!M19,0))+parametros_carros!$G$19*('Plan mensual'!M16+IF(parametros_carros!$H$19="Todos",'Plan mensual'!M20,0)))/60</f>
        <v>0.519153125</v>
      </c>
      <c r="L22" s="9">
        <f>(parametros_carros!$D$19*('Plan mensual'!N13+IF(parametros_carros!$H$19="Todos",'Plan mensual'!N17,0))+parametros_carros!$E$19*('Plan mensual'!N14+IF(parametros_carros!$H$19="Todos",'Plan mensual'!N18,0))+parametros_carros!$F$19*('Plan mensual'!N15+IF(parametros_carros!$H$19="Todos",'Plan mensual'!N19,0))+parametros_carros!$G$19*('Plan mensual'!N16+IF(parametros_carros!$H$19="Todos",'Plan mensual'!N20,0)))/60</f>
        <v>0.4845429167</v>
      </c>
      <c r="M22" s="9">
        <f>(parametros_carros!$D$19*('Plan mensual'!O13+IF(parametros_carros!$H$19="Todos",'Plan mensual'!O17,0))+parametros_carros!$E$19*('Plan mensual'!O14+IF(parametros_carros!$H$19="Todos",'Plan mensual'!O18,0))+parametros_carros!$F$19*('Plan mensual'!O15+IF(parametros_carros!$H$19="Todos",'Plan mensual'!O19,0))+parametros_carros!$G$19*('Plan mensual'!O16+IF(parametros_carros!$H$19="Todos",'Plan mensual'!O20,0)))/60</f>
        <v>0.5537633333</v>
      </c>
      <c r="N22" s="9">
        <f t="shared" ref="N22:N39" si="4">SUM(B22:M22)</f>
        <v>6.922041667</v>
      </c>
      <c r="O22" s="9">
        <f t="shared" ref="O22:O39" si="5">MAX(B22:M22)</f>
        <v>0.62298375</v>
      </c>
      <c r="P22" s="32">
        <f>IF(parametros_carros!$B$7=0,0,(O22+parametros_carros!$G$45)/parametros_carros!$B$7)</f>
        <v>0.05226433611</v>
      </c>
      <c r="Q22" s="21" t="str">
        <f t="shared" ref="Q22:Q39" si="6">IF(O22=0,"-",INDEX($B$21:$M$21,MATCH(O22,B22:M22,0)))</f>
        <v>Mar</v>
      </c>
    </row>
    <row r="23" ht="14.25" customHeight="1">
      <c r="A23" s="2" t="str">
        <f>parametros_carros!$B$20</f>
        <v>Corte de chapa (guillotina)</v>
      </c>
      <c r="B23" s="9">
        <f>(parametros_carros!$D$20*('Plan mensual'!D13+IF(parametros_carros!$H$20="Todos",'Plan mensual'!D17,0))+parametros_carros!$E$20*('Plan mensual'!D14+IF(parametros_carros!$H$20="Todos",'Plan mensual'!D18,0))+parametros_carros!$F$20*('Plan mensual'!D15+IF(parametros_carros!$H$20="Todos",'Plan mensual'!D19,0))+parametros_carros!$G$20*('Plan mensual'!D16+IF(parametros_carros!$H$20="Todos",'Plan mensual'!D20,0)))/60</f>
        <v>1.295579136</v>
      </c>
      <c r="C23" s="9">
        <f>(parametros_carros!$D$20*('Plan mensual'!E13+IF(parametros_carros!$H$20="Todos",'Plan mensual'!E17,0))+parametros_carros!$E$20*('Plan mensual'!E14+IF(parametros_carros!$H$20="Todos",'Plan mensual'!E18,0))+parametros_carros!$F$20*('Plan mensual'!E15+IF(parametros_carros!$H$20="Todos",'Plan mensual'!E19,0))+parametros_carros!$G$20*('Plan mensual'!E16+IF(parametros_carros!$H$20="Todos",'Plan mensual'!E20,0)))/60</f>
        <v>1.143158062</v>
      </c>
      <c r="D23" s="9">
        <f>(parametros_carros!$D$20*('Plan mensual'!F13+IF(parametros_carros!$H$20="Todos",'Plan mensual'!F17,0))+parametros_carros!$E$20*('Plan mensual'!F14+IF(parametros_carros!$H$20="Todos",'Plan mensual'!F18,0))+parametros_carros!$F$20*('Plan mensual'!F15+IF(parametros_carros!$H$20="Todos",'Plan mensual'!F19,0))+parametros_carros!$G$20*('Plan mensual'!F16+IF(parametros_carros!$H$20="Todos",'Plan mensual'!F20,0)))/60</f>
        <v>1.371789674</v>
      </c>
      <c r="E23" s="9">
        <f>(parametros_carros!$D$20*('Plan mensual'!G13+IF(parametros_carros!$H$20="Todos",'Plan mensual'!G17,0))+parametros_carros!$E$20*('Plan mensual'!G14+IF(parametros_carros!$H$20="Todos",'Plan mensual'!G18,0))+parametros_carros!$F$20*('Plan mensual'!G15+IF(parametros_carros!$H$20="Todos",'Plan mensual'!G19,0))+parametros_carros!$G$20*('Plan mensual'!G16+IF(parametros_carros!$H$20="Todos",'Plan mensual'!G20,0)))/60</f>
        <v>1.371789674</v>
      </c>
      <c r="F23" s="9">
        <f>(parametros_carros!$D$20*('Plan mensual'!H13+IF(parametros_carros!$H$20="Todos",'Plan mensual'!H17,0))+parametros_carros!$E$20*('Plan mensual'!H14+IF(parametros_carros!$H$20="Todos",'Plan mensual'!H18,0))+parametros_carros!$F$20*('Plan mensual'!H15+IF(parametros_carros!$H$20="Todos",'Plan mensual'!H19,0))+parametros_carros!$G$20*('Plan mensual'!H16+IF(parametros_carros!$H$20="Todos",'Plan mensual'!H20,0)))/60</f>
        <v>1.371789674</v>
      </c>
      <c r="G23" s="9">
        <f>(parametros_carros!$D$20*('Plan mensual'!I13+IF(parametros_carros!$H$20="Todos",'Plan mensual'!I17,0))+parametros_carros!$E$20*('Plan mensual'!I14+IF(parametros_carros!$H$20="Todos",'Plan mensual'!I18,0))+parametros_carros!$F$20*('Plan mensual'!I15+IF(parametros_carros!$H$20="Todos",'Plan mensual'!I19,0))+parametros_carros!$G$20*('Plan mensual'!I16+IF(parametros_carros!$H$20="Todos",'Plan mensual'!I20,0)))/60</f>
        <v>1.219368599</v>
      </c>
      <c r="H23" s="9">
        <f>(parametros_carros!$D$20*('Plan mensual'!J13+IF(parametros_carros!$H$20="Todos",'Plan mensual'!J17,0))+parametros_carros!$E$20*('Plan mensual'!J14+IF(parametros_carros!$H$20="Todos",'Plan mensual'!J18,0))+parametros_carros!$F$20*('Plan mensual'!J15+IF(parametros_carros!$H$20="Todos",'Plan mensual'!J19,0))+parametros_carros!$G$20*('Plan mensual'!J16+IF(parametros_carros!$H$20="Todos",'Plan mensual'!J20,0)))/60</f>
        <v>1.371789674</v>
      </c>
      <c r="I23" s="9">
        <f>(parametros_carros!$D$20*('Plan mensual'!K13+IF(parametros_carros!$H$20="Todos",'Plan mensual'!K17,0))+parametros_carros!$E$20*('Plan mensual'!K14+IF(parametros_carros!$H$20="Todos",'Plan mensual'!K18,0))+parametros_carros!$F$20*('Plan mensual'!K15+IF(parametros_carros!$H$20="Todos",'Plan mensual'!K19,0))+parametros_carros!$G$20*('Plan mensual'!K16+IF(parametros_carros!$H$20="Todos",'Plan mensual'!K20,0)))/60</f>
        <v>1.371789674</v>
      </c>
      <c r="J23" s="9">
        <f>(parametros_carros!$D$20*('Plan mensual'!L13+IF(parametros_carros!$H$20="Todos",'Plan mensual'!L17,0))+parametros_carros!$E$20*('Plan mensual'!L14+IF(parametros_carros!$H$20="Todos",'Plan mensual'!L18,0))+parametros_carros!$F$20*('Plan mensual'!L15+IF(parametros_carros!$H$20="Todos",'Plan mensual'!L19,0))+parametros_carros!$G$20*('Plan mensual'!L16+IF(parametros_carros!$H$20="Todos",'Plan mensual'!L20,0)))/60</f>
        <v>1.295579136</v>
      </c>
      <c r="K23" s="9">
        <f>(parametros_carros!$D$20*('Plan mensual'!M13+IF(parametros_carros!$H$20="Todos",'Plan mensual'!M17,0))+parametros_carros!$E$20*('Plan mensual'!M14+IF(parametros_carros!$H$20="Todos",'Plan mensual'!M18,0))+parametros_carros!$F$20*('Plan mensual'!M15+IF(parametros_carros!$H$20="Todos",'Plan mensual'!M19,0))+parametros_carros!$G$20*('Plan mensual'!M16+IF(parametros_carros!$H$20="Todos",'Plan mensual'!M20,0)))/60</f>
        <v>1.143158062</v>
      </c>
      <c r="L23" s="9">
        <f>(parametros_carros!$D$20*('Plan mensual'!N13+IF(parametros_carros!$H$20="Todos",'Plan mensual'!N17,0))+parametros_carros!$E$20*('Plan mensual'!N14+IF(parametros_carros!$H$20="Todos",'Plan mensual'!N18,0))+parametros_carros!$F$20*('Plan mensual'!N15+IF(parametros_carros!$H$20="Todos",'Plan mensual'!N19,0))+parametros_carros!$G$20*('Plan mensual'!N16+IF(parametros_carros!$H$20="Todos",'Plan mensual'!N20,0)))/60</f>
        <v>1.066947524</v>
      </c>
      <c r="M23" s="9">
        <f>(parametros_carros!$D$20*('Plan mensual'!O13+IF(parametros_carros!$H$20="Todos",'Plan mensual'!O17,0))+parametros_carros!$E$20*('Plan mensual'!O14+IF(parametros_carros!$H$20="Todos",'Plan mensual'!O18,0))+parametros_carros!$F$20*('Plan mensual'!O15+IF(parametros_carros!$H$20="Todos",'Plan mensual'!O19,0))+parametros_carros!$G$20*('Plan mensual'!O16+IF(parametros_carros!$H$20="Todos",'Plan mensual'!O20,0)))/60</f>
        <v>1.219368599</v>
      </c>
      <c r="N23" s="9">
        <f t="shared" si="4"/>
        <v>15.24210749</v>
      </c>
      <c r="O23" s="9">
        <f t="shared" si="5"/>
        <v>1.371789674</v>
      </c>
      <c r="P23" s="32">
        <f>IF(parametros_carros!$B$7=0,0,(O23+parametros_carros!$G$46)/parametros_carros!$B$7)</f>
        <v>0.07136748671</v>
      </c>
      <c r="Q23" s="21" t="str">
        <f t="shared" si="6"/>
        <v>Mar</v>
      </c>
    </row>
    <row r="24" ht="14.25" customHeight="1">
      <c r="A24" s="2" t="str">
        <f>parametros_carros!$B$21</f>
        <v>Marcado del cuerpo</v>
      </c>
      <c r="B24" s="9">
        <f>(parametros_carros!$D$21*('Plan mensual'!D13+IF(parametros_carros!$H$21="Todos",'Plan mensual'!D17,0))+parametros_carros!$E$21*('Plan mensual'!D14+IF(parametros_carros!$H$21="Todos",'Plan mensual'!D18,0))+parametros_carros!$F$21*('Plan mensual'!D15+IF(parametros_carros!$H$21="Todos",'Plan mensual'!D19,0))+parametros_carros!$G$21*('Plan mensual'!D16+IF(parametros_carros!$H$21="Todos",'Plan mensual'!D20,0)))/60</f>
        <v>0.5151</v>
      </c>
      <c r="C24" s="9">
        <f>(parametros_carros!$D$21*('Plan mensual'!E13+IF(parametros_carros!$H$21="Todos",'Plan mensual'!E17,0))+parametros_carros!$E$21*('Plan mensual'!E14+IF(parametros_carros!$H$21="Todos",'Plan mensual'!E18,0))+parametros_carros!$F$21*('Plan mensual'!E15+IF(parametros_carros!$H$21="Todos",'Plan mensual'!E19,0))+parametros_carros!$G$21*('Plan mensual'!E16+IF(parametros_carros!$H$21="Todos",'Plan mensual'!E20,0)))/60</f>
        <v>0.4545</v>
      </c>
      <c r="D24" s="9">
        <f>(parametros_carros!$D$21*('Plan mensual'!F13+IF(parametros_carros!$H$21="Todos",'Plan mensual'!F17,0))+parametros_carros!$E$21*('Plan mensual'!F14+IF(parametros_carros!$H$21="Todos",'Plan mensual'!F18,0))+parametros_carros!$F$21*('Plan mensual'!F15+IF(parametros_carros!$H$21="Todos",'Plan mensual'!F19,0))+parametros_carros!$G$21*('Plan mensual'!F16+IF(parametros_carros!$H$21="Todos",'Plan mensual'!F20,0)))/60</f>
        <v>0.5454</v>
      </c>
      <c r="E24" s="9">
        <f>(parametros_carros!$D$21*('Plan mensual'!G13+IF(parametros_carros!$H$21="Todos",'Plan mensual'!G17,0))+parametros_carros!$E$21*('Plan mensual'!G14+IF(parametros_carros!$H$21="Todos",'Plan mensual'!G18,0))+parametros_carros!$F$21*('Plan mensual'!G15+IF(parametros_carros!$H$21="Todos",'Plan mensual'!G19,0))+parametros_carros!$G$21*('Plan mensual'!G16+IF(parametros_carros!$H$21="Todos",'Plan mensual'!G20,0)))/60</f>
        <v>0.5454</v>
      </c>
      <c r="F24" s="9">
        <f>(parametros_carros!$D$21*('Plan mensual'!H13+IF(parametros_carros!$H$21="Todos",'Plan mensual'!H17,0))+parametros_carros!$E$21*('Plan mensual'!H14+IF(parametros_carros!$H$21="Todos",'Plan mensual'!H18,0))+parametros_carros!$F$21*('Plan mensual'!H15+IF(parametros_carros!$H$21="Todos",'Plan mensual'!H19,0))+parametros_carros!$G$21*('Plan mensual'!H16+IF(parametros_carros!$H$21="Todos",'Plan mensual'!H20,0)))/60</f>
        <v>0.5454</v>
      </c>
      <c r="G24" s="9">
        <f>(parametros_carros!$D$21*('Plan mensual'!I13+IF(parametros_carros!$H$21="Todos",'Plan mensual'!I17,0))+parametros_carros!$E$21*('Plan mensual'!I14+IF(parametros_carros!$H$21="Todos",'Plan mensual'!I18,0))+parametros_carros!$F$21*('Plan mensual'!I15+IF(parametros_carros!$H$21="Todos",'Plan mensual'!I19,0))+parametros_carros!$G$21*('Plan mensual'!I16+IF(parametros_carros!$H$21="Todos",'Plan mensual'!I20,0)))/60</f>
        <v>0.4848</v>
      </c>
      <c r="H24" s="9">
        <f>(parametros_carros!$D$21*('Plan mensual'!J13+IF(parametros_carros!$H$21="Todos",'Plan mensual'!J17,0))+parametros_carros!$E$21*('Plan mensual'!J14+IF(parametros_carros!$H$21="Todos",'Plan mensual'!J18,0))+parametros_carros!$F$21*('Plan mensual'!J15+IF(parametros_carros!$H$21="Todos",'Plan mensual'!J19,0))+parametros_carros!$G$21*('Plan mensual'!J16+IF(parametros_carros!$H$21="Todos",'Plan mensual'!J20,0)))/60</f>
        <v>0.5454</v>
      </c>
      <c r="I24" s="9">
        <f>(parametros_carros!$D$21*('Plan mensual'!K13+IF(parametros_carros!$H$21="Todos",'Plan mensual'!K17,0))+parametros_carros!$E$21*('Plan mensual'!K14+IF(parametros_carros!$H$21="Todos",'Plan mensual'!K18,0))+parametros_carros!$F$21*('Plan mensual'!K15+IF(parametros_carros!$H$21="Todos",'Plan mensual'!K19,0))+parametros_carros!$G$21*('Plan mensual'!K16+IF(parametros_carros!$H$21="Todos",'Plan mensual'!K20,0)))/60</f>
        <v>0.5454</v>
      </c>
      <c r="J24" s="9">
        <f>(parametros_carros!$D$21*('Plan mensual'!L13+IF(parametros_carros!$H$21="Todos",'Plan mensual'!L17,0))+parametros_carros!$E$21*('Plan mensual'!L14+IF(parametros_carros!$H$21="Todos",'Plan mensual'!L18,0))+parametros_carros!$F$21*('Plan mensual'!L15+IF(parametros_carros!$H$21="Todos",'Plan mensual'!L19,0))+parametros_carros!$G$21*('Plan mensual'!L16+IF(parametros_carros!$H$21="Todos",'Plan mensual'!L20,0)))/60</f>
        <v>0.5151</v>
      </c>
      <c r="K24" s="9">
        <f>(parametros_carros!$D$21*('Plan mensual'!M13+IF(parametros_carros!$H$21="Todos",'Plan mensual'!M17,0))+parametros_carros!$E$21*('Plan mensual'!M14+IF(parametros_carros!$H$21="Todos",'Plan mensual'!M18,0))+parametros_carros!$F$21*('Plan mensual'!M15+IF(parametros_carros!$H$21="Todos",'Plan mensual'!M19,0))+parametros_carros!$G$21*('Plan mensual'!M16+IF(parametros_carros!$H$21="Todos",'Plan mensual'!M20,0)))/60</f>
        <v>0.4545</v>
      </c>
      <c r="L24" s="9">
        <f>(parametros_carros!$D$21*('Plan mensual'!N13+IF(parametros_carros!$H$21="Todos",'Plan mensual'!N17,0))+parametros_carros!$E$21*('Plan mensual'!N14+IF(parametros_carros!$H$21="Todos",'Plan mensual'!N18,0))+parametros_carros!$F$21*('Plan mensual'!N15+IF(parametros_carros!$H$21="Todos",'Plan mensual'!N19,0))+parametros_carros!$G$21*('Plan mensual'!N16+IF(parametros_carros!$H$21="Todos",'Plan mensual'!N20,0)))/60</f>
        <v>0.4242</v>
      </c>
      <c r="M24" s="9">
        <f>(parametros_carros!$D$21*('Plan mensual'!O13+IF(parametros_carros!$H$21="Todos",'Plan mensual'!O17,0))+parametros_carros!$E$21*('Plan mensual'!O14+IF(parametros_carros!$H$21="Todos",'Plan mensual'!O18,0))+parametros_carros!$F$21*('Plan mensual'!O15+IF(parametros_carros!$H$21="Todos",'Plan mensual'!O19,0))+parametros_carros!$G$21*('Plan mensual'!O16+IF(parametros_carros!$H$21="Todos",'Plan mensual'!O20,0)))/60</f>
        <v>0.4848</v>
      </c>
      <c r="N24" s="9">
        <f t="shared" si="4"/>
        <v>6.06</v>
      </c>
      <c r="O24" s="9">
        <f t="shared" si="5"/>
        <v>0.5454</v>
      </c>
      <c r="P24" s="32">
        <f>IF(parametros_carros!$B$7=0,0,(O24+parametros_carros!$G$47)/parametros_carros!$B$7)</f>
        <v>0.01585822222</v>
      </c>
      <c r="Q24" s="21" t="str">
        <f t="shared" si="6"/>
        <v>Mar</v>
      </c>
    </row>
    <row r="25" ht="14.25" customHeight="1">
      <c r="A25" s="2" t="str">
        <f>parametros_carros!$B$22</f>
        <v>Cilindrado</v>
      </c>
      <c r="B25" s="9">
        <f>(parametros_carros!$D$22*('Plan mensual'!D13+IF(parametros_carros!$H$22="Todos",'Plan mensual'!D17,0))+parametros_carros!$E$22*('Plan mensual'!D14+IF(parametros_carros!$H$22="Todos",'Plan mensual'!D18,0))+parametros_carros!$F$22*('Plan mensual'!D15+IF(parametros_carros!$H$22="Todos",'Plan mensual'!D19,0))+parametros_carros!$G$22*('Plan mensual'!D16+IF(parametros_carros!$H$22="Todos",'Plan mensual'!D20,0)))/60</f>
        <v>1.103219928</v>
      </c>
      <c r="C25" s="9">
        <f>(parametros_carros!$D$22*('Plan mensual'!E13+IF(parametros_carros!$H$22="Todos",'Plan mensual'!E17,0))+parametros_carros!$E$22*('Plan mensual'!E14+IF(parametros_carros!$H$22="Todos",'Plan mensual'!E18,0))+parametros_carros!$F$22*('Plan mensual'!E15+IF(parametros_carros!$H$22="Todos",'Plan mensual'!E19,0))+parametros_carros!$G$22*('Plan mensual'!E16+IF(parametros_carros!$H$22="Todos",'Plan mensual'!E20,0)))/60</f>
        <v>0.9734293478</v>
      </c>
      <c r="D25" s="9">
        <f>(parametros_carros!$D$22*('Plan mensual'!F13+IF(parametros_carros!$H$22="Todos",'Plan mensual'!F17,0))+parametros_carros!$E$22*('Plan mensual'!F14+IF(parametros_carros!$H$22="Todos",'Plan mensual'!F18,0))+parametros_carros!$F$22*('Plan mensual'!F15+IF(parametros_carros!$H$22="Todos",'Plan mensual'!F19,0))+parametros_carros!$G$22*('Plan mensual'!F16+IF(parametros_carros!$H$22="Todos",'Plan mensual'!F20,0)))/60</f>
        <v>1.168115217</v>
      </c>
      <c r="E25" s="9">
        <f>(parametros_carros!$D$22*('Plan mensual'!G13+IF(parametros_carros!$H$22="Todos",'Plan mensual'!G17,0))+parametros_carros!$E$22*('Plan mensual'!G14+IF(parametros_carros!$H$22="Todos",'Plan mensual'!G18,0))+parametros_carros!$F$22*('Plan mensual'!G15+IF(parametros_carros!$H$22="Todos",'Plan mensual'!G19,0))+parametros_carros!$G$22*('Plan mensual'!G16+IF(parametros_carros!$H$22="Todos",'Plan mensual'!G20,0)))/60</f>
        <v>1.168115217</v>
      </c>
      <c r="F25" s="9">
        <f>(parametros_carros!$D$22*('Plan mensual'!H13+IF(parametros_carros!$H$22="Todos",'Plan mensual'!H17,0))+parametros_carros!$E$22*('Plan mensual'!H14+IF(parametros_carros!$H$22="Todos",'Plan mensual'!H18,0))+parametros_carros!$F$22*('Plan mensual'!H15+IF(parametros_carros!$H$22="Todos",'Plan mensual'!H19,0))+parametros_carros!$G$22*('Plan mensual'!H16+IF(parametros_carros!$H$22="Todos",'Plan mensual'!H20,0)))/60</f>
        <v>1.168115217</v>
      </c>
      <c r="G25" s="9">
        <f>(parametros_carros!$D$22*('Plan mensual'!I13+IF(parametros_carros!$H$22="Todos",'Plan mensual'!I17,0))+parametros_carros!$E$22*('Plan mensual'!I14+IF(parametros_carros!$H$22="Todos",'Plan mensual'!I18,0))+parametros_carros!$F$22*('Plan mensual'!I15+IF(parametros_carros!$H$22="Todos",'Plan mensual'!I19,0))+parametros_carros!$G$22*('Plan mensual'!I16+IF(parametros_carros!$H$22="Todos",'Plan mensual'!I20,0)))/60</f>
        <v>1.038324638</v>
      </c>
      <c r="H25" s="9">
        <f>(parametros_carros!$D$22*('Plan mensual'!J13+IF(parametros_carros!$H$22="Todos",'Plan mensual'!J17,0))+parametros_carros!$E$22*('Plan mensual'!J14+IF(parametros_carros!$H$22="Todos",'Plan mensual'!J18,0))+parametros_carros!$F$22*('Plan mensual'!J15+IF(parametros_carros!$H$22="Todos",'Plan mensual'!J19,0))+parametros_carros!$G$22*('Plan mensual'!J16+IF(parametros_carros!$H$22="Todos",'Plan mensual'!J20,0)))/60</f>
        <v>1.168115217</v>
      </c>
      <c r="I25" s="9">
        <f>(parametros_carros!$D$22*('Plan mensual'!K13+IF(parametros_carros!$H$22="Todos",'Plan mensual'!K17,0))+parametros_carros!$E$22*('Plan mensual'!K14+IF(parametros_carros!$H$22="Todos",'Plan mensual'!K18,0))+parametros_carros!$F$22*('Plan mensual'!K15+IF(parametros_carros!$H$22="Todos",'Plan mensual'!K19,0))+parametros_carros!$G$22*('Plan mensual'!K16+IF(parametros_carros!$H$22="Todos",'Plan mensual'!K20,0)))/60</f>
        <v>1.168115217</v>
      </c>
      <c r="J25" s="9">
        <f>(parametros_carros!$D$22*('Plan mensual'!L13+IF(parametros_carros!$H$22="Todos",'Plan mensual'!L17,0))+parametros_carros!$E$22*('Plan mensual'!L14+IF(parametros_carros!$H$22="Todos",'Plan mensual'!L18,0))+parametros_carros!$F$22*('Plan mensual'!L15+IF(parametros_carros!$H$22="Todos",'Plan mensual'!L19,0))+parametros_carros!$G$22*('Plan mensual'!L16+IF(parametros_carros!$H$22="Todos",'Plan mensual'!L20,0)))/60</f>
        <v>1.103219928</v>
      </c>
      <c r="K25" s="9">
        <f>(parametros_carros!$D$22*('Plan mensual'!M13+IF(parametros_carros!$H$22="Todos",'Plan mensual'!M17,0))+parametros_carros!$E$22*('Plan mensual'!M14+IF(parametros_carros!$H$22="Todos",'Plan mensual'!M18,0))+parametros_carros!$F$22*('Plan mensual'!M15+IF(parametros_carros!$H$22="Todos",'Plan mensual'!M19,0))+parametros_carros!$G$22*('Plan mensual'!M16+IF(parametros_carros!$H$22="Todos",'Plan mensual'!M20,0)))/60</f>
        <v>0.9734293478</v>
      </c>
      <c r="L25" s="9">
        <f>(parametros_carros!$D$22*('Plan mensual'!N13+IF(parametros_carros!$H$22="Todos",'Plan mensual'!N17,0))+parametros_carros!$E$22*('Plan mensual'!N14+IF(parametros_carros!$H$22="Todos",'Plan mensual'!N18,0))+parametros_carros!$F$22*('Plan mensual'!N15+IF(parametros_carros!$H$22="Todos",'Plan mensual'!N19,0))+parametros_carros!$G$22*('Plan mensual'!N16+IF(parametros_carros!$H$22="Todos",'Plan mensual'!N20,0)))/60</f>
        <v>0.908534058</v>
      </c>
      <c r="M25" s="9">
        <f>(parametros_carros!$D$22*('Plan mensual'!O13+IF(parametros_carros!$H$22="Todos",'Plan mensual'!O17,0))+parametros_carros!$E$22*('Plan mensual'!O14+IF(parametros_carros!$H$22="Todos",'Plan mensual'!O18,0))+parametros_carros!$F$22*('Plan mensual'!O15+IF(parametros_carros!$H$22="Todos",'Plan mensual'!O19,0))+parametros_carros!$G$22*('Plan mensual'!O16+IF(parametros_carros!$H$22="Todos",'Plan mensual'!O20,0)))/60</f>
        <v>1.038324638</v>
      </c>
      <c r="N25" s="9">
        <f t="shared" si="4"/>
        <v>12.97905797</v>
      </c>
      <c r="O25" s="9">
        <f t="shared" si="5"/>
        <v>1.168115217</v>
      </c>
      <c r="P25" s="32">
        <f>IF(parametros_carros!$B$7=0,0,(O25+parametros_carros!$G$48)/parametros_carros!$B$7)</f>
        <v>0.04778743478</v>
      </c>
      <c r="Q25" s="21" t="str">
        <f t="shared" si="6"/>
        <v>Mar</v>
      </c>
    </row>
    <row r="26" ht="14.25" customHeight="1">
      <c r="A26" s="2" t="str">
        <f>parametros_carros!$B$23</f>
        <v>Punteo del cuerpo</v>
      </c>
      <c r="B26" s="9">
        <f>(parametros_carros!$D$23*('Plan mensual'!D13+IF(parametros_carros!$H$23="Todos",'Plan mensual'!D17,0))+parametros_carros!$E$23*('Plan mensual'!D14+IF(parametros_carros!$H$23="Todos",'Plan mensual'!D18,0))+parametros_carros!$F$23*('Plan mensual'!D15+IF(parametros_carros!$H$23="Todos",'Plan mensual'!D19,0))+parametros_carros!$G$23*('Plan mensual'!D16+IF(parametros_carros!$H$23="Todos",'Plan mensual'!D20,0)))/60</f>
        <v>1.638578261</v>
      </c>
      <c r="C26" s="9">
        <f>(parametros_carros!$D$23*('Plan mensual'!E13+IF(parametros_carros!$H$23="Todos",'Plan mensual'!E17,0))+parametros_carros!$E$23*('Plan mensual'!E14+IF(parametros_carros!$H$23="Todos",'Plan mensual'!E18,0))+parametros_carros!$F$23*('Plan mensual'!E15+IF(parametros_carros!$H$23="Todos",'Plan mensual'!E19,0))+parametros_carros!$G$23*('Plan mensual'!E16+IF(parametros_carros!$H$23="Todos",'Plan mensual'!E20,0)))/60</f>
        <v>1.445804348</v>
      </c>
      <c r="D26" s="9">
        <f>(parametros_carros!$D$23*('Plan mensual'!F13+IF(parametros_carros!$H$23="Todos",'Plan mensual'!F17,0))+parametros_carros!$E$23*('Plan mensual'!F14+IF(parametros_carros!$H$23="Todos",'Plan mensual'!F18,0))+parametros_carros!$F$23*('Plan mensual'!F15+IF(parametros_carros!$H$23="Todos",'Plan mensual'!F19,0))+parametros_carros!$G$23*('Plan mensual'!F16+IF(parametros_carros!$H$23="Todos",'Plan mensual'!F20,0)))/60</f>
        <v>1.734965217</v>
      </c>
      <c r="E26" s="9">
        <f>(parametros_carros!$D$23*('Plan mensual'!G13+IF(parametros_carros!$H$23="Todos",'Plan mensual'!G17,0))+parametros_carros!$E$23*('Plan mensual'!G14+IF(parametros_carros!$H$23="Todos",'Plan mensual'!G18,0))+parametros_carros!$F$23*('Plan mensual'!G15+IF(parametros_carros!$H$23="Todos",'Plan mensual'!G19,0))+parametros_carros!$G$23*('Plan mensual'!G16+IF(parametros_carros!$H$23="Todos",'Plan mensual'!G20,0)))/60</f>
        <v>1.734965217</v>
      </c>
      <c r="F26" s="9">
        <f>(parametros_carros!$D$23*('Plan mensual'!H13+IF(parametros_carros!$H$23="Todos",'Plan mensual'!H17,0))+parametros_carros!$E$23*('Plan mensual'!H14+IF(parametros_carros!$H$23="Todos",'Plan mensual'!H18,0))+parametros_carros!$F$23*('Plan mensual'!H15+IF(parametros_carros!$H$23="Todos",'Plan mensual'!H19,0))+parametros_carros!$G$23*('Plan mensual'!H16+IF(parametros_carros!$H$23="Todos",'Plan mensual'!H20,0)))/60</f>
        <v>1.734965217</v>
      </c>
      <c r="G26" s="9">
        <f>(parametros_carros!$D$23*('Plan mensual'!I13+IF(parametros_carros!$H$23="Todos",'Plan mensual'!I17,0))+parametros_carros!$E$23*('Plan mensual'!I14+IF(parametros_carros!$H$23="Todos",'Plan mensual'!I18,0))+parametros_carros!$F$23*('Plan mensual'!I15+IF(parametros_carros!$H$23="Todos",'Plan mensual'!I19,0))+parametros_carros!$G$23*('Plan mensual'!I16+IF(parametros_carros!$H$23="Todos",'Plan mensual'!I20,0)))/60</f>
        <v>1.542191304</v>
      </c>
      <c r="H26" s="9">
        <f>(parametros_carros!$D$23*('Plan mensual'!J13+IF(parametros_carros!$H$23="Todos",'Plan mensual'!J17,0))+parametros_carros!$E$23*('Plan mensual'!J14+IF(parametros_carros!$H$23="Todos",'Plan mensual'!J18,0))+parametros_carros!$F$23*('Plan mensual'!J15+IF(parametros_carros!$H$23="Todos",'Plan mensual'!J19,0))+parametros_carros!$G$23*('Plan mensual'!J16+IF(parametros_carros!$H$23="Todos",'Plan mensual'!J20,0)))/60</f>
        <v>1.734965217</v>
      </c>
      <c r="I26" s="9">
        <f>(parametros_carros!$D$23*('Plan mensual'!K13+IF(parametros_carros!$H$23="Todos",'Plan mensual'!K17,0))+parametros_carros!$E$23*('Plan mensual'!K14+IF(parametros_carros!$H$23="Todos",'Plan mensual'!K18,0))+parametros_carros!$F$23*('Plan mensual'!K15+IF(parametros_carros!$H$23="Todos",'Plan mensual'!K19,0))+parametros_carros!$G$23*('Plan mensual'!K16+IF(parametros_carros!$H$23="Todos",'Plan mensual'!K20,0)))/60</f>
        <v>1.734965217</v>
      </c>
      <c r="J26" s="9">
        <f>(parametros_carros!$D$23*('Plan mensual'!L13+IF(parametros_carros!$H$23="Todos",'Plan mensual'!L17,0))+parametros_carros!$E$23*('Plan mensual'!L14+IF(parametros_carros!$H$23="Todos",'Plan mensual'!L18,0))+parametros_carros!$F$23*('Plan mensual'!L15+IF(parametros_carros!$H$23="Todos",'Plan mensual'!L19,0))+parametros_carros!$G$23*('Plan mensual'!L16+IF(parametros_carros!$H$23="Todos",'Plan mensual'!L20,0)))/60</f>
        <v>1.638578261</v>
      </c>
      <c r="K26" s="9">
        <f>(parametros_carros!$D$23*('Plan mensual'!M13+IF(parametros_carros!$H$23="Todos",'Plan mensual'!M17,0))+parametros_carros!$E$23*('Plan mensual'!M14+IF(parametros_carros!$H$23="Todos",'Plan mensual'!M18,0))+parametros_carros!$F$23*('Plan mensual'!M15+IF(parametros_carros!$H$23="Todos",'Plan mensual'!M19,0))+parametros_carros!$G$23*('Plan mensual'!M16+IF(parametros_carros!$H$23="Todos",'Plan mensual'!M20,0)))/60</f>
        <v>1.445804348</v>
      </c>
      <c r="L26" s="9">
        <f>(parametros_carros!$D$23*('Plan mensual'!N13+IF(parametros_carros!$H$23="Todos",'Plan mensual'!N17,0))+parametros_carros!$E$23*('Plan mensual'!N14+IF(parametros_carros!$H$23="Todos",'Plan mensual'!N18,0))+parametros_carros!$F$23*('Plan mensual'!N15+IF(parametros_carros!$H$23="Todos",'Plan mensual'!N19,0))+parametros_carros!$G$23*('Plan mensual'!N16+IF(parametros_carros!$H$23="Todos",'Plan mensual'!N20,0)))/60</f>
        <v>1.349417391</v>
      </c>
      <c r="M26" s="9">
        <f>(parametros_carros!$D$23*('Plan mensual'!O13+IF(parametros_carros!$H$23="Todos",'Plan mensual'!O17,0))+parametros_carros!$E$23*('Plan mensual'!O14+IF(parametros_carros!$H$23="Todos",'Plan mensual'!O18,0))+parametros_carros!$F$23*('Plan mensual'!O15+IF(parametros_carros!$H$23="Todos",'Plan mensual'!O19,0))+parametros_carros!$G$23*('Plan mensual'!O16+IF(parametros_carros!$H$23="Todos",'Plan mensual'!O20,0)))/60</f>
        <v>1.542191304</v>
      </c>
      <c r="N26" s="9">
        <f t="shared" si="4"/>
        <v>19.2773913</v>
      </c>
      <c r="O26" s="9">
        <f t="shared" si="5"/>
        <v>1.734965217</v>
      </c>
      <c r="P26" s="32">
        <f>IF(parametros_carros!$B$7=0,0,(O26+parametros_carros!$G$49)/parametros_carros!$B$7)</f>
        <v>0.02267754589</v>
      </c>
      <c r="Q26" s="21" t="str">
        <f t="shared" si="6"/>
        <v>Mar</v>
      </c>
    </row>
    <row r="27" ht="14.25" customHeight="1">
      <c r="A27" s="2" t="str">
        <f>parametros_carros!$B$24</f>
        <v>Soldadura longitudinal</v>
      </c>
      <c r="B27" s="9">
        <f>(parametros_carros!$D$24*('Plan mensual'!D13+IF(parametros_carros!$H$24="Todos",'Plan mensual'!D17,0))+parametros_carros!$E$24*('Plan mensual'!D14+IF(parametros_carros!$H$24="Todos",'Plan mensual'!D18,0))+parametros_carros!$F$24*('Plan mensual'!D15+IF(parametros_carros!$H$24="Todos",'Plan mensual'!D19,0))+parametros_carros!$G$24*('Plan mensual'!D16+IF(parametros_carros!$H$24="Todos",'Plan mensual'!D20,0)))/60</f>
        <v>1.122425</v>
      </c>
      <c r="C27" s="9">
        <f>(parametros_carros!$D$24*('Plan mensual'!E13+IF(parametros_carros!$H$24="Todos",'Plan mensual'!E17,0))+parametros_carros!$E$24*('Plan mensual'!E14+IF(parametros_carros!$H$24="Todos",'Plan mensual'!E18,0))+parametros_carros!$F$24*('Plan mensual'!E15+IF(parametros_carros!$H$24="Todos",'Plan mensual'!E19,0))+parametros_carros!$G$24*('Plan mensual'!E16+IF(parametros_carros!$H$24="Todos",'Plan mensual'!E20,0)))/60</f>
        <v>0.990375</v>
      </c>
      <c r="D27" s="9">
        <f>(parametros_carros!$D$24*('Plan mensual'!F13+IF(parametros_carros!$H$24="Todos",'Plan mensual'!F17,0))+parametros_carros!$E$24*('Plan mensual'!F14+IF(parametros_carros!$H$24="Todos",'Plan mensual'!F18,0))+parametros_carros!$F$24*('Plan mensual'!F15+IF(parametros_carros!$H$24="Todos",'Plan mensual'!F19,0))+parametros_carros!$G$24*('Plan mensual'!F16+IF(parametros_carros!$H$24="Todos",'Plan mensual'!F20,0)))/60</f>
        <v>1.18845</v>
      </c>
      <c r="E27" s="9">
        <f>(parametros_carros!$D$24*('Plan mensual'!G13+IF(parametros_carros!$H$24="Todos",'Plan mensual'!G17,0))+parametros_carros!$E$24*('Plan mensual'!G14+IF(parametros_carros!$H$24="Todos",'Plan mensual'!G18,0))+parametros_carros!$F$24*('Plan mensual'!G15+IF(parametros_carros!$H$24="Todos",'Plan mensual'!G19,0))+parametros_carros!$G$24*('Plan mensual'!G16+IF(parametros_carros!$H$24="Todos",'Plan mensual'!G20,0)))/60</f>
        <v>1.18845</v>
      </c>
      <c r="F27" s="9">
        <f>(parametros_carros!$D$24*('Plan mensual'!H13+IF(parametros_carros!$H$24="Todos",'Plan mensual'!H17,0))+parametros_carros!$E$24*('Plan mensual'!H14+IF(parametros_carros!$H$24="Todos",'Plan mensual'!H18,0))+parametros_carros!$F$24*('Plan mensual'!H15+IF(parametros_carros!$H$24="Todos",'Plan mensual'!H19,0))+parametros_carros!$G$24*('Plan mensual'!H16+IF(parametros_carros!$H$24="Todos",'Plan mensual'!H20,0)))/60</f>
        <v>1.18845</v>
      </c>
      <c r="G27" s="9">
        <f>(parametros_carros!$D$24*('Plan mensual'!I13+IF(parametros_carros!$H$24="Todos",'Plan mensual'!I17,0))+parametros_carros!$E$24*('Plan mensual'!I14+IF(parametros_carros!$H$24="Todos",'Plan mensual'!I18,0))+parametros_carros!$F$24*('Plan mensual'!I15+IF(parametros_carros!$H$24="Todos",'Plan mensual'!I19,0))+parametros_carros!$G$24*('Plan mensual'!I16+IF(parametros_carros!$H$24="Todos",'Plan mensual'!I20,0)))/60</f>
        <v>1.0564</v>
      </c>
      <c r="H27" s="9">
        <f>(parametros_carros!$D$24*('Plan mensual'!J13+IF(parametros_carros!$H$24="Todos",'Plan mensual'!J17,0))+parametros_carros!$E$24*('Plan mensual'!J14+IF(parametros_carros!$H$24="Todos",'Plan mensual'!J18,0))+parametros_carros!$F$24*('Plan mensual'!J15+IF(parametros_carros!$H$24="Todos",'Plan mensual'!J19,0))+parametros_carros!$G$24*('Plan mensual'!J16+IF(parametros_carros!$H$24="Todos",'Plan mensual'!J20,0)))/60</f>
        <v>1.18845</v>
      </c>
      <c r="I27" s="9">
        <f>(parametros_carros!$D$24*('Plan mensual'!K13+IF(parametros_carros!$H$24="Todos",'Plan mensual'!K17,0))+parametros_carros!$E$24*('Plan mensual'!K14+IF(parametros_carros!$H$24="Todos",'Plan mensual'!K18,0))+parametros_carros!$F$24*('Plan mensual'!K15+IF(parametros_carros!$H$24="Todos",'Plan mensual'!K19,0))+parametros_carros!$G$24*('Plan mensual'!K16+IF(parametros_carros!$H$24="Todos",'Plan mensual'!K20,0)))/60</f>
        <v>1.18845</v>
      </c>
      <c r="J27" s="9">
        <f>(parametros_carros!$D$24*('Plan mensual'!L13+IF(parametros_carros!$H$24="Todos",'Plan mensual'!L17,0))+parametros_carros!$E$24*('Plan mensual'!L14+IF(parametros_carros!$H$24="Todos",'Plan mensual'!L18,0))+parametros_carros!$F$24*('Plan mensual'!L15+IF(parametros_carros!$H$24="Todos",'Plan mensual'!L19,0))+parametros_carros!$G$24*('Plan mensual'!L16+IF(parametros_carros!$H$24="Todos",'Plan mensual'!L20,0)))/60</f>
        <v>1.122425</v>
      </c>
      <c r="K27" s="9">
        <f>(parametros_carros!$D$24*('Plan mensual'!M13+IF(parametros_carros!$H$24="Todos",'Plan mensual'!M17,0))+parametros_carros!$E$24*('Plan mensual'!M14+IF(parametros_carros!$H$24="Todos",'Plan mensual'!M18,0))+parametros_carros!$F$24*('Plan mensual'!M15+IF(parametros_carros!$H$24="Todos",'Plan mensual'!M19,0))+parametros_carros!$G$24*('Plan mensual'!M16+IF(parametros_carros!$H$24="Todos",'Plan mensual'!M20,0)))/60</f>
        <v>0.990375</v>
      </c>
      <c r="L27" s="9">
        <f>(parametros_carros!$D$24*('Plan mensual'!N13+IF(parametros_carros!$H$24="Todos",'Plan mensual'!N17,0))+parametros_carros!$E$24*('Plan mensual'!N14+IF(parametros_carros!$H$24="Todos",'Plan mensual'!N18,0))+parametros_carros!$F$24*('Plan mensual'!N15+IF(parametros_carros!$H$24="Todos",'Plan mensual'!N19,0))+parametros_carros!$G$24*('Plan mensual'!N16+IF(parametros_carros!$H$24="Todos",'Plan mensual'!N20,0)))/60</f>
        <v>0.92435</v>
      </c>
      <c r="M27" s="9">
        <f>(parametros_carros!$D$24*('Plan mensual'!O13+IF(parametros_carros!$H$24="Todos",'Plan mensual'!O17,0))+parametros_carros!$E$24*('Plan mensual'!O14+IF(parametros_carros!$H$24="Todos",'Plan mensual'!O18,0))+parametros_carros!$F$24*('Plan mensual'!O15+IF(parametros_carros!$H$24="Todos",'Plan mensual'!O19,0))+parametros_carros!$G$24*('Plan mensual'!O16+IF(parametros_carros!$H$24="Todos",'Plan mensual'!O20,0)))/60</f>
        <v>1.0564</v>
      </c>
      <c r="N27" s="9">
        <f t="shared" si="4"/>
        <v>13.205</v>
      </c>
      <c r="O27" s="9">
        <f t="shared" si="5"/>
        <v>1.18845</v>
      </c>
      <c r="P27" s="32">
        <f>IF(parametros_carros!$B$7=0,0,(O27+parametros_carros!$G$50)/parametros_carros!$B$7)</f>
        <v>0.02570077778</v>
      </c>
      <c r="Q27" s="21" t="str">
        <f t="shared" si="6"/>
        <v>Mar</v>
      </c>
    </row>
    <row r="28" ht="14.25" customHeight="1">
      <c r="A28" s="2" t="str">
        <f>parametros_carros!$B$25</f>
        <v>Soldadura de cupla en la cúpula</v>
      </c>
      <c r="B28" s="9">
        <f>(parametros_carros!$D$25*('Plan mensual'!D13+IF(parametros_carros!$H$25="Todos",'Plan mensual'!D17,0))+parametros_carros!$E$25*('Plan mensual'!D14+IF(parametros_carros!$H$25="Todos",'Plan mensual'!D18,0))+parametros_carros!$F$25*('Plan mensual'!D15+IF(parametros_carros!$H$25="Todos",'Plan mensual'!D19,0))+parametros_carros!$G$25*('Plan mensual'!D16+IF(parametros_carros!$H$25="Todos",'Plan mensual'!D20,0)))/60</f>
        <v>1.109533333</v>
      </c>
      <c r="C28" s="9">
        <f>(parametros_carros!$D$25*('Plan mensual'!E13+IF(parametros_carros!$H$25="Todos",'Plan mensual'!E17,0))+parametros_carros!$E$25*('Plan mensual'!E14+IF(parametros_carros!$H$25="Todos",'Plan mensual'!E18,0))+parametros_carros!$F$25*('Plan mensual'!E15+IF(parametros_carros!$H$25="Todos",'Plan mensual'!E19,0))+parametros_carros!$G$25*('Plan mensual'!E16+IF(parametros_carros!$H$25="Todos",'Plan mensual'!E20,0)))/60</f>
        <v>0.979</v>
      </c>
      <c r="D28" s="9">
        <f>(parametros_carros!$D$25*('Plan mensual'!F13+IF(parametros_carros!$H$25="Todos",'Plan mensual'!F17,0))+parametros_carros!$E$25*('Plan mensual'!F14+IF(parametros_carros!$H$25="Todos",'Plan mensual'!F18,0))+parametros_carros!$F$25*('Plan mensual'!F15+IF(parametros_carros!$H$25="Todos",'Plan mensual'!F19,0))+parametros_carros!$G$25*('Plan mensual'!F16+IF(parametros_carros!$H$25="Todos",'Plan mensual'!F20,0)))/60</f>
        <v>1.1748</v>
      </c>
      <c r="E28" s="9">
        <f>(parametros_carros!$D$25*('Plan mensual'!G13+IF(parametros_carros!$H$25="Todos",'Plan mensual'!G17,0))+parametros_carros!$E$25*('Plan mensual'!G14+IF(parametros_carros!$H$25="Todos",'Plan mensual'!G18,0))+parametros_carros!$F$25*('Plan mensual'!G15+IF(parametros_carros!$H$25="Todos",'Plan mensual'!G19,0))+parametros_carros!$G$25*('Plan mensual'!G16+IF(parametros_carros!$H$25="Todos",'Plan mensual'!G20,0)))/60</f>
        <v>1.1748</v>
      </c>
      <c r="F28" s="9">
        <f>(parametros_carros!$D$25*('Plan mensual'!H13+IF(parametros_carros!$H$25="Todos",'Plan mensual'!H17,0))+parametros_carros!$E$25*('Plan mensual'!H14+IF(parametros_carros!$H$25="Todos",'Plan mensual'!H18,0))+parametros_carros!$F$25*('Plan mensual'!H15+IF(parametros_carros!$H$25="Todos",'Plan mensual'!H19,0))+parametros_carros!$G$25*('Plan mensual'!H16+IF(parametros_carros!$H$25="Todos",'Plan mensual'!H20,0)))/60</f>
        <v>1.1748</v>
      </c>
      <c r="G28" s="9">
        <f>(parametros_carros!$D$25*('Plan mensual'!I13+IF(parametros_carros!$H$25="Todos",'Plan mensual'!I17,0))+parametros_carros!$E$25*('Plan mensual'!I14+IF(parametros_carros!$H$25="Todos",'Plan mensual'!I18,0))+parametros_carros!$F$25*('Plan mensual'!I15+IF(parametros_carros!$H$25="Todos",'Plan mensual'!I19,0))+parametros_carros!$G$25*('Plan mensual'!I16+IF(parametros_carros!$H$25="Todos",'Plan mensual'!I20,0)))/60</f>
        <v>1.044266667</v>
      </c>
      <c r="H28" s="9">
        <f>(parametros_carros!$D$25*('Plan mensual'!J13+IF(parametros_carros!$H$25="Todos",'Plan mensual'!J17,0))+parametros_carros!$E$25*('Plan mensual'!J14+IF(parametros_carros!$H$25="Todos",'Plan mensual'!J18,0))+parametros_carros!$F$25*('Plan mensual'!J15+IF(parametros_carros!$H$25="Todos",'Plan mensual'!J19,0))+parametros_carros!$G$25*('Plan mensual'!J16+IF(parametros_carros!$H$25="Todos",'Plan mensual'!J20,0)))/60</f>
        <v>1.1748</v>
      </c>
      <c r="I28" s="9">
        <f>(parametros_carros!$D$25*('Plan mensual'!K13+IF(parametros_carros!$H$25="Todos",'Plan mensual'!K17,0))+parametros_carros!$E$25*('Plan mensual'!K14+IF(parametros_carros!$H$25="Todos",'Plan mensual'!K18,0))+parametros_carros!$F$25*('Plan mensual'!K15+IF(parametros_carros!$H$25="Todos",'Plan mensual'!K19,0))+parametros_carros!$G$25*('Plan mensual'!K16+IF(parametros_carros!$H$25="Todos",'Plan mensual'!K20,0)))/60</f>
        <v>1.1748</v>
      </c>
      <c r="J28" s="9">
        <f>(parametros_carros!$D$25*('Plan mensual'!L13+IF(parametros_carros!$H$25="Todos",'Plan mensual'!L17,0))+parametros_carros!$E$25*('Plan mensual'!L14+IF(parametros_carros!$H$25="Todos",'Plan mensual'!L18,0))+parametros_carros!$F$25*('Plan mensual'!L15+IF(parametros_carros!$H$25="Todos",'Plan mensual'!L19,0))+parametros_carros!$G$25*('Plan mensual'!L16+IF(parametros_carros!$H$25="Todos",'Plan mensual'!L20,0)))/60</f>
        <v>1.109533333</v>
      </c>
      <c r="K28" s="9">
        <f>(parametros_carros!$D$25*('Plan mensual'!M13+IF(parametros_carros!$H$25="Todos",'Plan mensual'!M17,0))+parametros_carros!$E$25*('Plan mensual'!M14+IF(parametros_carros!$H$25="Todos",'Plan mensual'!M18,0))+parametros_carros!$F$25*('Plan mensual'!M15+IF(parametros_carros!$H$25="Todos",'Plan mensual'!M19,0))+parametros_carros!$G$25*('Plan mensual'!M16+IF(parametros_carros!$H$25="Todos",'Plan mensual'!M20,0)))/60</f>
        <v>0.979</v>
      </c>
      <c r="L28" s="9">
        <f>(parametros_carros!$D$25*('Plan mensual'!N13+IF(parametros_carros!$H$25="Todos",'Plan mensual'!N17,0))+parametros_carros!$E$25*('Plan mensual'!N14+IF(parametros_carros!$H$25="Todos",'Plan mensual'!N18,0))+parametros_carros!$F$25*('Plan mensual'!N15+IF(parametros_carros!$H$25="Todos",'Plan mensual'!N19,0))+parametros_carros!$G$25*('Plan mensual'!N16+IF(parametros_carros!$H$25="Todos",'Plan mensual'!N20,0)))/60</f>
        <v>0.9137333333</v>
      </c>
      <c r="M28" s="9">
        <f>(parametros_carros!$D$25*('Plan mensual'!O13+IF(parametros_carros!$H$25="Todos",'Plan mensual'!O17,0))+parametros_carros!$E$25*('Plan mensual'!O14+IF(parametros_carros!$H$25="Todos",'Plan mensual'!O18,0))+parametros_carros!$F$25*('Plan mensual'!O15+IF(parametros_carros!$H$25="Todos",'Plan mensual'!O19,0))+parametros_carros!$G$25*('Plan mensual'!O16+IF(parametros_carros!$H$25="Todos",'Plan mensual'!O20,0)))/60</f>
        <v>1.044266667</v>
      </c>
      <c r="N28" s="9">
        <f t="shared" si="4"/>
        <v>13.05333333</v>
      </c>
      <c r="O28" s="9">
        <f t="shared" si="5"/>
        <v>1.1748</v>
      </c>
      <c r="P28" s="32">
        <f>IF(parametros_carros!$B$7=0,0,(O28+parametros_carros!$G$51)/parametros_carros!$B$7)</f>
        <v>0.027832</v>
      </c>
      <c r="Q28" s="21" t="str">
        <f t="shared" si="6"/>
        <v>Mar</v>
      </c>
    </row>
    <row r="29" ht="14.25" customHeight="1">
      <c r="A29" s="2" t="str">
        <f>parametros_carros!$B$26</f>
        <v>Armado y soldadura circunferencial</v>
      </c>
      <c r="B29" s="9">
        <f>(parametros_carros!$D$26*('Plan mensual'!D13+IF(parametros_carros!$H$26="Todos",'Plan mensual'!D17,0))+parametros_carros!$E$26*('Plan mensual'!D14+IF(parametros_carros!$H$26="Todos",'Plan mensual'!D18,0))+parametros_carros!$F$26*('Plan mensual'!D15+IF(parametros_carros!$H$26="Todos",'Plan mensual'!D19,0))+parametros_carros!$G$26*('Plan mensual'!D16+IF(parametros_carros!$H$26="Todos",'Plan mensual'!D20,0)))/60</f>
        <v>5.247616667</v>
      </c>
      <c r="C29" s="9">
        <f>(parametros_carros!$D$26*('Plan mensual'!E13+IF(parametros_carros!$H$26="Todos",'Plan mensual'!E17,0))+parametros_carros!$E$26*('Plan mensual'!E14+IF(parametros_carros!$H$26="Todos",'Plan mensual'!E18,0))+parametros_carros!$F$26*('Plan mensual'!E15+IF(parametros_carros!$H$26="Todos",'Plan mensual'!E19,0))+parametros_carros!$G$26*('Plan mensual'!E16+IF(parametros_carros!$H$26="Todos",'Plan mensual'!E20,0)))/60</f>
        <v>4.63025</v>
      </c>
      <c r="D29" s="9">
        <f>(parametros_carros!$D$26*('Plan mensual'!F13+IF(parametros_carros!$H$26="Todos",'Plan mensual'!F17,0))+parametros_carros!$E$26*('Plan mensual'!F14+IF(parametros_carros!$H$26="Todos",'Plan mensual'!F18,0))+parametros_carros!$F$26*('Plan mensual'!F15+IF(parametros_carros!$H$26="Todos",'Plan mensual'!F19,0))+parametros_carros!$G$26*('Plan mensual'!F16+IF(parametros_carros!$H$26="Todos",'Plan mensual'!F20,0)))/60</f>
        <v>5.5563</v>
      </c>
      <c r="E29" s="9">
        <f>(parametros_carros!$D$26*('Plan mensual'!G13+IF(parametros_carros!$H$26="Todos",'Plan mensual'!G17,0))+parametros_carros!$E$26*('Plan mensual'!G14+IF(parametros_carros!$H$26="Todos",'Plan mensual'!G18,0))+parametros_carros!$F$26*('Plan mensual'!G15+IF(parametros_carros!$H$26="Todos",'Plan mensual'!G19,0))+parametros_carros!$G$26*('Plan mensual'!G16+IF(parametros_carros!$H$26="Todos",'Plan mensual'!G20,0)))/60</f>
        <v>5.5563</v>
      </c>
      <c r="F29" s="9">
        <f>(parametros_carros!$D$26*('Plan mensual'!H13+IF(parametros_carros!$H$26="Todos",'Plan mensual'!H17,0))+parametros_carros!$E$26*('Plan mensual'!H14+IF(parametros_carros!$H$26="Todos",'Plan mensual'!H18,0))+parametros_carros!$F$26*('Plan mensual'!H15+IF(parametros_carros!$H$26="Todos",'Plan mensual'!H19,0))+parametros_carros!$G$26*('Plan mensual'!H16+IF(parametros_carros!$H$26="Todos",'Plan mensual'!H20,0)))/60</f>
        <v>5.5563</v>
      </c>
      <c r="G29" s="9">
        <f>(parametros_carros!$D$26*('Plan mensual'!I13+IF(parametros_carros!$H$26="Todos",'Plan mensual'!I17,0))+parametros_carros!$E$26*('Plan mensual'!I14+IF(parametros_carros!$H$26="Todos",'Plan mensual'!I18,0))+parametros_carros!$F$26*('Plan mensual'!I15+IF(parametros_carros!$H$26="Todos",'Plan mensual'!I19,0))+parametros_carros!$G$26*('Plan mensual'!I16+IF(parametros_carros!$H$26="Todos",'Plan mensual'!I20,0)))/60</f>
        <v>4.938933333</v>
      </c>
      <c r="H29" s="9">
        <f>(parametros_carros!$D$26*('Plan mensual'!J13+IF(parametros_carros!$H$26="Todos",'Plan mensual'!J17,0))+parametros_carros!$E$26*('Plan mensual'!J14+IF(parametros_carros!$H$26="Todos",'Plan mensual'!J18,0))+parametros_carros!$F$26*('Plan mensual'!J15+IF(parametros_carros!$H$26="Todos",'Plan mensual'!J19,0))+parametros_carros!$G$26*('Plan mensual'!J16+IF(parametros_carros!$H$26="Todos",'Plan mensual'!J20,0)))/60</f>
        <v>5.5563</v>
      </c>
      <c r="I29" s="9">
        <f>(parametros_carros!$D$26*('Plan mensual'!K13+IF(parametros_carros!$H$26="Todos",'Plan mensual'!K17,0))+parametros_carros!$E$26*('Plan mensual'!K14+IF(parametros_carros!$H$26="Todos",'Plan mensual'!K18,0))+parametros_carros!$F$26*('Plan mensual'!K15+IF(parametros_carros!$H$26="Todos",'Plan mensual'!K19,0))+parametros_carros!$G$26*('Plan mensual'!K16+IF(parametros_carros!$H$26="Todos",'Plan mensual'!K20,0)))/60</f>
        <v>5.5563</v>
      </c>
      <c r="J29" s="9">
        <f>(parametros_carros!$D$26*('Plan mensual'!L13+IF(parametros_carros!$H$26="Todos",'Plan mensual'!L17,0))+parametros_carros!$E$26*('Plan mensual'!L14+IF(parametros_carros!$H$26="Todos",'Plan mensual'!L18,0))+parametros_carros!$F$26*('Plan mensual'!L15+IF(parametros_carros!$H$26="Todos",'Plan mensual'!L19,0))+parametros_carros!$G$26*('Plan mensual'!L16+IF(parametros_carros!$H$26="Todos",'Plan mensual'!L20,0)))/60</f>
        <v>5.247616667</v>
      </c>
      <c r="K29" s="9">
        <f>(parametros_carros!$D$26*('Plan mensual'!M13+IF(parametros_carros!$H$26="Todos",'Plan mensual'!M17,0))+parametros_carros!$E$26*('Plan mensual'!M14+IF(parametros_carros!$H$26="Todos",'Plan mensual'!M18,0))+parametros_carros!$F$26*('Plan mensual'!M15+IF(parametros_carros!$H$26="Todos",'Plan mensual'!M19,0))+parametros_carros!$G$26*('Plan mensual'!M16+IF(parametros_carros!$H$26="Todos",'Plan mensual'!M20,0)))/60</f>
        <v>4.63025</v>
      </c>
      <c r="L29" s="9">
        <f>(parametros_carros!$D$26*('Plan mensual'!N13+IF(parametros_carros!$H$26="Todos",'Plan mensual'!N17,0))+parametros_carros!$E$26*('Plan mensual'!N14+IF(parametros_carros!$H$26="Todos",'Plan mensual'!N18,0))+parametros_carros!$F$26*('Plan mensual'!N15+IF(parametros_carros!$H$26="Todos",'Plan mensual'!N19,0))+parametros_carros!$G$26*('Plan mensual'!N16+IF(parametros_carros!$H$26="Todos",'Plan mensual'!N20,0)))/60</f>
        <v>4.321566667</v>
      </c>
      <c r="M29" s="9">
        <f>(parametros_carros!$D$26*('Plan mensual'!O13+IF(parametros_carros!$H$26="Todos",'Plan mensual'!O17,0))+parametros_carros!$E$26*('Plan mensual'!O14+IF(parametros_carros!$H$26="Todos",'Plan mensual'!O18,0))+parametros_carros!$F$26*('Plan mensual'!O15+IF(parametros_carros!$H$26="Todos",'Plan mensual'!O19,0))+parametros_carros!$G$26*('Plan mensual'!O16+IF(parametros_carros!$H$26="Todos",'Plan mensual'!O20,0)))/60</f>
        <v>4.938933333</v>
      </c>
      <c r="N29" s="9">
        <f t="shared" si="4"/>
        <v>61.73666667</v>
      </c>
      <c r="O29" s="9">
        <f t="shared" si="5"/>
        <v>5.5563</v>
      </c>
      <c r="P29" s="32">
        <f>IF(parametros_carros!$B$7=0,0,(O29+parametros_carros!$G$52)/parametros_carros!$B$7)</f>
        <v>0.057042</v>
      </c>
      <c r="Q29" s="21" t="str">
        <f t="shared" si="6"/>
        <v>Mar</v>
      </c>
    </row>
    <row r="30" ht="14.25" customHeight="1">
      <c r="A30" s="2" t="str">
        <f>parametros_carros!$B$27</f>
        <v>Soldadura de accesorios</v>
      </c>
      <c r="B30" s="9">
        <f>(parametros_carros!$D$27*('Plan mensual'!D13+IF(parametros_carros!$H$27="Todos",'Plan mensual'!D17,0))+parametros_carros!$E$27*('Plan mensual'!D14+IF(parametros_carros!$H$27="Todos",'Plan mensual'!D18,0))+parametros_carros!$F$27*('Plan mensual'!D15+IF(parametros_carros!$H$27="Todos",'Plan mensual'!D19,0))+parametros_carros!$G$27*('Plan mensual'!D16+IF(parametros_carros!$H$27="Todos",'Plan mensual'!D20,0)))/60</f>
        <v>5.345083333</v>
      </c>
      <c r="C30" s="9">
        <f>(parametros_carros!$D$27*('Plan mensual'!E13+IF(parametros_carros!$H$27="Todos",'Plan mensual'!E17,0))+parametros_carros!$E$27*('Plan mensual'!E14+IF(parametros_carros!$H$27="Todos",'Plan mensual'!E18,0))+parametros_carros!$F$27*('Plan mensual'!E15+IF(parametros_carros!$H$27="Todos",'Plan mensual'!E19,0))+parametros_carros!$G$27*('Plan mensual'!E16+IF(parametros_carros!$H$27="Todos",'Plan mensual'!E20,0)))/60</f>
        <v>4.71625</v>
      </c>
      <c r="D30" s="9">
        <f>(parametros_carros!$D$27*('Plan mensual'!F13+IF(parametros_carros!$H$27="Todos",'Plan mensual'!F17,0))+parametros_carros!$E$27*('Plan mensual'!F14+IF(parametros_carros!$H$27="Todos",'Plan mensual'!F18,0))+parametros_carros!$F$27*('Plan mensual'!F15+IF(parametros_carros!$H$27="Todos",'Plan mensual'!F19,0))+parametros_carros!$G$27*('Plan mensual'!F16+IF(parametros_carros!$H$27="Todos",'Plan mensual'!F20,0)))/60</f>
        <v>5.6595</v>
      </c>
      <c r="E30" s="9">
        <f>(parametros_carros!$D$27*('Plan mensual'!G13+IF(parametros_carros!$H$27="Todos",'Plan mensual'!G17,0))+parametros_carros!$E$27*('Plan mensual'!G14+IF(parametros_carros!$H$27="Todos",'Plan mensual'!G18,0))+parametros_carros!$F$27*('Plan mensual'!G15+IF(parametros_carros!$H$27="Todos",'Plan mensual'!G19,0))+parametros_carros!$G$27*('Plan mensual'!G16+IF(parametros_carros!$H$27="Todos",'Plan mensual'!G20,0)))/60</f>
        <v>5.6595</v>
      </c>
      <c r="F30" s="9">
        <f>(parametros_carros!$D$27*('Plan mensual'!H13+IF(parametros_carros!$H$27="Todos",'Plan mensual'!H17,0))+parametros_carros!$E$27*('Plan mensual'!H14+IF(parametros_carros!$H$27="Todos",'Plan mensual'!H18,0))+parametros_carros!$F$27*('Plan mensual'!H15+IF(parametros_carros!$H$27="Todos",'Plan mensual'!H19,0))+parametros_carros!$G$27*('Plan mensual'!H16+IF(parametros_carros!$H$27="Todos",'Plan mensual'!H20,0)))/60</f>
        <v>5.6595</v>
      </c>
      <c r="G30" s="9">
        <f>(parametros_carros!$D$27*('Plan mensual'!I13+IF(parametros_carros!$H$27="Todos",'Plan mensual'!I17,0))+parametros_carros!$E$27*('Plan mensual'!I14+IF(parametros_carros!$H$27="Todos",'Plan mensual'!I18,0))+parametros_carros!$F$27*('Plan mensual'!I15+IF(parametros_carros!$H$27="Todos",'Plan mensual'!I19,0))+parametros_carros!$G$27*('Plan mensual'!I16+IF(parametros_carros!$H$27="Todos",'Plan mensual'!I20,0)))/60</f>
        <v>5.030666667</v>
      </c>
      <c r="H30" s="9">
        <f>(parametros_carros!$D$27*('Plan mensual'!J13+IF(parametros_carros!$H$27="Todos",'Plan mensual'!J17,0))+parametros_carros!$E$27*('Plan mensual'!J14+IF(parametros_carros!$H$27="Todos",'Plan mensual'!J18,0))+parametros_carros!$F$27*('Plan mensual'!J15+IF(parametros_carros!$H$27="Todos",'Plan mensual'!J19,0))+parametros_carros!$G$27*('Plan mensual'!J16+IF(parametros_carros!$H$27="Todos",'Plan mensual'!J20,0)))/60</f>
        <v>5.6595</v>
      </c>
      <c r="I30" s="9">
        <f>(parametros_carros!$D$27*('Plan mensual'!K13+IF(parametros_carros!$H$27="Todos",'Plan mensual'!K17,0))+parametros_carros!$E$27*('Plan mensual'!K14+IF(parametros_carros!$H$27="Todos",'Plan mensual'!K18,0))+parametros_carros!$F$27*('Plan mensual'!K15+IF(parametros_carros!$H$27="Todos",'Plan mensual'!K19,0))+parametros_carros!$G$27*('Plan mensual'!K16+IF(parametros_carros!$H$27="Todos",'Plan mensual'!K20,0)))/60</f>
        <v>5.6595</v>
      </c>
      <c r="J30" s="9">
        <f>(parametros_carros!$D$27*('Plan mensual'!L13+IF(parametros_carros!$H$27="Todos",'Plan mensual'!L17,0))+parametros_carros!$E$27*('Plan mensual'!L14+IF(parametros_carros!$H$27="Todos",'Plan mensual'!L18,0))+parametros_carros!$F$27*('Plan mensual'!L15+IF(parametros_carros!$H$27="Todos",'Plan mensual'!L19,0))+parametros_carros!$G$27*('Plan mensual'!L16+IF(parametros_carros!$H$27="Todos",'Plan mensual'!L20,0)))/60</f>
        <v>5.345083333</v>
      </c>
      <c r="K30" s="9">
        <f>(parametros_carros!$D$27*('Plan mensual'!M13+IF(parametros_carros!$H$27="Todos",'Plan mensual'!M17,0))+parametros_carros!$E$27*('Plan mensual'!M14+IF(parametros_carros!$H$27="Todos",'Plan mensual'!M18,0))+parametros_carros!$F$27*('Plan mensual'!M15+IF(parametros_carros!$H$27="Todos",'Plan mensual'!M19,0))+parametros_carros!$G$27*('Plan mensual'!M16+IF(parametros_carros!$H$27="Todos",'Plan mensual'!M20,0)))/60</f>
        <v>4.71625</v>
      </c>
      <c r="L30" s="9">
        <f>(parametros_carros!$D$27*('Plan mensual'!N13+IF(parametros_carros!$H$27="Todos",'Plan mensual'!N17,0))+parametros_carros!$E$27*('Plan mensual'!N14+IF(parametros_carros!$H$27="Todos",'Plan mensual'!N18,0))+parametros_carros!$F$27*('Plan mensual'!N15+IF(parametros_carros!$H$27="Todos",'Plan mensual'!N19,0))+parametros_carros!$G$27*('Plan mensual'!N16+IF(parametros_carros!$H$27="Todos",'Plan mensual'!N20,0)))/60</f>
        <v>4.401833333</v>
      </c>
      <c r="M30" s="9">
        <f>(parametros_carros!$D$27*('Plan mensual'!O13+IF(parametros_carros!$H$27="Todos",'Plan mensual'!O17,0))+parametros_carros!$E$27*('Plan mensual'!O14+IF(parametros_carros!$H$27="Todos",'Plan mensual'!O18,0))+parametros_carros!$F$27*('Plan mensual'!O15+IF(parametros_carros!$H$27="Todos",'Plan mensual'!O19,0))+parametros_carros!$G$27*('Plan mensual'!O16+IF(parametros_carros!$H$27="Todos",'Plan mensual'!O20,0)))/60</f>
        <v>5.030666667</v>
      </c>
      <c r="N30" s="9">
        <f t="shared" si="4"/>
        <v>62.88333333</v>
      </c>
      <c r="O30" s="9">
        <f t="shared" si="5"/>
        <v>5.6595</v>
      </c>
      <c r="P30" s="32">
        <f>IF(parametros_carros!$B$7=0,0,(O30+parametros_carros!$G$53)/parametros_carros!$B$7)</f>
        <v>0.05773</v>
      </c>
      <c r="Q30" s="21" t="str">
        <f t="shared" si="6"/>
        <v>Mar</v>
      </c>
    </row>
    <row r="31" ht="14.25" customHeight="1">
      <c r="A31" s="2" t="str">
        <f>parametros_carros!$B$28</f>
        <v>Fabricación de accesorios</v>
      </c>
      <c r="B31" s="9">
        <f>(parametros_carros!$D$28*('Plan mensual'!D13+IF(parametros_carros!$H$28="Todos",'Plan mensual'!D17,0))+parametros_carros!$E$28*('Plan mensual'!D14+IF(parametros_carros!$H$28="Todos",'Plan mensual'!D18,0))+parametros_carros!$F$28*('Plan mensual'!D15+IF(parametros_carros!$H$28="Todos",'Plan mensual'!D19,0))+parametros_carros!$G$28*('Plan mensual'!D16+IF(parametros_carros!$H$28="Todos",'Plan mensual'!D20,0)))/60</f>
        <v>3.630916667</v>
      </c>
      <c r="C31" s="9">
        <f>(parametros_carros!$D$28*('Plan mensual'!E13+IF(parametros_carros!$H$28="Todos",'Plan mensual'!E17,0))+parametros_carros!$E$28*('Plan mensual'!E14+IF(parametros_carros!$H$28="Todos",'Plan mensual'!E18,0))+parametros_carros!$F$28*('Plan mensual'!E15+IF(parametros_carros!$H$28="Todos",'Plan mensual'!E19,0))+parametros_carros!$G$28*('Plan mensual'!E16+IF(parametros_carros!$H$28="Todos",'Plan mensual'!E20,0)))/60</f>
        <v>3.20375</v>
      </c>
      <c r="D31" s="9">
        <f>(parametros_carros!$D$28*('Plan mensual'!F13+IF(parametros_carros!$H$28="Todos",'Plan mensual'!F17,0))+parametros_carros!$E$28*('Plan mensual'!F14+IF(parametros_carros!$H$28="Todos",'Plan mensual'!F18,0))+parametros_carros!$F$28*('Plan mensual'!F15+IF(parametros_carros!$H$28="Todos",'Plan mensual'!F19,0))+parametros_carros!$G$28*('Plan mensual'!F16+IF(parametros_carros!$H$28="Todos",'Plan mensual'!F20,0)))/60</f>
        <v>3.8445</v>
      </c>
      <c r="E31" s="9">
        <f>(parametros_carros!$D$28*('Plan mensual'!G13+IF(parametros_carros!$H$28="Todos",'Plan mensual'!G17,0))+parametros_carros!$E$28*('Plan mensual'!G14+IF(parametros_carros!$H$28="Todos",'Plan mensual'!G18,0))+parametros_carros!$F$28*('Plan mensual'!G15+IF(parametros_carros!$H$28="Todos",'Plan mensual'!G19,0))+parametros_carros!$G$28*('Plan mensual'!G16+IF(parametros_carros!$H$28="Todos",'Plan mensual'!G20,0)))/60</f>
        <v>3.8445</v>
      </c>
      <c r="F31" s="9">
        <f>(parametros_carros!$D$28*('Plan mensual'!H13+IF(parametros_carros!$H$28="Todos",'Plan mensual'!H17,0))+parametros_carros!$E$28*('Plan mensual'!H14+IF(parametros_carros!$H$28="Todos",'Plan mensual'!H18,0))+parametros_carros!$F$28*('Plan mensual'!H15+IF(parametros_carros!$H$28="Todos",'Plan mensual'!H19,0))+parametros_carros!$G$28*('Plan mensual'!H16+IF(parametros_carros!$H$28="Todos",'Plan mensual'!H20,0)))/60</f>
        <v>3.8445</v>
      </c>
      <c r="G31" s="9">
        <f>(parametros_carros!$D$28*('Plan mensual'!I13+IF(parametros_carros!$H$28="Todos",'Plan mensual'!I17,0))+parametros_carros!$E$28*('Plan mensual'!I14+IF(parametros_carros!$H$28="Todos",'Plan mensual'!I18,0))+parametros_carros!$F$28*('Plan mensual'!I15+IF(parametros_carros!$H$28="Todos",'Plan mensual'!I19,0))+parametros_carros!$G$28*('Plan mensual'!I16+IF(parametros_carros!$H$28="Todos",'Plan mensual'!I20,0)))/60</f>
        <v>3.417333333</v>
      </c>
      <c r="H31" s="9">
        <f>(parametros_carros!$D$28*('Plan mensual'!J13+IF(parametros_carros!$H$28="Todos",'Plan mensual'!J17,0))+parametros_carros!$E$28*('Plan mensual'!J14+IF(parametros_carros!$H$28="Todos",'Plan mensual'!J18,0))+parametros_carros!$F$28*('Plan mensual'!J15+IF(parametros_carros!$H$28="Todos",'Plan mensual'!J19,0))+parametros_carros!$G$28*('Plan mensual'!J16+IF(parametros_carros!$H$28="Todos",'Plan mensual'!J20,0)))/60</f>
        <v>3.8445</v>
      </c>
      <c r="I31" s="9">
        <f>(parametros_carros!$D$28*('Plan mensual'!K13+IF(parametros_carros!$H$28="Todos",'Plan mensual'!K17,0))+parametros_carros!$E$28*('Plan mensual'!K14+IF(parametros_carros!$H$28="Todos",'Plan mensual'!K18,0))+parametros_carros!$F$28*('Plan mensual'!K15+IF(parametros_carros!$H$28="Todos",'Plan mensual'!K19,0))+parametros_carros!$G$28*('Plan mensual'!K16+IF(parametros_carros!$H$28="Todos",'Plan mensual'!K20,0)))/60</f>
        <v>3.8445</v>
      </c>
      <c r="J31" s="9">
        <f>(parametros_carros!$D$28*('Plan mensual'!L13+IF(parametros_carros!$H$28="Todos",'Plan mensual'!L17,0))+parametros_carros!$E$28*('Plan mensual'!L14+IF(parametros_carros!$H$28="Todos",'Plan mensual'!L18,0))+parametros_carros!$F$28*('Plan mensual'!L15+IF(parametros_carros!$H$28="Todos",'Plan mensual'!L19,0))+parametros_carros!$G$28*('Plan mensual'!L16+IF(parametros_carros!$H$28="Todos",'Plan mensual'!L20,0)))/60</f>
        <v>3.630916667</v>
      </c>
      <c r="K31" s="9">
        <f>(parametros_carros!$D$28*('Plan mensual'!M13+IF(parametros_carros!$H$28="Todos",'Plan mensual'!M17,0))+parametros_carros!$E$28*('Plan mensual'!M14+IF(parametros_carros!$H$28="Todos",'Plan mensual'!M18,0))+parametros_carros!$F$28*('Plan mensual'!M15+IF(parametros_carros!$H$28="Todos",'Plan mensual'!M19,0))+parametros_carros!$G$28*('Plan mensual'!M16+IF(parametros_carros!$H$28="Todos",'Plan mensual'!M20,0)))/60</f>
        <v>3.20375</v>
      </c>
      <c r="L31" s="9">
        <f>(parametros_carros!$D$28*('Plan mensual'!N13+IF(parametros_carros!$H$28="Todos",'Plan mensual'!N17,0))+parametros_carros!$E$28*('Plan mensual'!N14+IF(parametros_carros!$H$28="Todos",'Plan mensual'!N18,0))+parametros_carros!$F$28*('Plan mensual'!N15+IF(parametros_carros!$H$28="Todos",'Plan mensual'!N19,0))+parametros_carros!$G$28*('Plan mensual'!N16+IF(parametros_carros!$H$28="Todos",'Plan mensual'!N20,0)))/60</f>
        <v>2.990166667</v>
      </c>
      <c r="M31" s="9">
        <f>(parametros_carros!$D$28*('Plan mensual'!O13+IF(parametros_carros!$H$28="Todos",'Plan mensual'!O17,0))+parametros_carros!$E$28*('Plan mensual'!O14+IF(parametros_carros!$H$28="Todos",'Plan mensual'!O18,0))+parametros_carros!$F$28*('Plan mensual'!O15+IF(parametros_carros!$H$28="Todos",'Plan mensual'!O19,0))+parametros_carros!$G$28*('Plan mensual'!O16+IF(parametros_carros!$H$28="Todos",'Plan mensual'!O20,0)))/60</f>
        <v>3.417333333</v>
      </c>
      <c r="N31" s="9">
        <f t="shared" si="4"/>
        <v>42.71666667</v>
      </c>
      <c r="O31" s="9">
        <f t="shared" si="5"/>
        <v>3.8445</v>
      </c>
      <c r="P31" s="32">
        <f>IF(parametros_carros!$B$7=0,0,(O31+parametros_carros!$G$54)/parametros_carros!$B$7)</f>
        <v>0.05896333333</v>
      </c>
      <c r="Q31" s="21" t="str">
        <f t="shared" si="6"/>
        <v>Mar</v>
      </c>
    </row>
    <row r="32" ht="14.25" customHeight="1">
      <c r="A32" s="2" t="str">
        <f>parametros_carros!$B$29</f>
        <v>Prueba hidráulica</v>
      </c>
      <c r="B32" s="9">
        <f>(parametros_carros!$D$29*('Plan mensual'!D13+IF(parametros_carros!$H$29="Todos",'Plan mensual'!D17,0))+parametros_carros!$E$29*('Plan mensual'!D14+IF(parametros_carros!$H$29="Todos",'Plan mensual'!D18,0))+parametros_carros!$F$29*('Plan mensual'!D15+IF(parametros_carros!$H$29="Todos",'Plan mensual'!D19,0))+parametros_carros!$G$29*('Plan mensual'!D16+IF(parametros_carros!$H$29="Todos",'Plan mensual'!D20,0)))/60</f>
        <v>2.964431667</v>
      </c>
      <c r="C32" s="9">
        <f>(parametros_carros!$D$29*('Plan mensual'!E13+IF(parametros_carros!$H$29="Todos",'Plan mensual'!E17,0))+parametros_carros!$E$29*('Plan mensual'!E14+IF(parametros_carros!$H$29="Todos",'Plan mensual'!E18,0))+parametros_carros!$F$29*('Plan mensual'!E15+IF(parametros_carros!$H$29="Todos",'Plan mensual'!E19,0))+parametros_carros!$G$29*('Plan mensual'!E16+IF(parametros_carros!$H$29="Todos",'Plan mensual'!E20,0)))/60</f>
        <v>2.615675</v>
      </c>
      <c r="D32" s="9">
        <f>(parametros_carros!$D$29*('Plan mensual'!F13+IF(parametros_carros!$H$29="Todos",'Plan mensual'!F17,0))+parametros_carros!$E$29*('Plan mensual'!F14+IF(parametros_carros!$H$29="Todos",'Plan mensual'!F18,0))+parametros_carros!$F$29*('Plan mensual'!F15+IF(parametros_carros!$H$29="Todos",'Plan mensual'!F19,0))+parametros_carros!$G$29*('Plan mensual'!F16+IF(parametros_carros!$H$29="Todos",'Plan mensual'!F20,0)))/60</f>
        <v>3.13881</v>
      </c>
      <c r="E32" s="9">
        <f>(parametros_carros!$D$29*('Plan mensual'!G13+IF(parametros_carros!$H$29="Todos",'Plan mensual'!G17,0))+parametros_carros!$E$29*('Plan mensual'!G14+IF(parametros_carros!$H$29="Todos",'Plan mensual'!G18,0))+parametros_carros!$F$29*('Plan mensual'!G15+IF(parametros_carros!$H$29="Todos",'Plan mensual'!G19,0))+parametros_carros!$G$29*('Plan mensual'!G16+IF(parametros_carros!$H$29="Todos",'Plan mensual'!G20,0)))/60</f>
        <v>3.13881</v>
      </c>
      <c r="F32" s="9">
        <f>(parametros_carros!$D$29*('Plan mensual'!H13+IF(parametros_carros!$H$29="Todos",'Plan mensual'!H17,0))+parametros_carros!$E$29*('Plan mensual'!H14+IF(parametros_carros!$H$29="Todos",'Plan mensual'!H18,0))+parametros_carros!$F$29*('Plan mensual'!H15+IF(parametros_carros!$H$29="Todos",'Plan mensual'!H19,0))+parametros_carros!$G$29*('Plan mensual'!H16+IF(parametros_carros!$H$29="Todos",'Plan mensual'!H20,0)))/60</f>
        <v>3.13881</v>
      </c>
      <c r="G32" s="9">
        <f>(parametros_carros!$D$29*('Plan mensual'!I13+IF(parametros_carros!$H$29="Todos",'Plan mensual'!I17,0))+parametros_carros!$E$29*('Plan mensual'!I14+IF(parametros_carros!$H$29="Todos",'Plan mensual'!I18,0))+parametros_carros!$F$29*('Plan mensual'!I15+IF(parametros_carros!$H$29="Todos",'Plan mensual'!I19,0))+parametros_carros!$G$29*('Plan mensual'!I16+IF(parametros_carros!$H$29="Todos",'Plan mensual'!I20,0)))/60</f>
        <v>2.790053333</v>
      </c>
      <c r="H32" s="9">
        <f>(parametros_carros!$D$29*('Plan mensual'!J13+IF(parametros_carros!$H$29="Todos",'Plan mensual'!J17,0))+parametros_carros!$E$29*('Plan mensual'!J14+IF(parametros_carros!$H$29="Todos",'Plan mensual'!J18,0))+parametros_carros!$F$29*('Plan mensual'!J15+IF(parametros_carros!$H$29="Todos",'Plan mensual'!J19,0))+parametros_carros!$G$29*('Plan mensual'!J16+IF(parametros_carros!$H$29="Todos",'Plan mensual'!J20,0)))/60</f>
        <v>3.13881</v>
      </c>
      <c r="I32" s="9">
        <f>(parametros_carros!$D$29*('Plan mensual'!K13+IF(parametros_carros!$H$29="Todos",'Plan mensual'!K17,0))+parametros_carros!$E$29*('Plan mensual'!K14+IF(parametros_carros!$H$29="Todos",'Plan mensual'!K18,0))+parametros_carros!$F$29*('Plan mensual'!K15+IF(parametros_carros!$H$29="Todos",'Plan mensual'!K19,0))+parametros_carros!$G$29*('Plan mensual'!K16+IF(parametros_carros!$H$29="Todos",'Plan mensual'!K20,0)))/60</f>
        <v>3.13881</v>
      </c>
      <c r="J32" s="9">
        <f>(parametros_carros!$D$29*('Plan mensual'!L13+IF(parametros_carros!$H$29="Todos",'Plan mensual'!L17,0))+parametros_carros!$E$29*('Plan mensual'!L14+IF(parametros_carros!$H$29="Todos",'Plan mensual'!L18,0))+parametros_carros!$F$29*('Plan mensual'!L15+IF(parametros_carros!$H$29="Todos",'Plan mensual'!L19,0))+parametros_carros!$G$29*('Plan mensual'!L16+IF(parametros_carros!$H$29="Todos",'Plan mensual'!L20,0)))/60</f>
        <v>2.964431667</v>
      </c>
      <c r="K32" s="9">
        <f>(parametros_carros!$D$29*('Plan mensual'!M13+IF(parametros_carros!$H$29="Todos",'Plan mensual'!M17,0))+parametros_carros!$E$29*('Plan mensual'!M14+IF(parametros_carros!$H$29="Todos",'Plan mensual'!M18,0))+parametros_carros!$F$29*('Plan mensual'!M15+IF(parametros_carros!$H$29="Todos",'Plan mensual'!M19,0))+parametros_carros!$G$29*('Plan mensual'!M16+IF(parametros_carros!$H$29="Todos",'Plan mensual'!M20,0)))/60</f>
        <v>2.615675</v>
      </c>
      <c r="L32" s="9">
        <f>(parametros_carros!$D$29*('Plan mensual'!N13+IF(parametros_carros!$H$29="Todos",'Plan mensual'!N17,0))+parametros_carros!$E$29*('Plan mensual'!N14+IF(parametros_carros!$H$29="Todos",'Plan mensual'!N18,0))+parametros_carros!$F$29*('Plan mensual'!N15+IF(parametros_carros!$H$29="Todos",'Plan mensual'!N19,0))+parametros_carros!$G$29*('Plan mensual'!N16+IF(parametros_carros!$H$29="Todos",'Plan mensual'!N20,0)))/60</f>
        <v>2.441296667</v>
      </c>
      <c r="M32" s="9">
        <f>(parametros_carros!$D$29*('Plan mensual'!O13+IF(parametros_carros!$H$29="Todos",'Plan mensual'!O17,0))+parametros_carros!$E$29*('Plan mensual'!O14+IF(parametros_carros!$H$29="Todos",'Plan mensual'!O18,0))+parametros_carros!$F$29*('Plan mensual'!O15+IF(parametros_carros!$H$29="Todos",'Plan mensual'!O19,0))+parametros_carros!$G$29*('Plan mensual'!O16+IF(parametros_carros!$H$29="Todos",'Plan mensual'!O20,0)))/60</f>
        <v>2.790053333</v>
      </c>
      <c r="N32" s="9">
        <f t="shared" si="4"/>
        <v>34.87566667</v>
      </c>
      <c r="O32" s="9">
        <f t="shared" si="5"/>
        <v>3.13881</v>
      </c>
      <c r="P32" s="32">
        <f>IF(parametros_carros!$B$7=0,0,(O32+parametros_carros!$G$55)/parametros_carros!$B$7)</f>
        <v>0.04314762222</v>
      </c>
      <c r="Q32" s="21" t="str">
        <f t="shared" si="6"/>
        <v>Mar</v>
      </c>
    </row>
    <row r="33" ht="14.25" customHeight="1">
      <c r="A33" s="2" t="str">
        <f>parametros_carros!$B$30</f>
        <v>Secado</v>
      </c>
      <c r="B33" s="9">
        <f>(parametros_carros!$D$30*('Plan mensual'!D13+IF(parametros_carros!$H$30="Todos",'Plan mensual'!D17,0))+parametros_carros!$E$30*('Plan mensual'!D14+IF(parametros_carros!$H$30="Todos",'Plan mensual'!D18,0))+parametros_carros!$F$30*('Plan mensual'!D15+IF(parametros_carros!$H$30="Todos",'Plan mensual'!D19,0))+parametros_carros!$G$30*('Plan mensual'!D16+IF(parametros_carros!$H$30="Todos",'Plan mensual'!D20,0)))/60</f>
        <v>3.320666667</v>
      </c>
      <c r="C33" s="9">
        <f>(parametros_carros!$D$30*('Plan mensual'!E13+IF(parametros_carros!$H$30="Todos",'Plan mensual'!E17,0))+parametros_carros!$E$30*('Plan mensual'!E14+IF(parametros_carros!$H$30="Todos",'Plan mensual'!E18,0))+parametros_carros!$F$30*('Plan mensual'!E15+IF(parametros_carros!$H$30="Todos",'Plan mensual'!E19,0))+parametros_carros!$G$30*('Plan mensual'!E16+IF(parametros_carros!$H$30="Todos",'Plan mensual'!E20,0)))/60</f>
        <v>2.93</v>
      </c>
      <c r="D33" s="9">
        <f>(parametros_carros!$D$30*('Plan mensual'!F13+IF(parametros_carros!$H$30="Todos",'Plan mensual'!F17,0))+parametros_carros!$E$30*('Plan mensual'!F14+IF(parametros_carros!$H$30="Todos",'Plan mensual'!F18,0))+parametros_carros!$F$30*('Plan mensual'!F15+IF(parametros_carros!$H$30="Todos",'Plan mensual'!F19,0))+parametros_carros!$G$30*('Plan mensual'!F16+IF(parametros_carros!$H$30="Todos",'Plan mensual'!F20,0)))/60</f>
        <v>3.516</v>
      </c>
      <c r="E33" s="9">
        <f>(parametros_carros!$D$30*('Plan mensual'!G13+IF(parametros_carros!$H$30="Todos",'Plan mensual'!G17,0))+parametros_carros!$E$30*('Plan mensual'!G14+IF(parametros_carros!$H$30="Todos",'Plan mensual'!G18,0))+parametros_carros!$F$30*('Plan mensual'!G15+IF(parametros_carros!$H$30="Todos",'Plan mensual'!G19,0))+parametros_carros!$G$30*('Plan mensual'!G16+IF(parametros_carros!$H$30="Todos",'Plan mensual'!G20,0)))/60</f>
        <v>3.516</v>
      </c>
      <c r="F33" s="9">
        <f>(parametros_carros!$D$30*('Plan mensual'!H13+IF(parametros_carros!$H$30="Todos",'Plan mensual'!H17,0))+parametros_carros!$E$30*('Plan mensual'!H14+IF(parametros_carros!$H$30="Todos",'Plan mensual'!H18,0))+parametros_carros!$F$30*('Plan mensual'!H15+IF(parametros_carros!$H$30="Todos",'Plan mensual'!H19,0))+parametros_carros!$G$30*('Plan mensual'!H16+IF(parametros_carros!$H$30="Todos",'Plan mensual'!H20,0)))/60</f>
        <v>3.516</v>
      </c>
      <c r="G33" s="9">
        <f>(parametros_carros!$D$30*('Plan mensual'!I13+IF(parametros_carros!$H$30="Todos",'Plan mensual'!I17,0))+parametros_carros!$E$30*('Plan mensual'!I14+IF(parametros_carros!$H$30="Todos",'Plan mensual'!I18,0))+parametros_carros!$F$30*('Plan mensual'!I15+IF(parametros_carros!$H$30="Todos",'Plan mensual'!I19,0))+parametros_carros!$G$30*('Plan mensual'!I16+IF(parametros_carros!$H$30="Todos",'Plan mensual'!I20,0)))/60</f>
        <v>3.125333333</v>
      </c>
      <c r="H33" s="9">
        <f>(parametros_carros!$D$30*('Plan mensual'!J13+IF(parametros_carros!$H$30="Todos",'Plan mensual'!J17,0))+parametros_carros!$E$30*('Plan mensual'!J14+IF(parametros_carros!$H$30="Todos",'Plan mensual'!J18,0))+parametros_carros!$F$30*('Plan mensual'!J15+IF(parametros_carros!$H$30="Todos",'Plan mensual'!J19,0))+parametros_carros!$G$30*('Plan mensual'!J16+IF(parametros_carros!$H$30="Todos",'Plan mensual'!J20,0)))/60</f>
        <v>3.516</v>
      </c>
      <c r="I33" s="9">
        <f>(parametros_carros!$D$30*('Plan mensual'!K13+IF(parametros_carros!$H$30="Todos",'Plan mensual'!K17,0))+parametros_carros!$E$30*('Plan mensual'!K14+IF(parametros_carros!$H$30="Todos",'Plan mensual'!K18,0))+parametros_carros!$F$30*('Plan mensual'!K15+IF(parametros_carros!$H$30="Todos",'Plan mensual'!K19,0))+parametros_carros!$G$30*('Plan mensual'!K16+IF(parametros_carros!$H$30="Todos",'Plan mensual'!K20,0)))/60</f>
        <v>3.516</v>
      </c>
      <c r="J33" s="9">
        <f>(parametros_carros!$D$30*('Plan mensual'!L13+IF(parametros_carros!$H$30="Todos",'Plan mensual'!L17,0))+parametros_carros!$E$30*('Plan mensual'!L14+IF(parametros_carros!$H$30="Todos",'Plan mensual'!L18,0))+parametros_carros!$F$30*('Plan mensual'!L15+IF(parametros_carros!$H$30="Todos",'Plan mensual'!L19,0))+parametros_carros!$G$30*('Plan mensual'!L16+IF(parametros_carros!$H$30="Todos",'Plan mensual'!L20,0)))/60</f>
        <v>3.320666667</v>
      </c>
      <c r="K33" s="9">
        <f>(parametros_carros!$D$30*('Plan mensual'!M13+IF(parametros_carros!$H$30="Todos",'Plan mensual'!M17,0))+parametros_carros!$E$30*('Plan mensual'!M14+IF(parametros_carros!$H$30="Todos",'Plan mensual'!M18,0))+parametros_carros!$F$30*('Plan mensual'!M15+IF(parametros_carros!$H$30="Todos",'Plan mensual'!M19,0))+parametros_carros!$G$30*('Plan mensual'!M16+IF(parametros_carros!$H$30="Todos",'Plan mensual'!M20,0)))/60</f>
        <v>2.93</v>
      </c>
      <c r="L33" s="9">
        <f>(parametros_carros!$D$30*('Plan mensual'!N13+IF(parametros_carros!$H$30="Todos",'Plan mensual'!N17,0))+parametros_carros!$E$30*('Plan mensual'!N14+IF(parametros_carros!$H$30="Todos",'Plan mensual'!N18,0))+parametros_carros!$F$30*('Plan mensual'!N15+IF(parametros_carros!$H$30="Todos",'Plan mensual'!N19,0))+parametros_carros!$G$30*('Plan mensual'!N16+IF(parametros_carros!$H$30="Todos",'Plan mensual'!N20,0)))/60</f>
        <v>2.734666667</v>
      </c>
      <c r="M33" s="9">
        <f>(parametros_carros!$D$30*('Plan mensual'!O13+IF(parametros_carros!$H$30="Todos",'Plan mensual'!O17,0))+parametros_carros!$E$30*('Plan mensual'!O14+IF(parametros_carros!$H$30="Todos",'Plan mensual'!O18,0))+parametros_carros!$F$30*('Plan mensual'!O15+IF(parametros_carros!$H$30="Todos",'Plan mensual'!O19,0))+parametros_carros!$G$30*('Plan mensual'!O16+IF(parametros_carros!$H$30="Todos",'Plan mensual'!O20,0)))/60</f>
        <v>3.125333333</v>
      </c>
      <c r="N33" s="9">
        <f t="shared" si="4"/>
        <v>39.06666667</v>
      </c>
      <c r="O33" s="9">
        <f t="shared" si="5"/>
        <v>3.516</v>
      </c>
      <c r="P33" s="32">
        <f>IF(parametros_carros!$B$7=0,0,(O33+parametros_carros!$G$56)/parametros_carros!$B$7)</f>
        <v>0.02344</v>
      </c>
      <c r="Q33" s="21" t="str">
        <f t="shared" si="6"/>
        <v>Mar</v>
      </c>
    </row>
    <row r="34" ht="14.25" customHeight="1">
      <c r="A34" s="2" t="str">
        <f>parametros_carros!$B$31</f>
        <v>Pulmón de despacho y carga a pintura</v>
      </c>
      <c r="B34" s="9">
        <f>(parametros_carros!$D$31*('Plan mensual'!D13+IF(parametros_carros!$H$31="Todos",'Plan mensual'!D17,0))+parametros_carros!$E$31*('Plan mensual'!D14+IF(parametros_carros!$H$31="Todos",'Plan mensual'!D18,0))+parametros_carros!$F$31*('Plan mensual'!D15+IF(parametros_carros!$H$31="Todos",'Plan mensual'!D19,0))+parametros_carros!$G$31*('Plan mensual'!D16+IF(parametros_carros!$H$31="Todos",'Plan mensual'!D20,0)))/60</f>
        <v>0.5285583333</v>
      </c>
      <c r="C34" s="9">
        <f>(parametros_carros!$D$31*('Plan mensual'!E13+IF(parametros_carros!$H$31="Todos",'Plan mensual'!E17,0))+parametros_carros!$E$31*('Plan mensual'!E14+IF(parametros_carros!$H$31="Todos",'Plan mensual'!E18,0))+parametros_carros!$F$31*('Plan mensual'!E15+IF(parametros_carros!$H$31="Todos",'Plan mensual'!E19,0))+parametros_carros!$G$31*('Plan mensual'!E16+IF(parametros_carros!$H$31="Todos",'Plan mensual'!E20,0)))/60</f>
        <v>0.466375</v>
      </c>
      <c r="D34" s="9">
        <f>(parametros_carros!$D$31*('Plan mensual'!F13+IF(parametros_carros!$H$31="Todos",'Plan mensual'!F17,0))+parametros_carros!$E$31*('Plan mensual'!F14+IF(parametros_carros!$H$31="Todos",'Plan mensual'!F18,0))+parametros_carros!$F$31*('Plan mensual'!F15+IF(parametros_carros!$H$31="Todos",'Plan mensual'!F19,0))+parametros_carros!$G$31*('Plan mensual'!F16+IF(parametros_carros!$H$31="Todos",'Plan mensual'!F20,0)))/60</f>
        <v>0.55965</v>
      </c>
      <c r="E34" s="9">
        <f>(parametros_carros!$D$31*('Plan mensual'!G13+IF(parametros_carros!$H$31="Todos",'Plan mensual'!G17,0))+parametros_carros!$E$31*('Plan mensual'!G14+IF(parametros_carros!$H$31="Todos",'Plan mensual'!G18,0))+parametros_carros!$F$31*('Plan mensual'!G15+IF(parametros_carros!$H$31="Todos",'Plan mensual'!G19,0))+parametros_carros!$G$31*('Plan mensual'!G16+IF(parametros_carros!$H$31="Todos",'Plan mensual'!G20,0)))/60</f>
        <v>0.55965</v>
      </c>
      <c r="F34" s="9">
        <f>(parametros_carros!$D$31*('Plan mensual'!H13+IF(parametros_carros!$H$31="Todos",'Plan mensual'!H17,0))+parametros_carros!$E$31*('Plan mensual'!H14+IF(parametros_carros!$H$31="Todos",'Plan mensual'!H18,0))+parametros_carros!$F$31*('Plan mensual'!H15+IF(parametros_carros!$H$31="Todos",'Plan mensual'!H19,0))+parametros_carros!$G$31*('Plan mensual'!H16+IF(parametros_carros!$H$31="Todos",'Plan mensual'!H20,0)))/60</f>
        <v>0.55965</v>
      </c>
      <c r="G34" s="9">
        <f>(parametros_carros!$D$31*('Plan mensual'!I13+IF(parametros_carros!$H$31="Todos",'Plan mensual'!I17,0))+parametros_carros!$E$31*('Plan mensual'!I14+IF(parametros_carros!$H$31="Todos",'Plan mensual'!I18,0))+parametros_carros!$F$31*('Plan mensual'!I15+IF(parametros_carros!$H$31="Todos",'Plan mensual'!I19,0))+parametros_carros!$G$31*('Plan mensual'!I16+IF(parametros_carros!$H$31="Todos",'Plan mensual'!I20,0)))/60</f>
        <v>0.4974666667</v>
      </c>
      <c r="H34" s="9">
        <f>(parametros_carros!$D$31*('Plan mensual'!J13+IF(parametros_carros!$H$31="Todos",'Plan mensual'!J17,0))+parametros_carros!$E$31*('Plan mensual'!J14+IF(parametros_carros!$H$31="Todos",'Plan mensual'!J18,0))+parametros_carros!$F$31*('Plan mensual'!J15+IF(parametros_carros!$H$31="Todos",'Plan mensual'!J19,0))+parametros_carros!$G$31*('Plan mensual'!J16+IF(parametros_carros!$H$31="Todos",'Plan mensual'!J20,0)))/60</f>
        <v>0.55965</v>
      </c>
      <c r="I34" s="9">
        <f>(parametros_carros!$D$31*('Plan mensual'!K13+IF(parametros_carros!$H$31="Todos",'Plan mensual'!K17,0))+parametros_carros!$E$31*('Plan mensual'!K14+IF(parametros_carros!$H$31="Todos",'Plan mensual'!K18,0))+parametros_carros!$F$31*('Plan mensual'!K15+IF(parametros_carros!$H$31="Todos",'Plan mensual'!K19,0))+parametros_carros!$G$31*('Plan mensual'!K16+IF(parametros_carros!$H$31="Todos",'Plan mensual'!K20,0)))/60</f>
        <v>0.55965</v>
      </c>
      <c r="J34" s="9">
        <f>(parametros_carros!$D$31*('Plan mensual'!L13+IF(parametros_carros!$H$31="Todos",'Plan mensual'!L17,0))+parametros_carros!$E$31*('Plan mensual'!L14+IF(parametros_carros!$H$31="Todos",'Plan mensual'!L18,0))+parametros_carros!$F$31*('Plan mensual'!L15+IF(parametros_carros!$H$31="Todos",'Plan mensual'!L19,0))+parametros_carros!$G$31*('Plan mensual'!L16+IF(parametros_carros!$H$31="Todos",'Plan mensual'!L20,0)))/60</f>
        <v>0.5285583333</v>
      </c>
      <c r="K34" s="9">
        <f>(parametros_carros!$D$31*('Plan mensual'!M13+IF(parametros_carros!$H$31="Todos",'Plan mensual'!M17,0))+parametros_carros!$E$31*('Plan mensual'!M14+IF(parametros_carros!$H$31="Todos",'Plan mensual'!M18,0))+parametros_carros!$F$31*('Plan mensual'!M15+IF(parametros_carros!$H$31="Todos",'Plan mensual'!M19,0))+parametros_carros!$G$31*('Plan mensual'!M16+IF(parametros_carros!$H$31="Todos",'Plan mensual'!M20,0)))/60</f>
        <v>0.466375</v>
      </c>
      <c r="L34" s="9">
        <f>(parametros_carros!$D$31*('Plan mensual'!N13+IF(parametros_carros!$H$31="Todos",'Plan mensual'!N17,0))+parametros_carros!$E$31*('Plan mensual'!N14+IF(parametros_carros!$H$31="Todos",'Plan mensual'!N18,0))+parametros_carros!$F$31*('Plan mensual'!N15+IF(parametros_carros!$H$31="Todos",'Plan mensual'!N19,0))+parametros_carros!$G$31*('Plan mensual'!N16+IF(parametros_carros!$H$31="Todos",'Plan mensual'!N20,0)))/60</f>
        <v>0.4352833333</v>
      </c>
      <c r="M34" s="9">
        <f>(parametros_carros!$D$31*('Plan mensual'!O13+IF(parametros_carros!$H$31="Todos",'Plan mensual'!O17,0))+parametros_carros!$E$31*('Plan mensual'!O14+IF(parametros_carros!$H$31="Todos",'Plan mensual'!O18,0))+parametros_carros!$F$31*('Plan mensual'!O15+IF(parametros_carros!$H$31="Todos",'Plan mensual'!O19,0))+parametros_carros!$G$31*('Plan mensual'!O16+IF(parametros_carros!$H$31="Todos",'Plan mensual'!O20,0)))/60</f>
        <v>0.4974666667</v>
      </c>
      <c r="N34" s="9">
        <f t="shared" si="4"/>
        <v>6.218333333</v>
      </c>
      <c r="O34" s="9">
        <f t="shared" si="5"/>
        <v>0.55965</v>
      </c>
      <c r="P34" s="32">
        <f>IF(parametros_carros!$B$7=0,0,(O34+parametros_carros!$G$57)/parametros_carros!$B$7)</f>
        <v>0.01261988889</v>
      </c>
      <c r="Q34" s="21" t="str">
        <f t="shared" si="6"/>
        <v>Mar</v>
      </c>
    </row>
    <row r="35" ht="14.25" customHeight="1">
      <c r="A35" s="2" t="str">
        <f>parametros_carros!$B$32</f>
        <v>Recepción de pintados y cambio de juego</v>
      </c>
      <c r="B35" s="9">
        <f>(parametros_carros!$D$32*('Plan mensual'!D13+IF(parametros_carros!$H$32="Todos",'Plan mensual'!D17,0))+parametros_carros!$E$32*('Plan mensual'!D14+IF(parametros_carros!$H$32="Todos",'Plan mensual'!D18,0))+parametros_carros!$F$32*('Plan mensual'!D15+IF(parametros_carros!$H$32="Todos",'Plan mensual'!D19,0))+parametros_carros!$G$32*('Plan mensual'!D16+IF(parametros_carros!$H$32="Todos",'Plan mensual'!D20,0)))/60</f>
        <v>1.033670833</v>
      </c>
      <c r="C35" s="9">
        <f>(parametros_carros!$D$32*('Plan mensual'!E13+IF(parametros_carros!$H$32="Todos",'Plan mensual'!E17,0))+parametros_carros!$E$32*('Plan mensual'!E14+IF(parametros_carros!$H$32="Todos",'Plan mensual'!E18,0))+parametros_carros!$F$32*('Plan mensual'!E15+IF(parametros_carros!$H$32="Todos",'Plan mensual'!E19,0))+parametros_carros!$G$32*('Plan mensual'!E16+IF(parametros_carros!$H$32="Todos",'Plan mensual'!E20,0)))/60</f>
        <v>0.9120625</v>
      </c>
      <c r="D35" s="9">
        <f>(parametros_carros!$D$32*('Plan mensual'!F13+IF(parametros_carros!$H$32="Todos",'Plan mensual'!F17,0))+parametros_carros!$E$32*('Plan mensual'!F14+IF(parametros_carros!$H$32="Todos",'Plan mensual'!F18,0))+parametros_carros!$F$32*('Plan mensual'!F15+IF(parametros_carros!$H$32="Todos",'Plan mensual'!F19,0))+parametros_carros!$G$32*('Plan mensual'!F16+IF(parametros_carros!$H$32="Todos",'Plan mensual'!F20,0)))/60</f>
        <v>1.094475</v>
      </c>
      <c r="E35" s="9">
        <f>(parametros_carros!$D$32*('Plan mensual'!G13+IF(parametros_carros!$H$32="Todos",'Plan mensual'!G17,0))+parametros_carros!$E$32*('Plan mensual'!G14+IF(parametros_carros!$H$32="Todos",'Plan mensual'!G18,0))+parametros_carros!$F$32*('Plan mensual'!G15+IF(parametros_carros!$H$32="Todos",'Plan mensual'!G19,0))+parametros_carros!$G$32*('Plan mensual'!G16+IF(parametros_carros!$H$32="Todos",'Plan mensual'!G20,0)))/60</f>
        <v>1.094475</v>
      </c>
      <c r="F35" s="9">
        <f>(parametros_carros!$D$32*('Plan mensual'!H13+IF(parametros_carros!$H$32="Todos",'Plan mensual'!H17,0))+parametros_carros!$E$32*('Plan mensual'!H14+IF(parametros_carros!$H$32="Todos",'Plan mensual'!H18,0))+parametros_carros!$F$32*('Plan mensual'!H15+IF(parametros_carros!$H$32="Todos",'Plan mensual'!H19,0))+parametros_carros!$G$32*('Plan mensual'!H16+IF(parametros_carros!$H$32="Todos",'Plan mensual'!H20,0)))/60</f>
        <v>1.094475</v>
      </c>
      <c r="G35" s="9">
        <f>(parametros_carros!$D$32*('Plan mensual'!I13+IF(parametros_carros!$H$32="Todos",'Plan mensual'!I17,0))+parametros_carros!$E$32*('Plan mensual'!I14+IF(parametros_carros!$H$32="Todos",'Plan mensual'!I18,0))+parametros_carros!$F$32*('Plan mensual'!I15+IF(parametros_carros!$H$32="Todos",'Plan mensual'!I19,0))+parametros_carros!$G$32*('Plan mensual'!I16+IF(parametros_carros!$H$32="Todos",'Plan mensual'!I20,0)))/60</f>
        <v>0.9728666667</v>
      </c>
      <c r="H35" s="9">
        <f>(parametros_carros!$D$32*('Plan mensual'!J13+IF(parametros_carros!$H$32="Todos",'Plan mensual'!J17,0))+parametros_carros!$E$32*('Plan mensual'!J14+IF(parametros_carros!$H$32="Todos",'Plan mensual'!J18,0))+parametros_carros!$F$32*('Plan mensual'!J15+IF(parametros_carros!$H$32="Todos",'Plan mensual'!J19,0))+parametros_carros!$G$32*('Plan mensual'!J16+IF(parametros_carros!$H$32="Todos",'Plan mensual'!J20,0)))/60</f>
        <v>1.094475</v>
      </c>
      <c r="I35" s="9">
        <f>(parametros_carros!$D$32*('Plan mensual'!K13+IF(parametros_carros!$H$32="Todos",'Plan mensual'!K17,0))+parametros_carros!$E$32*('Plan mensual'!K14+IF(parametros_carros!$H$32="Todos",'Plan mensual'!K18,0))+parametros_carros!$F$32*('Plan mensual'!K15+IF(parametros_carros!$H$32="Todos",'Plan mensual'!K19,0))+parametros_carros!$G$32*('Plan mensual'!K16+IF(parametros_carros!$H$32="Todos",'Plan mensual'!K20,0)))/60</f>
        <v>1.094475</v>
      </c>
      <c r="J35" s="9">
        <f>(parametros_carros!$D$32*('Plan mensual'!L13+IF(parametros_carros!$H$32="Todos",'Plan mensual'!L17,0))+parametros_carros!$E$32*('Plan mensual'!L14+IF(parametros_carros!$H$32="Todos",'Plan mensual'!L18,0))+parametros_carros!$F$32*('Plan mensual'!L15+IF(parametros_carros!$H$32="Todos",'Plan mensual'!L19,0))+parametros_carros!$G$32*('Plan mensual'!L16+IF(parametros_carros!$H$32="Todos",'Plan mensual'!L20,0)))/60</f>
        <v>1.033670833</v>
      </c>
      <c r="K35" s="9">
        <f>(parametros_carros!$D$32*('Plan mensual'!M13+IF(parametros_carros!$H$32="Todos",'Plan mensual'!M17,0))+parametros_carros!$E$32*('Plan mensual'!M14+IF(parametros_carros!$H$32="Todos",'Plan mensual'!M18,0))+parametros_carros!$F$32*('Plan mensual'!M15+IF(parametros_carros!$H$32="Todos",'Plan mensual'!M19,0))+parametros_carros!$G$32*('Plan mensual'!M16+IF(parametros_carros!$H$32="Todos",'Plan mensual'!M20,0)))/60</f>
        <v>0.9120625</v>
      </c>
      <c r="L35" s="9">
        <f>(parametros_carros!$D$32*('Plan mensual'!N13+IF(parametros_carros!$H$32="Todos",'Plan mensual'!N17,0))+parametros_carros!$E$32*('Plan mensual'!N14+IF(parametros_carros!$H$32="Todos",'Plan mensual'!N18,0))+parametros_carros!$F$32*('Plan mensual'!N15+IF(parametros_carros!$H$32="Todos",'Plan mensual'!N19,0))+parametros_carros!$G$32*('Plan mensual'!N16+IF(parametros_carros!$H$32="Todos",'Plan mensual'!N20,0)))/60</f>
        <v>0.8512583333</v>
      </c>
      <c r="M35" s="9">
        <f>(parametros_carros!$D$32*('Plan mensual'!O13+IF(parametros_carros!$H$32="Todos",'Plan mensual'!O17,0))+parametros_carros!$E$32*('Plan mensual'!O14+IF(parametros_carros!$H$32="Todos",'Plan mensual'!O18,0))+parametros_carros!$F$32*('Plan mensual'!O15+IF(parametros_carros!$H$32="Todos",'Plan mensual'!O19,0))+parametros_carros!$G$32*('Plan mensual'!O16+IF(parametros_carros!$H$32="Todos",'Plan mensual'!O20,0)))/60</f>
        <v>0.9728666667</v>
      </c>
      <c r="N35" s="9">
        <f t="shared" si="4"/>
        <v>12.16083333</v>
      </c>
      <c r="O35" s="9">
        <f t="shared" si="5"/>
        <v>1.094475</v>
      </c>
      <c r="P35" s="32">
        <f>IF(parametros_carros!$B$7=0,0,(O35+parametros_carros!$G$58)/parametros_carros!$B$7)</f>
        <v>0.01618538889</v>
      </c>
      <c r="Q35" s="21" t="str">
        <f t="shared" si="6"/>
        <v>Mar</v>
      </c>
    </row>
    <row r="36" ht="14.25" customHeight="1">
      <c r="A36" s="2" t="str">
        <f>parametros_carros!$B$33</f>
        <v>Carga de polvo y presurización</v>
      </c>
      <c r="B36" s="9">
        <f>(parametros_carros!$D$33*('Plan mensual'!D13+IF(parametros_carros!$H$33="Todos",'Plan mensual'!D17,0))+parametros_carros!$E$33*('Plan mensual'!D14+IF(parametros_carros!$H$33="Todos",'Plan mensual'!D18,0))+parametros_carros!$F$33*('Plan mensual'!D15+IF(parametros_carros!$H$33="Todos",'Plan mensual'!D19,0))+parametros_carros!$G$33*('Plan mensual'!D16+IF(parametros_carros!$H$33="Todos",'Plan mensual'!D20,0)))/60</f>
        <v>3.73915</v>
      </c>
      <c r="C36" s="9">
        <f>(parametros_carros!$D$33*('Plan mensual'!E13+IF(parametros_carros!$H$33="Todos",'Plan mensual'!E17,0))+parametros_carros!$E$33*('Plan mensual'!E14+IF(parametros_carros!$H$33="Todos",'Plan mensual'!E18,0))+parametros_carros!$F$33*('Plan mensual'!E15+IF(parametros_carros!$H$33="Todos",'Plan mensual'!E19,0))+parametros_carros!$G$33*('Plan mensual'!E16+IF(parametros_carros!$H$33="Todos",'Plan mensual'!E20,0)))/60</f>
        <v>3.29925</v>
      </c>
      <c r="D36" s="9">
        <f>(parametros_carros!$D$33*('Plan mensual'!F13+IF(parametros_carros!$H$33="Todos",'Plan mensual'!F17,0))+parametros_carros!$E$33*('Plan mensual'!F14+IF(parametros_carros!$H$33="Todos",'Plan mensual'!F18,0))+parametros_carros!$F$33*('Plan mensual'!F15+IF(parametros_carros!$H$33="Todos",'Plan mensual'!F19,0))+parametros_carros!$G$33*('Plan mensual'!F16+IF(parametros_carros!$H$33="Todos",'Plan mensual'!F20,0)))/60</f>
        <v>3.9591</v>
      </c>
      <c r="E36" s="9">
        <f>(parametros_carros!$D$33*('Plan mensual'!G13+IF(parametros_carros!$H$33="Todos",'Plan mensual'!G17,0))+parametros_carros!$E$33*('Plan mensual'!G14+IF(parametros_carros!$H$33="Todos",'Plan mensual'!G18,0))+parametros_carros!$F$33*('Plan mensual'!G15+IF(parametros_carros!$H$33="Todos",'Plan mensual'!G19,0))+parametros_carros!$G$33*('Plan mensual'!G16+IF(parametros_carros!$H$33="Todos",'Plan mensual'!G20,0)))/60</f>
        <v>3.9591</v>
      </c>
      <c r="F36" s="9">
        <f>(parametros_carros!$D$33*('Plan mensual'!H13+IF(parametros_carros!$H$33="Todos",'Plan mensual'!H17,0))+parametros_carros!$E$33*('Plan mensual'!H14+IF(parametros_carros!$H$33="Todos",'Plan mensual'!H18,0))+parametros_carros!$F$33*('Plan mensual'!H15+IF(parametros_carros!$H$33="Todos",'Plan mensual'!H19,0))+parametros_carros!$G$33*('Plan mensual'!H16+IF(parametros_carros!$H$33="Todos",'Plan mensual'!H20,0)))/60</f>
        <v>3.9591</v>
      </c>
      <c r="G36" s="9">
        <f>(parametros_carros!$D$33*('Plan mensual'!I13+IF(parametros_carros!$H$33="Todos",'Plan mensual'!I17,0))+parametros_carros!$E$33*('Plan mensual'!I14+IF(parametros_carros!$H$33="Todos",'Plan mensual'!I18,0))+parametros_carros!$F$33*('Plan mensual'!I15+IF(parametros_carros!$H$33="Todos",'Plan mensual'!I19,0))+parametros_carros!$G$33*('Plan mensual'!I16+IF(parametros_carros!$H$33="Todos",'Plan mensual'!I20,0)))/60</f>
        <v>3.5192</v>
      </c>
      <c r="H36" s="9">
        <f>(parametros_carros!$D$33*('Plan mensual'!J13+IF(parametros_carros!$H$33="Todos",'Plan mensual'!J17,0))+parametros_carros!$E$33*('Plan mensual'!J14+IF(parametros_carros!$H$33="Todos",'Plan mensual'!J18,0))+parametros_carros!$F$33*('Plan mensual'!J15+IF(parametros_carros!$H$33="Todos",'Plan mensual'!J19,0))+parametros_carros!$G$33*('Plan mensual'!J16+IF(parametros_carros!$H$33="Todos",'Plan mensual'!J20,0)))/60</f>
        <v>3.9591</v>
      </c>
      <c r="I36" s="9">
        <f>(parametros_carros!$D$33*('Plan mensual'!K13+IF(parametros_carros!$H$33="Todos",'Plan mensual'!K17,0))+parametros_carros!$E$33*('Plan mensual'!K14+IF(parametros_carros!$H$33="Todos",'Plan mensual'!K18,0))+parametros_carros!$F$33*('Plan mensual'!K15+IF(parametros_carros!$H$33="Todos",'Plan mensual'!K19,0))+parametros_carros!$G$33*('Plan mensual'!K16+IF(parametros_carros!$H$33="Todos",'Plan mensual'!K20,0)))/60</f>
        <v>3.9591</v>
      </c>
      <c r="J36" s="9">
        <f>(parametros_carros!$D$33*('Plan mensual'!L13+IF(parametros_carros!$H$33="Todos",'Plan mensual'!L17,0))+parametros_carros!$E$33*('Plan mensual'!L14+IF(parametros_carros!$H$33="Todos",'Plan mensual'!L18,0))+parametros_carros!$F$33*('Plan mensual'!L15+IF(parametros_carros!$H$33="Todos",'Plan mensual'!L19,0))+parametros_carros!$G$33*('Plan mensual'!L16+IF(parametros_carros!$H$33="Todos",'Plan mensual'!L20,0)))/60</f>
        <v>3.73915</v>
      </c>
      <c r="K36" s="9">
        <f>(parametros_carros!$D$33*('Plan mensual'!M13+IF(parametros_carros!$H$33="Todos",'Plan mensual'!M17,0))+parametros_carros!$E$33*('Plan mensual'!M14+IF(parametros_carros!$H$33="Todos",'Plan mensual'!M18,0))+parametros_carros!$F$33*('Plan mensual'!M15+IF(parametros_carros!$H$33="Todos",'Plan mensual'!M19,0))+parametros_carros!$G$33*('Plan mensual'!M16+IF(parametros_carros!$H$33="Todos",'Plan mensual'!M20,0)))/60</f>
        <v>3.29925</v>
      </c>
      <c r="L36" s="9">
        <f>(parametros_carros!$D$33*('Plan mensual'!N13+IF(parametros_carros!$H$33="Todos",'Plan mensual'!N17,0))+parametros_carros!$E$33*('Plan mensual'!N14+IF(parametros_carros!$H$33="Todos",'Plan mensual'!N18,0))+parametros_carros!$F$33*('Plan mensual'!N15+IF(parametros_carros!$H$33="Todos",'Plan mensual'!N19,0))+parametros_carros!$G$33*('Plan mensual'!N16+IF(parametros_carros!$H$33="Todos",'Plan mensual'!N20,0)))/60</f>
        <v>3.0793</v>
      </c>
      <c r="M36" s="9">
        <f>(parametros_carros!$D$33*('Plan mensual'!O13+IF(parametros_carros!$H$33="Todos",'Plan mensual'!O17,0))+parametros_carros!$E$33*('Plan mensual'!O14+IF(parametros_carros!$H$33="Todos",'Plan mensual'!O18,0))+parametros_carros!$F$33*('Plan mensual'!O15+IF(parametros_carros!$H$33="Todos",'Plan mensual'!O19,0))+parametros_carros!$G$33*('Plan mensual'!O16+IF(parametros_carros!$H$33="Todos",'Plan mensual'!O20,0)))/60</f>
        <v>3.5192</v>
      </c>
      <c r="N36" s="9">
        <f t="shared" si="4"/>
        <v>43.99</v>
      </c>
      <c r="O36" s="9">
        <f t="shared" si="5"/>
        <v>3.9591</v>
      </c>
      <c r="P36" s="32">
        <f>IF(parametros_carros!$B$7=0,0,(O36+parametros_carros!$G$59)/parametros_carros!$B$7)</f>
        <v>0.1330606667</v>
      </c>
      <c r="Q36" s="21" t="str">
        <f t="shared" si="6"/>
        <v>Mar</v>
      </c>
    </row>
    <row r="37" ht="14.25" customHeight="1">
      <c r="A37" s="2" t="str">
        <f>parametros_carros!$B$34</f>
        <v>Montaje, manga, precinto y etiquetado</v>
      </c>
      <c r="B37" s="9">
        <f>(parametros_carros!$D$34*('Plan mensual'!D13+IF(parametros_carros!$H$34="Todos",'Plan mensual'!D17,0))+parametros_carros!$E$34*('Plan mensual'!D14+IF(parametros_carros!$H$34="Todos",'Plan mensual'!D18,0))+parametros_carros!$F$34*('Plan mensual'!D15+IF(parametros_carros!$H$34="Todos",'Plan mensual'!D19,0))+parametros_carros!$G$34*('Plan mensual'!D16+IF(parametros_carros!$H$34="Todos",'Plan mensual'!D20,0)))/60</f>
        <v>2.085616667</v>
      </c>
      <c r="C37" s="9">
        <f>(parametros_carros!$D$34*('Plan mensual'!E13+IF(parametros_carros!$H$34="Todos",'Plan mensual'!E17,0))+parametros_carros!$E$34*('Plan mensual'!E14+IF(parametros_carros!$H$34="Todos",'Plan mensual'!E18,0))+parametros_carros!$F$34*('Plan mensual'!E15+IF(parametros_carros!$H$34="Todos",'Plan mensual'!E19,0))+parametros_carros!$G$34*('Plan mensual'!E16+IF(parametros_carros!$H$34="Todos",'Plan mensual'!E20,0)))/60</f>
        <v>1.84025</v>
      </c>
      <c r="D37" s="9">
        <f>(parametros_carros!$D$34*('Plan mensual'!F13+IF(parametros_carros!$H$34="Todos",'Plan mensual'!F17,0))+parametros_carros!$E$34*('Plan mensual'!F14+IF(parametros_carros!$H$34="Todos",'Plan mensual'!F18,0))+parametros_carros!$F$34*('Plan mensual'!F15+IF(parametros_carros!$H$34="Todos",'Plan mensual'!F19,0))+parametros_carros!$G$34*('Plan mensual'!F16+IF(parametros_carros!$H$34="Todos",'Plan mensual'!F20,0)))/60</f>
        <v>2.2083</v>
      </c>
      <c r="E37" s="9">
        <f>(parametros_carros!$D$34*('Plan mensual'!G13+IF(parametros_carros!$H$34="Todos",'Plan mensual'!G17,0))+parametros_carros!$E$34*('Plan mensual'!G14+IF(parametros_carros!$H$34="Todos",'Plan mensual'!G18,0))+parametros_carros!$F$34*('Plan mensual'!G15+IF(parametros_carros!$H$34="Todos",'Plan mensual'!G19,0))+parametros_carros!$G$34*('Plan mensual'!G16+IF(parametros_carros!$H$34="Todos",'Plan mensual'!G20,0)))/60</f>
        <v>2.2083</v>
      </c>
      <c r="F37" s="9">
        <f>(parametros_carros!$D$34*('Plan mensual'!H13+IF(parametros_carros!$H$34="Todos",'Plan mensual'!H17,0))+parametros_carros!$E$34*('Plan mensual'!H14+IF(parametros_carros!$H$34="Todos",'Plan mensual'!H18,0))+parametros_carros!$F$34*('Plan mensual'!H15+IF(parametros_carros!$H$34="Todos",'Plan mensual'!H19,0))+parametros_carros!$G$34*('Plan mensual'!H16+IF(parametros_carros!$H$34="Todos",'Plan mensual'!H20,0)))/60</f>
        <v>2.2083</v>
      </c>
      <c r="G37" s="9">
        <f>(parametros_carros!$D$34*('Plan mensual'!I13+IF(parametros_carros!$H$34="Todos",'Plan mensual'!I17,0))+parametros_carros!$E$34*('Plan mensual'!I14+IF(parametros_carros!$H$34="Todos",'Plan mensual'!I18,0))+parametros_carros!$F$34*('Plan mensual'!I15+IF(parametros_carros!$H$34="Todos",'Plan mensual'!I19,0))+parametros_carros!$G$34*('Plan mensual'!I16+IF(parametros_carros!$H$34="Todos",'Plan mensual'!I20,0)))/60</f>
        <v>1.962933333</v>
      </c>
      <c r="H37" s="9">
        <f>(parametros_carros!$D$34*('Plan mensual'!J13+IF(parametros_carros!$H$34="Todos",'Plan mensual'!J17,0))+parametros_carros!$E$34*('Plan mensual'!J14+IF(parametros_carros!$H$34="Todos",'Plan mensual'!J18,0))+parametros_carros!$F$34*('Plan mensual'!J15+IF(parametros_carros!$H$34="Todos",'Plan mensual'!J19,0))+parametros_carros!$G$34*('Plan mensual'!J16+IF(parametros_carros!$H$34="Todos",'Plan mensual'!J20,0)))/60</f>
        <v>2.2083</v>
      </c>
      <c r="I37" s="9">
        <f>(parametros_carros!$D$34*('Plan mensual'!K13+IF(parametros_carros!$H$34="Todos",'Plan mensual'!K17,0))+parametros_carros!$E$34*('Plan mensual'!K14+IF(parametros_carros!$H$34="Todos",'Plan mensual'!K18,0))+parametros_carros!$F$34*('Plan mensual'!K15+IF(parametros_carros!$H$34="Todos",'Plan mensual'!K19,0))+parametros_carros!$G$34*('Plan mensual'!K16+IF(parametros_carros!$H$34="Todos",'Plan mensual'!K20,0)))/60</f>
        <v>2.2083</v>
      </c>
      <c r="J37" s="9">
        <f>(parametros_carros!$D$34*('Plan mensual'!L13+IF(parametros_carros!$H$34="Todos",'Plan mensual'!L17,0))+parametros_carros!$E$34*('Plan mensual'!L14+IF(parametros_carros!$H$34="Todos",'Plan mensual'!L18,0))+parametros_carros!$F$34*('Plan mensual'!L15+IF(parametros_carros!$H$34="Todos",'Plan mensual'!L19,0))+parametros_carros!$G$34*('Plan mensual'!L16+IF(parametros_carros!$H$34="Todos",'Plan mensual'!L20,0)))/60</f>
        <v>2.085616667</v>
      </c>
      <c r="K37" s="9">
        <f>(parametros_carros!$D$34*('Plan mensual'!M13+IF(parametros_carros!$H$34="Todos",'Plan mensual'!M17,0))+parametros_carros!$E$34*('Plan mensual'!M14+IF(parametros_carros!$H$34="Todos",'Plan mensual'!M18,0))+parametros_carros!$F$34*('Plan mensual'!M15+IF(parametros_carros!$H$34="Todos",'Plan mensual'!M19,0))+parametros_carros!$G$34*('Plan mensual'!M16+IF(parametros_carros!$H$34="Todos",'Plan mensual'!M20,0)))/60</f>
        <v>1.84025</v>
      </c>
      <c r="L37" s="9">
        <f>(parametros_carros!$D$34*('Plan mensual'!N13+IF(parametros_carros!$H$34="Todos",'Plan mensual'!N17,0))+parametros_carros!$E$34*('Plan mensual'!N14+IF(parametros_carros!$H$34="Todos",'Plan mensual'!N18,0))+parametros_carros!$F$34*('Plan mensual'!N15+IF(parametros_carros!$H$34="Todos",'Plan mensual'!N19,0))+parametros_carros!$G$34*('Plan mensual'!N16+IF(parametros_carros!$H$34="Todos",'Plan mensual'!N20,0)))/60</f>
        <v>1.717566667</v>
      </c>
      <c r="M37" s="9">
        <f>(parametros_carros!$D$34*('Plan mensual'!O13+IF(parametros_carros!$H$34="Todos",'Plan mensual'!O17,0))+parametros_carros!$E$34*('Plan mensual'!O14+IF(parametros_carros!$H$34="Todos",'Plan mensual'!O18,0))+parametros_carros!$F$34*('Plan mensual'!O15+IF(parametros_carros!$H$34="Todos",'Plan mensual'!O19,0))+parametros_carros!$G$34*('Plan mensual'!O16+IF(parametros_carros!$H$34="Todos",'Plan mensual'!O20,0)))/60</f>
        <v>1.962933333</v>
      </c>
      <c r="N37" s="9">
        <f t="shared" si="4"/>
        <v>24.53666667</v>
      </c>
      <c r="O37" s="9">
        <f t="shared" si="5"/>
        <v>2.2083</v>
      </c>
      <c r="P37" s="32">
        <f>IF(parametros_carros!$B$7=0,0,(O37+parametros_carros!$G$60)/parametros_carros!$B$7)</f>
        <v>0.06138866667</v>
      </c>
      <c r="Q37" s="21" t="str">
        <f t="shared" si="6"/>
        <v>Mar</v>
      </c>
    </row>
    <row r="38" ht="14.25" customHeight="1">
      <c r="A38" s="2" t="str">
        <f>parametros_carros!$B$35</f>
        <v>Calidad: pérdidas, inspección final, liberación y ensayos de lote</v>
      </c>
      <c r="B38" s="9">
        <f>(parametros_carros!$D$35*('Plan mensual'!D13+IF(parametros_carros!$H$35="Todos",'Plan mensual'!D17,0))+parametros_carros!$E$35*('Plan mensual'!D14+IF(parametros_carros!$H$35="Todos",'Plan mensual'!D18,0))+parametros_carros!$F$35*('Plan mensual'!D15+IF(parametros_carros!$H$35="Todos",'Plan mensual'!D19,0))+parametros_carros!$G$35*('Plan mensual'!D16+IF(parametros_carros!$H$35="Todos",'Plan mensual'!D20,0)))/60</f>
        <v>1.581099167</v>
      </c>
      <c r="C38" s="9">
        <f>(parametros_carros!$D$35*('Plan mensual'!E13+IF(parametros_carros!$H$35="Todos",'Plan mensual'!E17,0))+parametros_carros!$E$35*('Plan mensual'!E14+IF(parametros_carros!$H$35="Todos",'Plan mensual'!E18,0))+parametros_carros!$F$35*('Plan mensual'!E15+IF(parametros_carros!$H$35="Todos",'Plan mensual'!E19,0))+parametros_carros!$G$35*('Plan mensual'!E16+IF(parametros_carros!$H$35="Todos",'Plan mensual'!E20,0)))/60</f>
        <v>1.3950875</v>
      </c>
      <c r="D38" s="9">
        <f>(parametros_carros!$D$35*('Plan mensual'!F13+IF(parametros_carros!$H$35="Todos",'Plan mensual'!F17,0))+parametros_carros!$E$35*('Plan mensual'!F14+IF(parametros_carros!$H$35="Todos",'Plan mensual'!F18,0))+parametros_carros!$F$35*('Plan mensual'!F15+IF(parametros_carros!$H$35="Todos",'Plan mensual'!F19,0))+parametros_carros!$G$35*('Plan mensual'!F16+IF(parametros_carros!$H$35="Todos",'Plan mensual'!F20,0)))/60</f>
        <v>1.674105</v>
      </c>
      <c r="E38" s="9">
        <f>(parametros_carros!$D$35*('Plan mensual'!G13+IF(parametros_carros!$H$35="Todos",'Plan mensual'!G17,0))+parametros_carros!$E$35*('Plan mensual'!G14+IF(parametros_carros!$H$35="Todos",'Plan mensual'!G18,0))+parametros_carros!$F$35*('Plan mensual'!G15+IF(parametros_carros!$H$35="Todos",'Plan mensual'!G19,0))+parametros_carros!$G$35*('Plan mensual'!G16+IF(parametros_carros!$H$35="Todos",'Plan mensual'!G20,0)))/60</f>
        <v>1.674105</v>
      </c>
      <c r="F38" s="9">
        <f>(parametros_carros!$D$35*('Plan mensual'!H13+IF(parametros_carros!$H$35="Todos",'Plan mensual'!H17,0))+parametros_carros!$E$35*('Plan mensual'!H14+IF(parametros_carros!$H$35="Todos",'Plan mensual'!H18,0))+parametros_carros!$F$35*('Plan mensual'!H15+IF(parametros_carros!$H$35="Todos",'Plan mensual'!H19,0))+parametros_carros!$G$35*('Plan mensual'!H16+IF(parametros_carros!$H$35="Todos",'Plan mensual'!H20,0)))/60</f>
        <v>1.674105</v>
      </c>
      <c r="G38" s="9">
        <f>(parametros_carros!$D$35*('Plan mensual'!I13+IF(parametros_carros!$H$35="Todos",'Plan mensual'!I17,0))+parametros_carros!$E$35*('Plan mensual'!I14+IF(parametros_carros!$H$35="Todos",'Plan mensual'!I18,0))+parametros_carros!$F$35*('Plan mensual'!I15+IF(parametros_carros!$H$35="Todos",'Plan mensual'!I19,0))+parametros_carros!$G$35*('Plan mensual'!I16+IF(parametros_carros!$H$35="Todos",'Plan mensual'!I20,0)))/60</f>
        <v>1.488093333</v>
      </c>
      <c r="H38" s="9">
        <f>(parametros_carros!$D$35*('Plan mensual'!J13+IF(parametros_carros!$H$35="Todos",'Plan mensual'!J17,0))+parametros_carros!$E$35*('Plan mensual'!J14+IF(parametros_carros!$H$35="Todos",'Plan mensual'!J18,0))+parametros_carros!$F$35*('Plan mensual'!J15+IF(parametros_carros!$H$35="Todos",'Plan mensual'!J19,0))+parametros_carros!$G$35*('Plan mensual'!J16+IF(parametros_carros!$H$35="Todos",'Plan mensual'!J20,0)))/60</f>
        <v>1.674105</v>
      </c>
      <c r="I38" s="9">
        <f>(parametros_carros!$D$35*('Plan mensual'!K13+IF(parametros_carros!$H$35="Todos",'Plan mensual'!K17,0))+parametros_carros!$E$35*('Plan mensual'!K14+IF(parametros_carros!$H$35="Todos",'Plan mensual'!K18,0))+parametros_carros!$F$35*('Plan mensual'!K15+IF(parametros_carros!$H$35="Todos",'Plan mensual'!K19,0))+parametros_carros!$G$35*('Plan mensual'!K16+IF(parametros_carros!$H$35="Todos",'Plan mensual'!K20,0)))/60</f>
        <v>1.674105</v>
      </c>
      <c r="J38" s="9">
        <f>(parametros_carros!$D$35*('Plan mensual'!L13+IF(parametros_carros!$H$35="Todos",'Plan mensual'!L17,0))+parametros_carros!$E$35*('Plan mensual'!L14+IF(parametros_carros!$H$35="Todos",'Plan mensual'!L18,0))+parametros_carros!$F$35*('Plan mensual'!L15+IF(parametros_carros!$H$35="Todos",'Plan mensual'!L19,0))+parametros_carros!$G$35*('Plan mensual'!L16+IF(parametros_carros!$H$35="Todos",'Plan mensual'!L20,0)))/60</f>
        <v>1.581099167</v>
      </c>
      <c r="K38" s="9">
        <f>(parametros_carros!$D$35*('Plan mensual'!M13+IF(parametros_carros!$H$35="Todos",'Plan mensual'!M17,0))+parametros_carros!$E$35*('Plan mensual'!M14+IF(parametros_carros!$H$35="Todos",'Plan mensual'!M18,0))+parametros_carros!$F$35*('Plan mensual'!M15+IF(parametros_carros!$H$35="Todos",'Plan mensual'!M19,0))+parametros_carros!$G$35*('Plan mensual'!M16+IF(parametros_carros!$H$35="Todos",'Plan mensual'!M20,0)))/60</f>
        <v>1.3950875</v>
      </c>
      <c r="L38" s="9">
        <f>(parametros_carros!$D$35*('Plan mensual'!N13+IF(parametros_carros!$H$35="Todos",'Plan mensual'!N17,0))+parametros_carros!$E$35*('Plan mensual'!N14+IF(parametros_carros!$H$35="Todos",'Plan mensual'!N18,0))+parametros_carros!$F$35*('Plan mensual'!N15+IF(parametros_carros!$H$35="Todos",'Plan mensual'!N19,0))+parametros_carros!$G$35*('Plan mensual'!N16+IF(parametros_carros!$H$35="Todos",'Plan mensual'!N20,0)))/60</f>
        <v>1.302081667</v>
      </c>
      <c r="M38" s="9">
        <f>(parametros_carros!$D$35*('Plan mensual'!O13+IF(parametros_carros!$H$35="Todos",'Plan mensual'!O17,0))+parametros_carros!$E$35*('Plan mensual'!O14+IF(parametros_carros!$H$35="Todos",'Plan mensual'!O18,0))+parametros_carros!$F$35*('Plan mensual'!O15+IF(parametros_carros!$H$35="Todos",'Plan mensual'!O19,0))+parametros_carros!$G$35*('Plan mensual'!O16+IF(parametros_carros!$H$35="Todos",'Plan mensual'!O20,0)))/60</f>
        <v>1.488093333</v>
      </c>
      <c r="N38" s="9">
        <f t="shared" si="4"/>
        <v>18.60116667</v>
      </c>
      <c r="O38" s="9">
        <f t="shared" si="5"/>
        <v>1.674105</v>
      </c>
      <c r="P38" s="32">
        <f>IF(parametros_carros!$B$7=0,0,(O38+parametros_carros!$G$61)/parametros_carros!$B$7)</f>
        <v>0.3813829222</v>
      </c>
      <c r="Q38" s="21" t="str">
        <f t="shared" si="6"/>
        <v>Mar</v>
      </c>
    </row>
    <row r="39" ht="14.25" customHeight="1">
      <c r="A39" s="2" t="str">
        <f>parametros_carros!$B$36</f>
        <v>Depósito de producto terminado y despacho</v>
      </c>
      <c r="B39" s="9">
        <f>(parametros_carros!$D$36*('Plan mensual'!D13+IF(parametros_carros!$H$36="Todos",'Plan mensual'!D17,0))+parametros_carros!$E$36*('Plan mensual'!D14+IF(parametros_carros!$H$36="Todos",'Plan mensual'!D18,0))+parametros_carros!$F$36*('Plan mensual'!D15+IF(parametros_carros!$H$36="Todos",'Plan mensual'!D19,0))+parametros_carros!$G$36*('Plan mensual'!D16+IF(parametros_carros!$H$36="Todos",'Plan mensual'!D20,0)))/60</f>
        <v>0.4493666667</v>
      </c>
      <c r="C39" s="9">
        <f>(parametros_carros!$D$36*('Plan mensual'!E13+IF(parametros_carros!$H$36="Todos",'Plan mensual'!E17,0))+parametros_carros!$E$36*('Plan mensual'!E14+IF(parametros_carros!$H$36="Todos",'Plan mensual'!E18,0))+parametros_carros!$F$36*('Plan mensual'!E15+IF(parametros_carros!$H$36="Todos",'Plan mensual'!E19,0))+parametros_carros!$G$36*('Plan mensual'!E16+IF(parametros_carros!$H$36="Todos",'Plan mensual'!E20,0)))/60</f>
        <v>0.3965</v>
      </c>
      <c r="D39" s="9">
        <f>(parametros_carros!$D$36*('Plan mensual'!F13+IF(parametros_carros!$H$36="Todos",'Plan mensual'!F17,0))+parametros_carros!$E$36*('Plan mensual'!F14+IF(parametros_carros!$H$36="Todos",'Plan mensual'!F18,0))+parametros_carros!$F$36*('Plan mensual'!F15+IF(parametros_carros!$H$36="Todos",'Plan mensual'!F19,0))+parametros_carros!$G$36*('Plan mensual'!F16+IF(parametros_carros!$H$36="Todos",'Plan mensual'!F20,0)))/60</f>
        <v>0.4758</v>
      </c>
      <c r="E39" s="9">
        <f>(parametros_carros!$D$36*('Plan mensual'!G13+IF(parametros_carros!$H$36="Todos",'Plan mensual'!G17,0))+parametros_carros!$E$36*('Plan mensual'!G14+IF(parametros_carros!$H$36="Todos",'Plan mensual'!G18,0))+parametros_carros!$F$36*('Plan mensual'!G15+IF(parametros_carros!$H$36="Todos",'Plan mensual'!G19,0))+parametros_carros!$G$36*('Plan mensual'!G16+IF(parametros_carros!$H$36="Todos",'Plan mensual'!G20,0)))/60</f>
        <v>0.4758</v>
      </c>
      <c r="F39" s="9">
        <f>(parametros_carros!$D$36*('Plan mensual'!H13+IF(parametros_carros!$H$36="Todos",'Plan mensual'!H17,0))+parametros_carros!$E$36*('Plan mensual'!H14+IF(parametros_carros!$H$36="Todos",'Plan mensual'!H18,0))+parametros_carros!$F$36*('Plan mensual'!H15+IF(parametros_carros!$H$36="Todos",'Plan mensual'!H19,0))+parametros_carros!$G$36*('Plan mensual'!H16+IF(parametros_carros!$H$36="Todos",'Plan mensual'!H20,0)))/60</f>
        <v>0.4758</v>
      </c>
      <c r="G39" s="9">
        <f>(parametros_carros!$D$36*('Plan mensual'!I13+IF(parametros_carros!$H$36="Todos",'Plan mensual'!I17,0))+parametros_carros!$E$36*('Plan mensual'!I14+IF(parametros_carros!$H$36="Todos",'Plan mensual'!I18,0))+parametros_carros!$F$36*('Plan mensual'!I15+IF(parametros_carros!$H$36="Todos",'Plan mensual'!I19,0))+parametros_carros!$G$36*('Plan mensual'!I16+IF(parametros_carros!$H$36="Todos",'Plan mensual'!I20,0)))/60</f>
        <v>0.4229333333</v>
      </c>
      <c r="H39" s="9">
        <f>(parametros_carros!$D$36*('Plan mensual'!J13+IF(parametros_carros!$H$36="Todos",'Plan mensual'!J17,0))+parametros_carros!$E$36*('Plan mensual'!J14+IF(parametros_carros!$H$36="Todos",'Plan mensual'!J18,0))+parametros_carros!$F$36*('Plan mensual'!J15+IF(parametros_carros!$H$36="Todos",'Plan mensual'!J19,0))+parametros_carros!$G$36*('Plan mensual'!J16+IF(parametros_carros!$H$36="Todos",'Plan mensual'!J20,0)))/60</f>
        <v>0.4758</v>
      </c>
      <c r="I39" s="9">
        <f>(parametros_carros!$D$36*('Plan mensual'!K13+IF(parametros_carros!$H$36="Todos",'Plan mensual'!K17,0))+parametros_carros!$E$36*('Plan mensual'!K14+IF(parametros_carros!$H$36="Todos",'Plan mensual'!K18,0))+parametros_carros!$F$36*('Plan mensual'!K15+IF(parametros_carros!$H$36="Todos",'Plan mensual'!K19,0))+parametros_carros!$G$36*('Plan mensual'!K16+IF(parametros_carros!$H$36="Todos",'Plan mensual'!K20,0)))/60</f>
        <v>0.4758</v>
      </c>
      <c r="J39" s="9">
        <f>(parametros_carros!$D$36*('Plan mensual'!L13+IF(parametros_carros!$H$36="Todos",'Plan mensual'!L17,0))+parametros_carros!$E$36*('Plan mensual'!L14+IF(parametros_carros!$H$36="Todos",'Plan mensual'!L18,0))+parametros_carros!$F$36*('Plan mensual'!L15+IF(parametros_carros!$H$36="Todos",'Plan mensual'!L19,0))+parametros_carros!$G$36*('Plan mensual'!L16+IF(parametros_carros!$H$36="Todos",'Plan mensual'!L20,0)))/60</f>
        <v>0.4493666667</v>
      </c>
      <c r="K39" s="9">
        <f>(parametros_carros!$D$36*('Plan mensual'!M13+IF(parametros_carros!$H$36="Todos",'Plan mensual'!M17,0))+parametros_carros!$E$36*('Plan mensual'!M14+IF(parametros_carros!$H$36="Todos",'Plan mensual'!M18,0))+parametros_carros!$F$36*('Plan mensual'!M15+IF(parametros_carros!$H$36="Todos",'Plan mensual'!M19,0))+parametros_carros!$G$36*('Plan mensual'!M16+IF(parametros_carros!$H$36="Todos",'Plan mensual'!M20,0)))/60</f>
        <v>0.3965</v>
      </c>
      <c r="L39" s="9">
        <f>(parametros_carros!$D$36*('Plan mensual'!N13+IF(parametros_carros!$H$36="Todos",'Plan mensual'!N17,0))+parametros_carros!$E$36*('Plan mensual'!N14+IF(parametros_carros!$H$36="Todos",'Plan mensual'!N18,0))+parametros_carros!$F$36*('Plan mensual'!N15+IF(parametros_carros!$H$36="Todos",'Plan mensual'!N19,0))+parametros_carros!$G$36*('Plan mensual'!N16+IF(parametros_carros!$H$36="Todos",'Plan mensual'!N20,0)))/60</f>
        <v>0.3700666667</v>
      </c>
      <c r="M39" s="9">
        <f>(parametros_carros!$D$36*('Plan mensual'!O13+IF(parametros_carros!$H$36="Todos",'Plan mensual'!O17,0))+parametros_carros!$E$36*('Plan mensual'!O14+IF(parametros_carros!$H$36="Todos",'Plan mensual'!O18,0))+parametros_carros!$F$36*('Plan mensual'!O15+IF(parametros_carros!$H$36="Todos",'Plan mensual'!O19,0))+parametros_carros!$G$36*('Plan mensual'!O16+IF(parametros_carros!$H$36="Todos",'Plan mensual'!O20,0)))/60</f>
        <v>0.4229333333</v>
      </c>
      <c r="N39" s="9">
        <f t="shared" si="4"/>
        <v>5.286666667</v>
      </c>
      <c r="O39" s="9">
        <f t="shared" si="5"/>
        <v>0.4758</v>
      </c>
      <c r="P39" s="32">
        <f>IF(parametros_carros!$B$7=0,0,(O39+parametros_carros!$G$62)/parametros_carros!$B$7)</f>
        <v>0.02539422222</v>
      </c>
      <c r="Q39" s="21" t="str">
        <f t="shared" si="6"/>
        <v>Mar</v>
      </c>
    </row>
    <row r="40" ht="14.25" customHeight="1"/>
    <row r="41" ht="45.0" customHeight="1">
      <c r="A41" s="1" t="s">
        <v>454</v>
      </c>
      <c r="B41" s="1" t="s">
        <v>8</v>
      </c>
      <c r="C41" s="1" t="s">
        <v>9</v>
      </c>
      <c r="D41" s="1" t="s">
        <v>11</v>
      </c>
      <c r="E41" s="1" t="s">
        <v>13</v>
      </c>
      <c r="F41" s="1" t="s">
        <v>14</v>
      </c>
      <c r="G41" s="1" t="s">
        <v>15</v>
      </c>
      <c r="H41" s="1" t="s">
        <v>16</v>
      </c>
      <c r="I41" s="1" t="s">
        <v>18</v>
      </c>
      <c r="J41" s="1" t="s">
        <v>19</v>
      </c>
      <c r="K41" s="1" t="s">
        <v>20</v>
      </c>
      <c r="L41" s="1" t="s">
        <v>21</v>
      </c>
      <c r="M41" s="1" t="s">
        <v>22</v>
      </c>
      <c r="N41" s="1" t="s">
        <v>32</v>
      </c>
      <c r="O41" s="1" t="s">
        <v>33</v>
      </c>
      <c r="P41" s="1" t="s">
        <v>34</v>
      </c>
      <c r="Q41" s="1" t="s">
        <v>36</v>
      </c>
    </row>
    <row r="42" ht="14.25" customHeight="1">
      <c r="A42" s="2" t="str">
        <f>parametros_carros!$B$19</f>
        <v>Recepción de materia prima</v>
      </c>
      <c r="B42" s="9">
        <f>(parametros_carros!$D$19*('Plan mensual'!D24+IF(parametros_carros!$H$19="Todos",'Plan mensual'!D28,0))+parametros_carros!$E$19*('Plan mensual'!D25+IF(parametros_carros!$H$19="Todos",'Plan mensual'!D29,0))+parametros_carros!$F$19*('Plan mensual'!D26+IF(parametros_carros!$H$19="Todos",'Plan mensual'!D30,0))+parametros_carros!$G$19*('Plan mensual'!D27+IF(parametros_carros!$H$19="Todos",'Plan mensual'!D31,0)))/60</f>
        <v>0.909075</v>
      </c>
      <c r="C42" s="9">
        <f>(parametros_carros!$D$19*('Plan mensual'!E24+IF(parametros_carros!$H$19="Todos",'Plan mensual'!E28,0))+parametros_carros!$E$19*('Plan mensual'!E25+IF(parametros_carros!$H$19="Todos",'Plan mensual'!E29,0))+parametros_carros!$F$19*('Plan mensual'!E26+IF(parametros_carros!$H$19="Todos",'Plan mensual'!E30,0))+parametros_carros!$G$19*('Plan mensual'!E27+IF(parametros_carros!$H$19="Todos",'Plan mensual'!E31,0)))/60</f>
        <v>0.802125</v>
      </c>
      <c r="D42" s="9">
        <f>(parametros_carros!$D$19*('Plan mensual'!F24+IF(parametros_carros!$H$19="Todos",'Plan mensual'!F28,0))+parametros_carros!$E$19*('Plan mensual'!F25+IF(parametros_carros!$H$19="Todos",'Plan mensual'!F29,0))+parametros_carros!$F$19*('Plan mensual'!F26+IF(parametros_carros!$H$19="Todos",'Plan mensual'!F30,0))+parametros_carros!$G$19*('Plan mensual'!F27+IF(parametros_carros!$H$19="Todos",'Plan mensual'!F31,0)))/60</f>
        <v>0.96255</v>
      </c>
      <c r="E42" s="9">
        <f>(parametros_carros!$D$19*('Plan mensual'!G24+IF(parametros_carros!$H$19="Todos",'Plan mensual'!G28,0))+parametros_carros!$E$19*('Plan mensual'!G25+IF(parametros_carros!$H$19="Todos",'Plan mensual'!G29,0))+parametros_carros!$F$19*('Plan mensual'!G26+IF(parametros_carros!$H$19="Todos",'Plan mensual'!G30,0))+parametros_carros!$G$19*('Plan mensual'!G27+IF(parametros_carros!$H$19="Todos",'Plan mensual'!G31,0)))/60</f>
        <v>0.96255</v>
      </c>
      <c r="F42" s="9">
        <f>(parametros_carros!$D$19*('Plan mensual'!H24+IF(parametros_carros!$H$19="Todos",'Plan mensual'!H28,0))+parametros_carros!$E$19*('Plan mensual'!H25+IF(parametros_carros!$H$19="Todos",'Plan mensual'!H29,0))+parametros_carros!$F$19*('Plan mensual'!H26+IF(parametros_carros!$H$19="Todos",'Plan mensual'!H30,0))+parametros_carros!$G$19*('Plan mensual'!H27+IF(parametros_carros!$H$19="Todos",'Plan mensual'!H31,0)))/60</f>
        <v>0.96255</v>
      </c>
      <c r="G42" s="9">
        <f>(parametros_carros!$D$19*('Plan mensual'!I24+IF(parametros_carros!$H$19="Todos",'Plan mensual'!I28,0))+parametros_carros!$E$19*('Plan mensual'!I25+IF(parametros_carros!$H$19="Todos",'Plan mensual'!I29,0))+parametros_carros!$F$19*('Plan mensual'!I26+IF(parametros_carros!$H$19="Todos",'Plan mensual'!I30,0))+parametros_carros!$G$19*('Plan mensual'!I27+IF(parametros_carros!$H$19="Todos",'Plan mensual'!I31,0)))/60</f>
        <v>0.8556</v>
      </c>
      <c r="H42" s="9">
        <f>(parametros_carros!$D$19*('Plan mensual'!J24+IF(parametros_carros!$H$19="Todos",'Plan mensual'!J28,0))+parametros_carros!$E$19*('Plan mensual'!J25+IF(parametros_carros!$H$19="Todos",'Plan mensual'!J29,0))+parametros_carros!$F$19*('Plan mensual'!J26+IF(parametros_carros!$H$19="Todos",'Plan mensual'!J30,0))+parametros_carros!$G$19*('Plan mensual'!J27+IF(parametros_carros!$H$19="Todos",'Plan mensual'!J31,0)))/60</f>
        <v>0.96255</v>
      </c>
      <c r="I42" s="9">
        <f>(parametros_carros!$D$19*('Plan mensual'!K24+IF(parametros_carros!$H$19="Todos",'Plan mensual'!K28,0))+parametros_carros!$E$19*('Plan mensual'!K25+IF(parametros_carros!$H$19="Todos",'Plan mensual'!K29,0))+parametros_carros!$F$19*('Plan mensual'!K26+IF(parametros_carros!$H$19="Todos",'Plan mensual'!K30,0))+parametros_carros!$G$19*('Plan mensual'!K27+IF(parametros_carros!$H$19="Todos",'Plan mensual'!K31,0)))/60</f>
        <v>0.96255</v>
      </c>
      <c r="J42" s="9">
        <f>(parametros_carros!$D$19*('Plan mensual'!L24+IF(parametros_carros!$H$19="Todos",'Plan mensual'!L28,0))+parametros_carros!$E$19*('Plan mensual'!L25+IF(parametros_carros!$H$19="Todos",'Plan mensual'!L29,0))+parametros_carros!$F$19*('Plan mensual'!L26+IF(parametros_carros!$H$19="Todos",'Plan mensual'!L30,0))+parametros_carros!$G$19*('Plan mensual'!L27+IF(parametros_carros!$H$19="Todos",'Plan mensual'!L31,0)))/60</f>
        <v>0.909075</v>
      </c>
      <c r="K42" s="9">
        <f>(parametros_carros!$D$19*('Plan mensual'!M24+IF(parametros_carros!$H$19="Todos",'Plan mensual'!M28,0))+parametros_carros!$E$19*('Plan mensual'!M25+IF(parametros_carros!$H$19="Todos",'Plan mensual'!M29,0))+parametros_carros!$F$19*('Plan mensual'!M26+IF(parametros_carros!$H$19="Todos",'Plan mensual'!M30,0))+parametros_carros!$G$19*('Plan mensual'!M27+IF(parametros_carros!$H$19="Todos",'Plan mensual'!M31,0)))/60</f>
        <v>0.802125</v>
      </c>
      <c r="L42" s="9">
        <f>(parametros_carros!$D$19*('Plan mensual'!N24+IF(parametros_carros!$H$19="Todos",'Plan mensual'!N28,0))+parametros_carros!$E$19*('Plan mensual'!N25+IF(parametros_carros!$H$19="Todos",'Plan mensual'!N29,0))+parametros_carros!$F$19*('Plan mensual'!N26+IF(parametros_carros!$H$19="Todos",'Plan mensual'!N30,0))+parametros_carros!$G$19*('Plan mensual'!N27+IF(parametros_carros!$H$19="Todos",'Plan mensual'!N31,0)))/60</f>
        <v>0.74865</v>
      </c>
      <c r="M42" s="9">
        <f>(parametros_carros!$D$19*('Plan mensual'!O24+IF(parametros_carros!$H$19="Todos",'Plan mensual'!O28,0))+parametros_carros!$E$19*('Plan mensual'!O25+IF(parametros_carros!$H$19="Todos",'Plan mensual'!O29,0))+parametros_carros!$F$19*('Plan mensual'!O26+IF(parametros_carros!$H$19="Todos",'Plan mensual'!O30,0))+parametros_carros!$G$19*('Plan mensual'!O27+IF(parametros_carros!$H$19="Todos",'Plan mensual'!O31,0)))/60</f>
        <v>0.8556</v>
      </c>
      <c r="N42" s="9">
        <f t="shared" ref="N42:N59" si="7">SUM(B42:M42)</f>
        <v>10.695</v>
      </c>
      <c r="O42" s="9">
        <f t="shared" ref="O42:O59" si="8">MAX(B42:M42)</f>
        <v>0.96255</v>
      </c>
      <c r="P42" s="32">
        <f>IF(parametros_carros!$B$7=0,0,(O42+parametros_carros!$G$45)/parametros_carros!$B$7)</f>
        <v>0.05452811111</v>
      </c>
      <c r="Q42" s="21" t="str">
        <f t="shared" ref="Q42:Q59" si="9">IF(O42=0,"-",INDEX($B$41:$M$41,MATCH(O42,B42:M42,0)))</f>
        <v>Mar</v>
      </c>
    </row>
    <row r="43" ht="14.25" customHeight="1">
      <c r="A43" s="2" t="str">
        <f>parametros_carros!$B$20</f>
        <v>Corte de chapa (guillotina)</v>
      </c>
      <c r="B43" s="9">
        <f>(parametros_carros!$D$20*('Plan mensual'!D24+IF(parametros_carros!$H$20="Todos",'Plan mensual'!D28,0))+parametros_carros!$E$20*('Plan mensual'!D25+IF(parametros_carros!$H$20="Todos",'Plan mensual'!D29,0))+parametros_carros!$F$20*('Plan mensual'!D26+IF(parametros_carros!$H$20="Todos",'Plan mensual'!D30,0))+parametros_carros!$G$20*('Plan mensual'!D27+IF(parametros_carros!$H$20="Todos",'Plan mensual'!D31,0)))/60</f>
        <v>1.998072826</v>
      </c>
      <c r="C43" s="9">
        <f>(parametros_carros!$D$20*('Plan mensual'!E24+IF(parametros_carros!$H$20="Todos",'Plan mensual'!E28,0))+parametros_carros!$E$20*('Plan mensual'!E25+IF(parametros_carros!$H$20="Todos",'Plan mensual'!E29,0))+parametros_carros!$F$20*('Plan mensual'!E26+IF(parametros_carros!$H$20="Todos",'Plan mensual'!E30,0))+parametros_carros!$G$20*('Plan mensual'!E27+IF(parametros_carros!$H$20="Todos",'Plan mensual'!E31,0)))/60</f>
        <v>1.763005435</v>
      </c>
      <c r="D43" s="9">
        <f>(parametros_carros!$D$20*('Plan mensual'!F24+IF(parametros_carros!$H$20="Todos",'Plan mensual'!F28,0))+parametros_carros!$E$20*('Plan mensual'!F25+IF(parametros_carros!$H$20="Todos",'Plan mensual'!F29,0))+parametros_carros!$F$20*('Plan mensual'!F26+IF(parametros_carros!$H$20="Todos",'Plan mensual'!F30,0))+parametros_carros!$G$20*('Plan mensual'!F27+IF(parametros_carros!$H$20="Todos",'Plan mensual'!F31,0)))/60</f>
        <v>2.115606522</v>
      </c>
      <c r="E43" s="9">
        <f>(parametros_carros!$D$20*('Plan mensual'!G24+IF(parametros_carros!$H$20="Todos",'Plan mensual'!G28,0))+parametros_carros!$E$20*('Plan mensual'!G25+IF(parametros_carros!$H$20="Todos",'Plan mensual'!G29,0))+parametros_carros!$F$20*('Plan mensual'!G26+IF(parametros_carros!$H$20="Todos",'Plan mensual'!G30,0))+parametros_carros!$G$20*('Plan mensual'!G27+IF(parametros_carros!$H$20="Todos",'Plan mensual'!G31,0)))/60</f>
        <v>2.115606522</v>
      </c>
      <c r="F43" s="9">
        <f>(parametros_carros!$D$20*('Plan mensual'!H24+IF(parametros_carros!$H$20="Todos",'Plan mensual'!H28,0))+parametros_carros!$E$20*('Plan mensual'!H25+IF(parametros_carros!$H$20="Todos",'Plan mensual'!H29,0))+parametros_carros!$F$20*('Plan mensual'!H26+IF(parametros_carros!$H$20="Todos",'Plan mensual'!H30,0))+parametros_carros!$G$20*('Plan mensual'!H27+IF(parametros_carros!$H$20="Todos",'Plan mensual'!H31,0)))/60</f>
        <v>2.115606522</v>
      </c>
      <c r="G43" s="9">
        <f>(parametros_carros!$D$20*('Plan mensual'!I24+IF(parametros_carros!$H$20="Todos",'Plan mensual'!I28,0))+parametros_carros!$E$20*('Plan mensual'!I25+IF(parametros_carros!$H$20="Todos",'Plan mensual'!I29,0))+parametros_carros!$F$20*('Plan mensual'!I26+IF(parametros_carros!$H$20="Todos",'Plan mensual'!I30,0))+parametros_carros!$G$20*('Plan mensual'!I27+IF(parametros_carros!$H$20="Todos",'Plan mensual'!I31,0)))/60</f>
        <v>1.88053913</v>
      </c>
      <c r="H43" s="9">
        <f>(parametros_carros!$D$20*('Plan mensual'!J24+IF(parametros_carros!$H$20="Todos",'Plan mensual'!J28,0))+parametros_carros!$E$20*('Plan mensual'!J25+IF(parametros_carros!$H$20="Todos",'Plan mensual'!J29,0))+parametros_carros!$F$20*('Plan mensual'!J26+IF(parametros_carros!$H$20="Todos",'Plan mensual'!J30,0))+parametros_carros!$G$20*('Plan mensual'!J27+IF(parametros_carros!$H$20="Todos",'Plan mensual'!J31,0)))/60</f>
        <v>2.115606522</v>
      </c>
      <c r="I43" s="9">
        <f>(parametros_carros!$D$20*('Plan mensual'!K24+IF(parametros_carros!$H$20="Todos",'Plan mensual'!K28,0))+parametros_carros!$E$20*('Plan mensual'!K25+IF(parametros_carros!$H$20="Todos",'Plan mensual'!K29,0))+parametros_carros!$F$20*('Plan mensual'!K26+IF(parametros_carros!$H$20="Todos",'Plan mensual'!K30,0))+parametros_carros!$G$20*('Plan mensual'!K27+IF(parametros_carros!$H$20="Todos",'Plan mensual'!K31,0)))/60</f>
        <v>2.115606522</v>
      </c>
      <c r="J43" s="9">
        <f>(parametros_carros!$D$20*('Plan mensual'!L24+IF(parametros_carros!$H$20="Todos",'Plan mensual'!L28,0))+parametros_carros!$E$20*('Plan mensual'!L25+IF(parametros_carros!$H$20="Todos",'Plan mensual'!L29,0))+parametros_carros!$F$20*('Plan mensual'!L26+IF(parametros_carros!$H$20="Todos",'Plan mensual'!L30,0))+parametros_carros!$G$20*('Plan mensual'!L27+IF(parametros_carros!$H$20="Todos",'Plan mensual'!L31,0)))/60</f>
        <v>1.998072826</v>
      </c>
      <c r="K43" s="9">
        <f>(parametros_carros!$D$20*('Plan mensual'!M24+IF(parametros_carros!$H$20="Todos",'Plan mensual'!M28,0))+parametros_carros!$E$20*('Plan mensual'!M25+IF(parametros_carros!$H$20="Todos",'Plan mensual'!M29,0))+parametros_carros!$F$20*('Plan mensual'!M26+IF(parametros_carros!$H$20="Todos",'Plan mensual'!M30,0))+parametros_carros!$G$20*('Plan mensual'!M27+IF(parametros_carros!$H$20="Todos",'Plan mensual'!M31,0)))/60</f>
        <v>1.763005435</v>
      </c>
      <c r="L43" s="9">
        <f>(parametros_carros!$D$20*('Plan mensual'!N24+IF(parametros_carros!$H$20="Todos",'Plan mensual'!N28,0))+parametros_carros!$E$20*('Plan mensual'!N25+IF(parametros_carros!$H$20="Todos",'Plan mensual'!N29,0))+parametros_carros!$F$20*('Plan mensual'!N26+IF(parametros_carros!$H$20="Todos",'Plan mensual'!N30,0))+parametros_carros!$G$20*('Plan mensual'!N27+IF(parametros_carros!$H$20="Todos",'Plan mensual'!N31,0)))/60</f>
        <v>1.645471739</v>
      </c>
      <c r="M43" s="9">
        <f>(parametros_carros!$D$20*('Plan mensual'!O24+IF(parametros_carros!$H$20="Todos",'Plan mensual'!O28,0))+parametros_carros!$E$20*('Plan mensual'!O25+IF(parametros_carros!$H$20="Todos",'Plan mensual'!O29,0))+parametros_carros!$F$20*('Plan mensual'!O26+IF(parametros_carros!$H$20="Todos",'Plan mensual'!O30,0))+parametros_carros!$G$20*('Plan mensual'!O27+IF(parametros_carros!$H$20="Todos",'Plan mensual'!O31,0)))/60</f>
        <v>1.88053913</v>
      </c>
      <c r="N43" s="9">
        <f t="shared" si="7"/>
        <v>23.50673913</v>
      </c>
      <c r="O43" s="9">
        <f t="shared" si="8"/>
        <v>2.115606522</v>
      </c>
      <c r="P43" s="32">
        <f>IF(parametros_carros!$B$7=0,0,(O43+parametros_carros!$G$46)/parametros_carros!$B$7)</f>
        <v>0.0763262657</v>
      </c>
      <c r="Q43" s="21" t="str">
        <f t="shared" si="9"/>
        <v>Mar</v>
      </c>
    </row>
    <row r="44" ht="14.25" customHeight="1">
      <c r="A44" s="2" t="str">
        <f>parametros_carros!$B$21</f>
        <v>Marcado del cuerpo</v>
      </c>
      <c r="B44" s="9">
        <f>(parametros_carros!$D$21*('Plan mensual'!D24+IF(parametros_carros!$H$21="Todos",'Plan mensual'!D28,0))+parametros_carros!$E$21*('Plan mensual'!D25+IF(parametros_carros!$H$21="Todos",'Plan mensual'!D29,0))+parametros_carros!$F$21*('Plan mensual'!D26+IF(parametros_carros!$H$21="Todos",'Plan mensual'!D30,0))+parametros_carros!$G$21*('Plan mensual'!D27+IF(parametros_carros!$H$21="Todos",'Plan mensual'!D31,0)))/60</f>
        <v>0.7956</v>
      </c>
      <c r="C44" s="9">
        <f>(parametros_carros!$D$21*('Plan mensual'!E24+IF(parametros_carros!$H$21="Todos",'Plan mensual'!E28,0))+parametros_carros!$E$21*('Plan mensual'!E25+IF(parametros_carros!$H$21="Todos",'Plan mensual'!E29,0))+parametros_carros!$F$21*('Plan mensual'!E26+IF(parametros_carros!$H$21="Todos",'Plan mensual'!E30,0))+parametros_carros!$G$21*('Plan mensual'!E27+IF(parametros_carros!$H$21="Todos",'Plan mensual'!E31,0)))/60</f>
        <v>0.702</v>
      </c>
      <c r="D44" s="9">
        <f>(parametros_carros!$D$21*('Plan mensual'!F24+IF(parametros_carros!$H$21="Todos",'Plan mensual'!F28,0))+parametros_carros!$E$21*('Plan mensual'!F25+IF(parametros_carros!$H$21="Todos",'Plan mensual'!F29,0))+parametros_carros!$F$21*('Plan mensual'!F26+IF(parametros_carros!$H$21="Todos",'Plan mensual'!F30,0))+parametros_carros!$G$21*('Plan mensual'!F27+IF(parametros_carros!$H$21="Todos",'Plan mensual'!F31,0)))/60</f>
        <v>0.8424</v>
      </c>
      <c r="E44" s="9">
        <f>(parametros_carros!$D$21*('Plan mensual'!G24+IF(parametros_carros!$H$21="Todos",'Plan mensual'!G28,0))+parametros_carros!$E$21*('Plan mensual'!G25+IF(parametros_carros!$H$21="Todos",'Plan mensual'!G29,0))+parametros_carros!$F$21*('Plan mensual'!G26+IF(parametros_carros!$H$21="Todos",'Plan mensual'!G30,0))+parametros_carros!$G$21*('Plan mensual'!G27+IF(parametros_carros!$H$21="Todos",'Plan mensual'!G31,0)))/60</f>
        <v>0.8424</v>
      </c>
      <c r="F44" s="9">
        <f>(parametros_carros!$D$21*('Plan mensual'!H24+IF(parametros_carros!$H$21="Todos",'Plan mensual'!H28,0))+parametros_carros!$E$21*('Plan mensual'!H25+IF(parametros_carros!$H$21="Todos",'Plan mensual'!H29,0))+parametros_carros!$F$21*('Plan mensual'!H26+IF(parametros_carros!$H$21="Todos",'Plan mensual'!H30,0))+parametros_carros!$G$21*('Plan mensual'!H27+IF(parametros_carros!$H$21="Todos",'Plan mensual'!H31,0)))/60</f>
        <v>0.8424</v>
      </c>
      <c r="G44" s="9">
        <f>(parametros_carros!$D$21*('Plan mensual'!I24+IF(parametros_carros!$H$21="Todos",'Plan mensual'!I28,0))+parametros_carros!$E$21*('Plan mensual'!I25+IF(parametros_carros!$H$21="Todos",'Plan mensual'!I29,0))+parametros_carros!$F$21*('Plan mensual'!I26+IF(parametros_carros!$H$21="Todos",'Plan mensual'!I30,0))+parametros_carros!$G$21*('Plan mensual'!I27+IF(parametros_carros!$H$21="Todos",'Plan mensual'!I31,0)))/60</f>
        <v>0.7488</v>
      </c>
      <c r="H44" s="9">
        <f>(parametros_carros!$D$21*('Plan mensual'!J24+IF(parametros_carros!$H$21="Todos",'Plan mensual'!J28,0))+parametros_carros!$E$21*('Plan mensual'!J25+IF(parametros_carros!$H$21="Todos",'Plan mensual'!J29,0))+parametros_carros!$F$21*('Plan mensual'!J26+IF(parametros_carros!$H$21="Todos",'Plan mensual'!J30,0))+parametros_carros!$G$21*('Plan mensual'!J27+IF(parametros_carros!$H$21="Todos",'Plan mensual'!J31,0)))/60</f>
        <v>0.8424</v>
      </c>
      <c r="I44" s="9">
        <f>(parametros_carros!$D$21*('Plan mensual'!K24+IF(parametros_carros!$H$21="Todos",'Plan mensual'!K28,0))+parametros_carros!$E$21*('Plan mensual'!K25+IF(parametros_carros!$H$21="Todos",'Plan mensual'!K29,0))+parametros_carros!$F$21*('Plan mensual'!K26+IF(parametros_carros!$H$21="Todos",'Plan mensual'!K30,0))+parametros_carros!$G$21*('Plan mensual'!K27+IF(parametros_carros!$H$21="Todos",'Plan mensual'!K31,0)))/60</f>
        <v>0.8424</v>
      </c>
      <c r="J44" s="9">
        <f>(parametros_carros!$D$21*('Plan mensual'!L24+IF(parametros_carros!$H$21="Todos",'Plan mensual'!L28,0))+parametros_carros!$E$21*('Plan mensual'!L25+IF(parametros_carros!$H$21="Todos",'Plan mensual'!L29,0))+parametros_carros!$F$21*('Plan mensual'!L26+IF(parametros_carros!$H$21="Todos",'Plan mensual'!L30,0))+parametros_carros!$G$21*('Plan mensual'!L27+IF(parametros_carros!$H$21="Todos",'Plan mensual'!L31,0)))/60</f>
        <v>0.7956</v>
      </c>
      <c r="K44" s="9">
        <f>(parametros_carros!$D$21*('Plan mensual'!M24+IF(parametros_carros!$H$21="Todos",'Plan mensual'!M28,0))+parametros_carros!$E$21*('Plan mensual'!M25+IF(parametros_carros!$H$21="Todos",'Plan mensual'!M29,0))+parametros_carros!$F$21*('Plan mensual'!M26+IF(parametros_carros!$H$21="Todos",'Plan mensual'!M30,0))+parametros_carros!$G$21*('Plan mensual'!M27+IF(parametros_carros!$H$21="Todos",'Plan mensual'!M31,0)))/60</f>
        <v>0.702</v>
      </c>
      <c r="L44" s="9">
        <f>(parametros_carros!$D$21*('Plan mensual'!N24+IF(parametros_carros!$H$21="Todos",'Plan mensual'!N28,0))+parametros_carros!$E$21*('Plan mensual'!N25+IF(parametros_carros!$H$21="Todos",'Plan mensual'!N29,0))+parametros_carros!$F$21*('Plan mensual'!N26+IF(parametros_carros!$H$21="Todos",'Plan mensual'!N30,0))+parametros_carros!$G$21*('Plan mensual'!N27+IF(parametros_carros!$H$21="Todos",'Plan mensual'!N31,0)))/60</f>
        <v>0.6552</v>
      </c>
      <c r="M44" s="9">
        <f>(parametros_carros!$D$21*('Plan mensual'!O24+IF(parametros_carros!$H$21="Todos",'Plan mensual'!O28,0))+parametros_carros!$E$21*('Plan mensual'!O25+IF(parametros_carros!$H$21="Todos",'Plan mensual'!O29,0))+parametros_carros!$F$21*('Plan mensual'!O26+IF(parametros_carros!$H$21="Todos",'Plan mensual'!O30,0))+parametros_carros!$G$21*('Plan mensual'!O27+IF(parametros_carros!$H$21="Todos",'Plan mensual'!O31,0)))/60</f>
        <v>0.7488</v>
      </c>
      <c r="N44" s="9">
        <f t="shared" si="7"/>
        <v>9.36</v>
      </c>
      <c r="O44" s="9">
        <f t="shared" si="8"/>
        <v>0.8424</v>
      </c>
      <c r="P44" s="32">
        <f>IF(parametros_carros!$B$7=0,0,(O44+parametros_carros!$G$47)/parametros_carros!$B$7)</f>
        <v>0.01783822222</v>
      </c>
      <c r="Q44" s="21" t="str">
        <f t="shared" si="9"/>
        <v>Mar</v>
      </c>
    </row>
    <row r="45" ht="14.25" customHeight="1">
      <c r="A45" s="2" t="str">
        <f>parametros_carros!$B$22</f>
        <v>Cilindrado</v>
      </c>
      <c r="B45" s="9">
        <f>(parametros_carros!$D$22*('Plan mensual'!D24+IF(parametros_carros!$H$22="Todos",'Plan mensual'!D28,0))+parametros_carros!$E$22*('Plan mensual'!D25+IF(parametros_carros!$H$22="Todos",'Plan mensual'!D29,0))+parametros_carros!$F$22*('Plan mensual'!D26+IF(parametros_carros!$H$22="Todos",'Plan mensual'!D30,0))+parametros_carros!$G$22*('Plan mensual'!D27+IF(parametros_carros!$H$22="Todos",'Plan mensual'!D31,0)))/60</f>
        <v>1.702876449</v>
      </c>
      <c r="C45" s="9">
        <f>(parametros_carros!$D$22*('Plan mensual'!E24+IF(parametros_carros!$H$22="Todos",'Plan mensual'!E28,0))+parametros_carros!$E$22*('Plan mensual'!E25+IF(parametros_carros!$H$22="Todos",'Plan mensual'!E29,0))+parametros_carros!$F$22*('Plan mensual'!E26+IF(parametros_carros!$H$22="Todos",'Plan mensual'!E30,0))+parametros_carros!$G$22*('Plan mensual'!E27+IF(parametros_carros!$H$22="Todos",'Plan mensual'!E31,0)))/60</f>
        <v>1.502538043</v>
      </c>
      <c r="D45" s="9">
        <f>(parametros_carros!$D$22*('Plan mensual'!F24+IF(parametros_carros!$H$22="Todos",'Plan mensual'!F28,0))+parametros_carros!$E$22*('Plan mensual'!F25+IF(parametros_carros!$H$22="Todos",'Plan mensual'!F29,0))+parametros_carros!$F$22*('Plan mensual'!F26+IF(parametros_carros!$H$22="Todos",'Plan mensual'!F30,0))+parametros_carros!$G$22*('Plan mensual'!F27+IF(parametros_carros!$H$22="Todos",'Plan mensual'!F31,0)))/60</f>
        <v>1.803045652</v>
      </c>
      <c r="E45" s="9">
        <f>(parametros_carros!$D$22*('Plan mensual'!G24+IF(parametros_carros!$H$22="Todos",'Plan mensual'!G28,0))+parametros_carros!$E$22*('Plan mensual'!G25+IF(parametros_carros!$H$22="Todos",'Plan mensual'!G29,0))+parametros_carros!$F$22*('Plan mensual'!G26+IF(parametros_carros!$H$22="Todos",'Plan mensual'!G30,0))+parametros_carros!$G$22*('Plan mensual'!G27+IF(parametros_carros!$H$22="Todos",'Plan mensual'!G31,0)))/60</f>
        <v>1.803045652</v>
      </c>
      <c r="F45" s="9">
        <f>(parametros_carros!$D$22*('Plan mensual'!H24+IF(parametros_carros!$H$22="Todos",'Plan mensual'!H28,0))+parametros_carros!$E$22*('Plan mensual'!H25+IF(parametros_carros!$H$22="Todos",'Plan mensual'!H29,0))+parametros_carros!$F$22*('Plan mensual'!H26+IF(parametros_carros!$H$22="Todos",'Plan mensual'!H30,0))+parametros_carros!$G$22*('Plan mensual'!H27+IF(parametros_carros!$H$22="Todos",'Plan mensual'!H31,0)))/60</f>
        <v>1.803045652</v>
      </c>
      <c r="G45" s="9">
        <f>(parametros_carros!$D$22*('Plan mensual'!I24+IF(parametros_carros!$H$22="Todos",'Plan mensual'!I28,0))+parametros_carros!$E$22*('Plan mensual'!I25+IF(parametros_carros!$H$22="Todos",'Plan mensual'!I29,0))+parametros_carros!$F$22*('Plan mensual'!I26+IF(parametros_carros!$H$22="Todos",'Plan mensual'!I30,0))+parametros_carros!$G$22*('Plan mensual'!I27+IF(parametros_carros!$H$22="Todos",'Plan mensual'!I31,0)))/60</f>
        <v>1.602707246</v>
      </c>
      <c r="H45" s="9">
        <f>(parametros_carros!$D$22*('Plan mensual'!J24+IF(parametros_carros!$H$22="Todos",'Plan mensual'!J28,0))+parametros_carros!$E$22*('Plan mensual'!J25+IF(parametros_carros!$H$22="Todos",'Plan mensual'!J29,0))+parametros_carros!$F$22*('Plan mensual'!J26+IF(parametros_carros!$H$22="Todos",'Plan mensual'!J30,0))+parametros_carros!$G$22*('Plan mensual'!J27+IF(parametros_carros!$H$22="Todos",'Plan mensual'!J31,0)))/60</f>
        <v>1.803045652</v>
      </c>
      <c r="I45" s="9">
        <f>(parametros_carros!$D$22*('Plan mensual'!K24+IF(parametros_carros!$H$22="Todos",'Plan mensual'!K28,0))+parametros_carros!$E$22*('Plan mensual'!K25+IF(parametros_carros!$H$22="Todos",'Plan mensual'!K29,0))+parametros_carros!$F$22*('Plan mensual'!K26+IF(parametros_carros!$H$22="Todos",'Plan mensual'!K30,0))+parametros_carros!$G$22*('Plan mensual'!K27+IF(parametros_carros!$H$22="Todos",'Plan mensual'!K31,0)))/60</f>
        <v>1.803045652</v>
      </c>
      <c r="J45" s="9">
        <f>(parametros_carros!$D$22*('Plan mensual'!L24+IF(parametros_carros!$H$22="Todos",'Plan mensual'!L28,0))+parametros_carros!$E$22*('Plan mensual'!L25+IF(parametros_carros!$H$22="Todos",'Plan mensual'!L29,0))+parametros_carros!$F$22*('Plan mensual'!L26+IF(parametros_carros!$H$22="Todos",'Plan mensual'!L30,0))+parametros_carros!$G$22*('Plan mensual'!L27+IF(parametros_carros!$H$22="Todos",'Plan mensual'!L31,0)))/60</f>
        <v>1.702876449</v>
      </c>
      <c r="K45" s="9">
        <f>(parametros_carros!$D$22*('Plan mensual'!M24+IF(parametros_carros!$H$22="Todos",'Plan mensual'!M28,0))+parametros_carros!$E$22*('Plan mensual'!M25+IF(parametros_carros!$H$22="Todos",'Plan mensual'!M29,0))+parametros_carros!$F$22*('Plan mensual'!M26+IF(parametros_carros!$H$22="Todos",'Plan mensual'!M30,0))+parametros_carros!$G$22*('Plan mensual'!M27+IF(parametros_carros!$H$22="Todos",'Plan mensual'!M31,0)))/60</f>
        <v>1.502538043</v>
      </c>
      <c r="L45" s="9">
        <f>(parametros_carros!$D$22*('Plan mensual'!N24+IF(parametros_carros!$H$22="Todos",'Plan mensual'!N28,0))+parametros_carros!$E$22*('Plan mensual'!N25+IF(parametros_carros!$H$22="Todos",'Plan mensual'!N29,0))+parametros_carros!$F$22*('Plan mensual'!N26+IF(parametros_carros!$H$22="Todos",'Plan mensual'!N30,0))+parametros_carros!$G$22*('Plan mensual'!N27+IF(parametros_carros!$H$22="Todos",'Plan mensual'!N31,0)))/60</f>
        <v>1.402368841</v>
      </c>
      <c r="M45" s="9">
        <f>(parametros_carros!$D$22*('Plan mensual'!O24+IF(parametros_carros!$H$22="Todos",'Plan mensual'!O28,0))+parametros_carros!$E$22*('Plan mensual'!O25+IF(parametros_carros!$H$22="Todos",'Plan mensual'!O29,0))+parametros_carros!$F$22*('Plan mensual'!O26+IF(parametros_carros!$H$22="Todos",'Plan mensual'!O30,0))+parametros_carros!$G$22*('Plan mensual'!O27+IF(parametros_carros!$H$22="Todos",'Plan mensual'!O31,0)))/60</f>
        <v>1.602707246</v>
      </c>
      <c r="N45" s="9">
        <f t="shared" si="7"/>
        <v>20.03384058</v>
      </c>
      <c r="O45" s="9">
        <f t="shared" si="8"/>
        <v>1.803045652</v>
      </c>
      <c r="P45" s="32">
        <f>IF(parametros_carros!$B$7=0,0,(O45+parametros_carros!$G$48)/parametros_carros!$B$7)</f>
        <v>0.05202030435</v>
      </c>
      <c r="Q45" s="21" t="str">
        <f t="shared" si="9"/>
        <v>Mar</v>
      </c>
    </row>
    <row r="46" ht="14.25" customHeight="1">
      <c r="A46" s="2" t="str">
        <f>parametros_carros!$B$23</f>
        <v>Punteo del cuerpo</v>
      </c>
      <c r="B46" s="9">
        <f>(parametros_carros!$D$23*('Plan mensual'!D24+IF(parametros_carros!$H$23="Todos",'Plan mensual'!D28,0))+parametros_carros!$E$23*('Plan mensual'!D25+IF(parametros_carros!$H$23="Todos",'Plan mensual'!D29,0))+parametros_carros!$F$23*('Plan mensual'!D26+IF(parametros_carros!$H$23="Todos",'Plan mensual'!D30,0))+parametros_carros!$G$23*('Plan mensual'!D27+IF(parametros_carros!$H$23="Todos",'Plan mensual'!D31,0)))/60</f>
        <v>2.524401449</v>
      </c>
      <c r="C46" s="9">
        <f>(parametros_carros!$D$23*('Plan mensual'!E24+IF(parametros_carros!$H$23="Todos",'Plan mensual'!E28,0))+parametros_carros!$E$23*('Plan mensual'!E25+IF(parametros_carros!$H$23="Todos",'Plan mensual'!E29,0))+parametros_carros!$F$23*('Plan mensual'!E26+IF(parametros_carros!$H$23="Todos",'Plan mensual'!E30,0))+parametros_carros!$G$23*('Plan mensual'!E27+IF(parametros_carros!$H$23="Todos",'Plan mensual'!E31,0)))/60</f>
        <v>2.227413043</v>
      </c>
      <c r="D46" s="9">
        <f>(parametros_carros!$D$23*('Plan mensual'!F24+IF(parametros_carros!$H$23="Todos",'Plan mensual'!F28,0))+parametros_carros!$E$23*('Plan mensual'!F25+IF(parametros_carros!$H$23="Todos",'Plan mensual'!F29,0))+parametros_carros!$F$23*('Plan mensual'!F26+IF(parametros_carros!$H$23="Todos",'Plan mensual'!F30,0))+parametros_carros!$G$23*('Plan mensual'!F27+IF(parametros_carros!$H$23="Todos",'Plan mensual'!F31,0)))/60</f>
        <v>2.672895652</v>
      </c>
      <c r="E46" s="9">
        <f>(parametros_carros!$D$23*('Plan mensual'!G24+IF(parametros_carros!$H$23="Todos",'Plan mensual'!G28,0))+parametros_carros!$E$23*('Plan mensual'!G25+IF(parametros_carros!$H$23="Todos",'Plan mensual'!G29,0))+parametros_carros!$F$23*('Plan mensual'!G26+IF(parametros_carros!$H$23="Todos",'Plan mensual'!G30,0))+parametros_carros!$G$23*('Plan mensual'!G27+IF(parametros_carros!$H$23="Todos",'Plan mensual'!G31,0)))/60</f>
        <v>2.672895652</v>
      </c>
      <c r="F46" s="9">
        <f>(parametros_carros!$D$23*('Plan mensual'!H24+IF(parametros_carros!$H$23="Todos",'Plan mensual'!H28,0))+parametros_carros!$E$23*('Plan mensual'!H25+IF(parametros_carros!$H$23="Todos",'Plan mensual'!H29,0))+parametros_carros!$F$23*('Plan mensual'!H26+IF(parametros_carros!$H$23="Todos",'Plan mensual'!H30,0))+parametros_carros!$G$23*('Plan mensual'!H27+IF(parametros_carros!$H$23="Todos",'Plan mensual'!H31,0)))/60</f>
        <v>2.672895652</v>
      </c>
      <c r="G46" s="9">
        <f>(parametros_carros!$D$23*('Plan mensual'!I24+IF(parametros_carros!$H$23="Todos",'Plan mensual'!I28,0))+parametros_carros!$E$23*('Plan mensual'!I25+IF(parametros_carros!$H$23="Todos",'Plan mensual'!I29,0))+parametros_carros!$F$23*('Plan mensual'!I26+IF(parametros_carros!$H$23="Todos",'Plan mensual'!I30,0))+parametros_carros!$G$23*('Plan mensual'!I27+IF(parametros_carros!$H$23="Todos",'Plan mensual'!I31,0)))/60</f>
        <v>2.375907246</v>
      </c>
      <c r="H46" s="9">
        <f>(parametros_carros!$D$23*('Plan mensual'!J24+IF(parametros_carros!$H$23="Todos",'Plan mensual'!J28,0))+parametros_carros!$E$23*('Plan mensual'!J25+IF(parametros_carros!$H$23="Todos",'Plan mensual'!J29,0))+parametros_carros!$F$23*('Plan mensual'!J26+IF(parametros_carros!$H$23="Todos",'Plan mensual'!J30,0))+parametros_carros!$G$23*('Plan mensual'!J27+IF(parametros_carros!$H$23="Todos",'Plan mensual'!J31,0)))/60</f>
        <v>2.672895652</v>
      </c>
      <c r="I46" s="9">
        <f>(parametros_carros!$D$23*('Plan mensual'!K24+IF(parametros_carros!$H$23="Todos",'Plan mensual'!K28,0))+parametros_carros!$E$23*('Plan mensual'!K25+IF(parametros_carros!$H$23="Todos",'Plan mensual'!K29,0))+parametros_carros!$F$23*('Plan mensual'!K26+IF(parametros_carros!$H$23="Todos",'Plan mensual'!K30,0))+parametros_carros!$G$23*('Plan mensual'!K27+IF(parametros_carros!$H$23="Todos",'Plan mensual'!K31,0)))/60</f>
        <v>2.672895652</v>
      </c>
      <c r="J46" s="9">
        <f>(parametros_carros!$D$23*('Plan mensual'!L24+IF(parametros_carros!$H$23="Todos",'Plan mensual'!L28,0))+parametros_carros!$E$23*('Plan mensual'!L25+IF(parametros_carros!$H$23="Todos",'Plan mensual'!L29,0))+parametros_carros!$F$23*('Plan mensual'!L26+IF(parametros_carros!$H$23="Todos",'Plan mensual'!L30,0))+parametros_carros!$G$23*('Plan mensual'!L27+IF(parametros_carros!$H$23="Todos",'Plan mensual'!L31,0)))/60</f>
        <v>2.524401449</v>
      </c>
      <c r="K46" s="9">
        <f>(parametros_carros!$D$23*('Plan mensual'!M24+IF(parametros_carros!$H$23="Todos",'Plan mensual'!M28,0))+parametros_carros!$E$23*('Plan mensual'!M25+IF(parametros_carros!$H$23="Todos",'Plan mensual'!M29,0))+parametros_carros!$F$23*('Plan mensual'!M26+IF(parametros_carros!$H$23="Todos",'Plan mensual'!M30,0))+parametros_carros!$G$23*('Plan mensual'!M27+IF(parametros_carros!$H$23="Todos",'Plan mensual'!M31,0)))/60</f>
        <v>2.227413043</v>
      </c>
      <c r="L46" s="9">
        <f>(parametros_carros!$D$23*('Plan mensual'!N24+IF(parametros_carros!$H$23="Todos",'Plan mensual'!N28,0))+parametros_carros!$E$23*('Plan mensual'!N25+IF(parametros_carros!$H$23="Todos",'Plan mensual'!N29,0))+parametros_carros!$F$23*('Plan mensual'!N26+IF(parametros_carros!$H$23="Todos",'Plan mensual'!N30,0))+parametros_carros!$G$23*('Plan mensual'!N27+IF(parametros_carros!$H$23="Todos",'Plan mensual'!N31,0)))/60</f>
        <v>2.078918841</v>
      </c>
      <c r="M46" s="9">
        <f>(parametros_carros!$D$23*('Plan mensual'!O24+IF(parametros_carros!$H$23="Todos",'Plan mensual'!O28,0))+parametros_carros!$E$23*('Plan mensual'!O25+IF(parametros_carros!$H$23="Todos",'Plan mensual'!O29,0))+parametros_carros!$F$23*('Plan mensual'!O26+IF(parametros_carros!$H$23="Todos",'Plan mensual'!O30,0))+parametros_carros!$G$23*('Plan mensual'!O27+IF(parametros_carros!$H$23="Todos",'Plan mensual'!O31,0)))/60</f>
        <v>2.375907246</v>
      </c>
      <c r="N46" s="9">
        <f t="shared" si="7"/>
        <v>29.69884058</v>
      </c>
      <c r="O46" s="9">
        <f t="shared" si="8"/>
        <v>2.672895652</v>
      </c>
      <c r="P46" s="32">
        <f>IF(parametros_carros!$B$7=0,0,(O46+parametros_carros!$G$49)/parametros_carros!$B$7)</f>
        <v>0.02893041546</v>
      </c>
      <c r="Q46" s="21" t="str">
        <f t="shared" si="9"/>
        <v>Mar</v>
      </c>
    </row>
    <row r="47" ht="14.25" customHeight="1">
      <c r="A47" s="2" t="str">
        <f>parametros_carros!$B$24</f>
        <v>Soldadura longitudinal</v>
      </c>
      <c r="B47" s="9">
        <f>(parametros_carros!$D$24*('Plan mensual'!D24+IF(parametros_carros!$H$24="Todos",'Plan mensual'!D28,0))+parametros_carros!$E$24*('Plan mensual'!D25+IF(parametros_carros!$H$24="Todos",'Plan mensual'!D29,0))+parametros_carros!$F$24*('Plan mensual'!D26+IF(parametros_carros!$H$24="Todos",'Plan mensual'!D30,0))+parametros_carros!$G$24*('Plan mensual'!D27+IF(parametros_carros!$H$24="Todos",'Plan mensual'!D31,0)))/60</f>
        <v>1.734708333</v>
      </c>
      <c r="C47" s="9">
        <f>(parametros_carros!$D$24*('Plan mensual'!E24+IF(parametros_carros!$H$24="Todos",'Plan mensual'!E28,0))+parametros_carros!$E$24*('Plan mensual'!E25+IF(parametros_carros!$H$24="Todos",'Plan mensual'!E29,0))+parametros_carros!$F$24*('Plan mensual'!E26+IF(parametros_carros!$H$24="Todos",'Plan mensual'!E30,0))+parametros_carros!$G$24*('Plan mensual'!E27+IF(parametros_carros!$H$24="Todos",'Plan mensual'!E31,0)))/60</f>
        <v>1.530625</v>
      </c>
      <c r="D47" s="9">
        <f>(parametros_carros!$D$24*('Plan mensual'!F24+IF(parametros_carros!$H$24="Todos",'Plan mensual'!F28,0))+parametros_carros!$E$24*('Plan mensual'!F25+IF(parametros_carros!$H$24="Todos",'Plan mensual'!F29,0))+parametros_carros!$F$24*('Plan mensual'!F26+IF(parametros_carros!$H$24="Todos",'Plan mensual'!F30,0))+parametros_carros!$G$24*('Plan mensual'!F27+IF(parametros_carros!$H$24="Todos",'Plan mensual'!F31,0)))/60</f>
        <v>1.83675</v>
      </c>
      <c r="E47" s="9">
        <f>(parametros_carros!$D$24*('Plan mensual'!G24+IF(parametros_carros!$H$24="Todos",'Plan mensual'!G28,0))+parametros_carros!$E$24*('Plan mensual'!G25+IF(parametros_carros!$H$24="Todos",'Plan mensual'!G29,0))+parametros_carros!$F$24*('Plan mensual'!G26+IF(parametros_carros!$H$24="Todos",'Plan mensual'!G30,0))+parametros_carros!$G$24*('Plan mensual'!G27+IF(parametros_carros!$H$24="Todos",'Plan mensual'!G31,0)))/60</f>
        <v>1.83675</v>
      </c>
      <c r="F47" s="9">
        <f>(parametros_carros!$D$24*('Plan mensual'!H24+IF(parametros_carros!$H$24="Todos",'Plan mensual'!H28,0))+parametros_carros!$E$24*('Plan mensual'!H25+IF(parametros_carros!$H$24="Todos",'Plan mensual'!H29,0))+parametros_carros!$F$24*('Plan mensual'!H26+IF(parametros_carros!$H$24="Todos",'Plan mensual'!H30,0))+parametros_carros!$G$24*('Plan mensual'!H27+IF(parametros_carros!$H$24="Todos",'Plan mensual'!H31,0)))/60</f>
        <v>1.83675</v>
      </c>
      <c r="G47" s="9">
        <f>(parametros_carros!$D$24*('Plan mensual'!I24+IF(parametros_carros!$H$24="Todos",'Plan mensual'!I28,0))+parametros_carros!$E$24*('Plan mensual'!I25+IF(parametros_carros!$H$24="Todos",'Plan mensual'!I29,0))+parametros_carros!$F$24*('Plan mensual'!I26+IF(parametros_carros!$H$24="Todos",'Plan mensual'!I30,0))+parametros_carros!$G$24*('Plan mensual'!I27+IF(parametros_carros!$H$24="Todos",'Plan mensual'!I31,0)))/60</f>
        <v>1.632666667</v>
      </c>
      <c r="H47" s="9">
        <f>(parametros_carros!$D$24*('Plan mensual'!J24+IF(parametros_carros!$H$24="Todos",'Plan mensual'!J28,0))+parametros_carros!$E$24*('Plan mensual'!J25+IF(parametros_carros!$H$24="Todos",'Plan mensual'!J29,0))+parametros_carros!$F$24*('Plan mensual'!J26+IF(parametros_carros!$H$24="Todos",'Plan mensual'!J30,0))+parametros_carros!$G$24*('Plan mensual'!J27+IF(parametros_carros!$H$24="Todos",'Plan mensual'!J31,0)))/60</f>
        <v>1.83675</v>
      </c>
      <c r="I47" s="9">
        <f>(parametros_carros!$D$24*('Plan mensual'!K24+IF(parametros_carros!$H$24="Todos",'Plan mensual'!K28,0))+parametros_carros!$E$24*('Plan mensual'!K25+IF(parametros_carros!$H$24="Todos",'Plan mensual'!K29,0))+parametros_carros!$F$24*('Plan mensual'!K26+IF(parametros_carros!$H$24="Todos",'Plan mensual'!K30,0))+parametros_carros!$G$24*('Plan mensual'!K27+IF(parametros_carros!$H$24="Todos",'Plan mensual'!K31,0)))/60</f>
        <v>1.83675</v>
      </c>
      <c r="J47" s="9">
        <f>(parametros_carros!$D$24*('Plan mensual'!L24+IF(parametros_carros!$H$24="Todos",'Plan mensual'!L28,0))+parametros_carros!$E$24*('Plan mensual'!L25+IF(parametros_carros!$H$24="Todos",'Plan mensual'!L29,0))+parametros_carros!$F$24*('Plan mensual'!L26+IF(parametros_carros!$H$24="Todos",'Plan mensual'!L30,0))+parametros_carros!$G$24*('Plan mensual'!L27+IF(parametros_carros!$H$24="Todos",'Plan mensual'!L31,0)))/60</f>
        <v>1.734708333</v>
      </c>
      <c r="K47" s="9">
        <f>(parametros_carros!$D$24*('Plan mensual'!M24+IF(parametros_carros!$H$24="Todos",'Plan mensual'!M28,0))+parametros_carros!$E$24*('Plan mensual'!M25+IF(parametros_carros!$H$24="Todos",'Plan mensual'!M29,0))+parametros_carros!$F$24*('Plan mensual'!M26+IF(parametros_carros!$H$24="Todos",'Plan mensual'!M30,0))+parametros_carros!$G$24*('Plan mensual'!M27+IF(parametros_carros!$H$24="Todos",'Plan mensual'!M31,0)))/60</f>
        <v>1.530625</v>
      </c>
      <c r="L47" s="9">
        <f>(parametros_carros!$D$24*('Plan mensual'!N24+IF(parametros_carros!$H$24="Todos",'Plan mensual'!N28,0))+parametros_carros!$E$24*('Plan mensual'!N25+IF(parametros_carros!$H$24="Todos",'Plan mensual'!N29,0))+parametros_carros!$F$24*('Plan mensual'!N26+IF(parametros_carros!$H$24="Todos",'Plan mensual'!N30,0))+parametros_carros!$G$24*('Plan mensual'!N27+IF(parametros_carros!$H$24="Todos",'Plan mensual'!N31,0)))/60</f>
        <v>1.428583333</v>
      </c>
      <c r="M47" s="9">
        <f>(parametros_carros!$D$24*('Plan mensual'!O24+IF(parametros_carros!$H$24="Todos",'Plan mensual'!O28,0))+parametros_carros!$E$24*('Plan mensual'!O25+IF(parametros_carros!$H$24="Todos",'Plan mensual'!O29,0))+parametros_carros!$F$24*('Plan mensual'!O26+IF(parametros_carros!$H$24="Todos",'Plan mensual'!O30,0))+parametros_carros!$G$24*('Plan mensual'!O27+IF(parametros_carros!$H$24="Todos",'Plan mensual'!O31,0)))/60</f>
        <v>1.632666667</v>
      </c>
      <c r="N47" s="9">
        <f t="shared" si="7"/>
        <v>20.40833333</v>
      </c>
      <c r="O47" s="9">
        <f t="shared" si="8"/>
        <v>1.83675</v>
      </c>
      <c r="P47" s="32">
        <f>IF(parametros_carros!$B$7=0,0,(O47+parametros_carros!$G$50)/parametros_carros!$B$7)</f>
        <v>0.03002277778</v>
      </c>
      <c r="Q47" s="21" t="str">
        <f t="shared" si="9"/>
        <v>Mar</v>
      </c>
    </row>
    <row r="48" ht="14.25" customHeight="1">
      <c r="A48" s="2" t="str">
        <f>parametros_carros!$B$25</f>
        <v>Soldadura de cupla en la cúpula</v>
      </c>
      <c r="B48" s="9">
        <f>(parametros_carros!$D$25*('Plan mensual'!D24+IF(parametros_carros!$H$25="Todos",'Plan mensual'!D28,0))+parametros_carros!$E$25*('Plan mensual'!D25+IF(parametros_carros!$H$25="Todos",'Plan mensual'!D29,0))+parametros_carros!$F$25*('Plan mensual'!D26+IF(parametros_carros!$H$25="Todos",'Plan mensual'!D30,0))+parametros_carros!$G$25*('Plan mensual'!D27+IF(parametros_carros!$H$25="Todos",'Plan mensual'!D31,0)))/60</f>
        <v>1.7136</v>
      </c>
      <c r="C48" s="9">
        <f>(parametros_carros!$D$25*('Plan mensual'!E24+IF(parametros_carros!$H$25="Todos",'Plan mensual'!E28,0))+parametros_carros!$E$25*('Plan mensual'!E25+IF(parametros_carros!$H$25="Todos",'Plan mensual'!E29,0))+parametros_carros!$F$25*('Plan mensual'!E26+IF(parametros_carros!$H$25="Todos",'Plan mensual'!E30,0))+parametros_carros!$G$25*('Plan mensual'!E27+IF(parametros_carros!$H$25="Todos",'Plan mensual'!E31,0)))/60</f>
        <v>1.512</v>
      </c>
      <c r="D48" s="9">
        <f>(parametros_carros!$D$25*('Plan mensual'!F24+IF(parametros_carros!$H$25="Todos",'Plan mensual'!F28,0))+parametros_carros!$E$25*('Plan mensual'!F25+IF(parametros_carros!$H$25="Todos",'Plan mensual'!F29,0))+parametros_carros!$F$25*('Plan mensual'!F26+IF(parametros_carros!$H$25="Todos",'Plan mensual'!F30,0))+parametros_carros!$G$25*('Plan mensual'!F27+IF(parametros_carros!$H$25="Todos",'Plan mensual'!F31,0)))/60</f>
        <v>1.8144</v>
      </c>
      <c r="E48" s="9">
        <f>(parametros_carros!$D$25*('Plan mensual'!G24+IF(parametros_carros!$H$25="Todos",'Plan mensual'!G28,0))+parametros_carros!$E$25*('Plan mensual'!G25+IF(parametros_carros!$H$25="Todos",'Plan mensual'!G29,0))+parametros_carros!$F$25*('Plan mensual'!G26+IF(parametros_carros!$H$25="Todos",'Plan mensual'!G30,0))+parametros_carros!$G$25*('Plan mensual'!G27+IF(parametros_carros!$H$25="Todos",'Plan mensual'!G31,0)))/60</f>
        <v>1.8144</v>
      </c>
      <c r="F48" s="9">
        <f>(parametros_carros!$D$25*('Plan mensual'!H24+IF(parametros_carros!$H$25="Todos",'Plan mensual'!H28,0))+parametros_carros!$E$25*('Plan mensual'!H25+IF(parametros_carros!$H$25="Todos",'Plan mensual'!H29,0))+parametros_carros!$F$25*('Plan mensual'!H26+IF(parametros_carros!$H$25="Todos",'Plan mensual'!H30,0))+parametros_carros!$G$25*('Plan mensual'!H27+IF(parametros_carros!$H$25="Todos",'Plan mensual'!H31,0)))/60</f>
        <v>1.8144</v>
      </c>
      <c r="G48" s="9">
        <f>(parametros_carros!$D$25*('Plan mensual'!I24+IF(parametros_carros!$H$25="Todos",'Plan mensual'!I28,0))+parametros_carros!$E$25*('Plan mensual'!I25+IF(parametros_carros!$H$25="Todos",'Plan mensual'!I29,0))+parametros_carros!$F$25*('Plan mensual'!I26+IF(parametros_carros!$H$25="Todos",'Plan mensual'!I30,0))+parametros_carros!$G$25*('Plan mensual'!I27+IF(parametros_carros!$H$25="Todos",'Plan mensual'!I31,0)))/60</f>
        <v>1.6128</v>
      </c>
      <c r="H48" s="9">
        <f>(parametros_carros!$D$25*('Plan mensual'!J24+IF(parametros_carros!$H$25="Todos",'Plan mensual'!J28,0))+parametros_carros!$E$25*('Plan mensual'!J25+IF(parametros_carros!$H$25="Todos",'Plan mensual'!J29,0))+parametros_carros!$F$25*('Plan mensual'!J26+IF(parametros_carros!$H$25="Todos",'Plan mensual'!J30,0))+parametros_carros!$G$25*('Plan mensual'!J27+IF(parametros_carros!$H$25="Todos",'Plan mensual'!J31,0)))/60</f>
        <v>1.8144</v>
      </c>
      <c r="I48" s="9">
        <f>(parametros_carros!$D$25*('Plan mensual'!K24+IF(parametros_carros!$H$25="Todos",'Plan mensual'!K28,0))+parametros_carros!$E$25*('Plan mensual'!K25+IF(parametros_carros!$H$25="Todos",'Plan mensual'!K29,0))+parametros_carros!$F$25*('Plan mensual'!K26+IF(parametros_carros!$H$25="Todos",'Plan mensual'!K30,0))+parametros_carros!$G$25*('Plan mensual'!K27+IF(parametros_carros!$H$25="Todos",'Plan mensual'!K31,0)))/60</f>
        <v>1.8144</v>
      </c>
      <c r="J48" s="9">
        <f>(parametros_carros!$D$25*('Plan mensual'!L24+IF(parametros_carros!$H$25="Todos",'Plan mensual'!L28,0))+parametros_carros!$E$25*('Plan mensual'!L25+IF(parametros_carros!$H$25="Todos",'Plan mensual'!L29,0))+parametros_carros!$F$25*('Plan mensual'!L26+IF(parametros_carros!$H$25="Todos",'Plan mensual'!L30,0))+parametros_carros!$G$25*('Plan mensual'!L27+IF(parametros_carros!$H$25="Todos",'Plan mensual'!L31,0)))/60</f>
        <v>1.7136</v>
      </c>
      <c r="K48" s="9">
        <f>(parametros_carros!$D$25*('Plan mensual'!M24+IF(parametros_carros!$H$25="Todos",'Plan mensual'!M28,0))+parametros_carros!$E$25*('Plan mensual'!M25+IF(parametros_carros!$H$25="Todos",'Plan mensual'!M29,0))+parametros_carros!$F$25*('Plan mensual'!M26+IF(parametros_carros!$H$25="Todos",'Plan mensual'!M30,0))+parametros_carros!$G$25*('Plan mensual'!M27+IF(parametros_carros!$H$25="Todos",'Plan mensual'!M31,0)))/60</f>
        <v>1.512</v>
      </c>
      <c r="L48" s="9">
        <f>(parametros_carros!$D$25*('Plan mensual'!N24+IF(parametros_carros!$H$25="Todos",'Plan mensual'!N28,0))+parametros_carros!$E$25*('Plan mensual'!N25+IF(parametros_carros!$H$25="Todos",'Plan mensual'!N29,0))+parametros_carros!$F$25*('Plan mensual'!N26+IF(parametros_carros!$H$25="Todos",'Plan mensual'!N30,0))+parametros_carros!$G$25*('Plan mensual'!N27+IF(parametros_carros!$H$25="Todos",'Plan mensual'!N31,0)))/60</f>
        <v>1.4112</v>
      </c>
      <c r="M48" s="9">
        <f>(parametros_carros!$D$25*('Plan mensual'!O24+IF(parametros_carros!$H$25="Todos",'Plan mensual'!O28,0))+parametros_carros!$E$25*('Plan mensual'!O25+IF(parametros_carros!$H$25="Todos",'Plan mensual'!O29,0))+parametros_carros!$F$25*('Plan mensual'!O26+IF(parametros_carros!$H$25="Todos",'Plan mensual'!O30,0))+parametros_carros!$G$25*('Plan mensual'!O27+IF(parametros_carros!$H$25="Todos",'Plan mensual'!O31,0)))/60</f>
        <v>1.6128</v>
      </c>
      <c r="N48" s="9">
        <f t="shared" si="7"/>
        <v>20.16</v>
      </c>
      <c r="O48" s="9">
        <f t="shared" si="8"/>
        <v>1.8144</v>
      </c>
      <c r="P48" s="32">
        <f>IF(parametros_carros!$B$7=0,0,(O48+parametros_carros!$G$51)/parametros_carros!$B$7)</f>
        <v>0.032096</v>
      </c>
      <c r="Q48" s="21" t="str">
        <f t="shared" si="9"/>
        <v>Mar</v>
      </c>
    </row>
    <row r="49" ht="14.25" customHeight="1">
      <c r="A49" s="2" t="str">
        <f>parametros_carros!$B$26</f>
        <v>Armado y soldadura circunferencial</v>
      </c>
      <c r="B49" s="9">
        <f>(parametros_carros!$D$26*('Plan mensual'!D24+IF(parametros_carros!$H$26="Todos",'Plan mensual'!D28,0))+parametros_carros!$E$26*('Plan mensual'!D25+IF(parametros_carros!$H$26="Todos",'Plan mensual'!D29,0))+parametros_carros!$F$26*('Plan mensual'!D26+IF(parametros_carros!$H$26="Todos",'Plan mensual'!D30,0))+parametros_carros!$G$26*('Plan mensual'!D27+IF(parametros_carros!$H$26="Todos",'Plan mensual'!D31,0)))/60</f>
        <v>8.1039</v>
      </c>
      <c r="C49" s="9">
        <f>(parametros_carros!$D$26*('Plan mensual'!E24+IF(parametros_carros!$H$26="Todos",'Plan mensual'!E28,0))+parametros_carros!$E$26*('Plan mensual'!E25+IF(parametros_carros!$H$26="Todos",'Plan mensual'!E29,0))+parametros_carros!$F$26*('Plan mensual'!E26+IF(parametros_carros!$H$26="Todos",'Plan mensual'!E30,0))+parametros_carros!$G$26*('Plan mensual'!E27+IF(parametros_carros!$H$26="Todos",'Plan mensual'!E31,0)))/60</f>
        <v>7.1505</v>
      </c>
      <c r="D49" s="9">
        <f>(parametros_carros!$D$26*('Plan mensual'!F24+IF(parametros_carros!$H$26="Todos",'Plan mensual'!F28,0))+parametros_carros!$E$26*('Plan mensual'!F25+IF(parametros_carros!$H$26="Todos",'Plan mensual'!F29,0))+parametros_carros!$F$26*('Plan mensual'!F26+IF(parametros_carros!$H$26="Todos",'Plan mensual'!F30,0))+parametros_carros!$G$26*('Plan mensual'!F27+IF(parametros_carros!$H$26="Todos",'Plan mensual'!F31,0)))/60</f>
        <v>8.5806</v>
      </c>
      <c r="E49" s="9">
        <f>(parametros_carros!$D$26*('Plan mensual'!G24+IF(parametros_carros!$H$26="Todos",'Plan mensual'!G28,0))+parametros_carros!$E$26*('Plan mensual'!G25+IF(parametros_carros!$H$26="Todos",'Plan mensual'!G29,0))+parametros_carros!$F$26*('Plan mensual'!G26+IF(parametros_carros!$H$26="Todos",'Plan mensual'!G30,0))+parametros_carros!$G$26*('Plan mensual'!G27+IF(parametros_carros!$H$26="Todos",'Plan mensual'!G31,0)))/60</f>
        <v>8.5806</v>
      </c>
      <c r="F49" s="9">
        <f>(parametros_carros!$D$26*('Plan mensual'!H24+IF(parametros_carros!$H$26="Todos",'Plan mensual'!H28,0))+parametros_carros!$E$26*('Plan mensual'!H25+IF(parametros_carros!$H$26="Todos",'Plan mensual'!H29,0))+parametros_carros!$F$26*('Plan mensual'!H26+IF(parametros_carros!$H$26="Todos",'Plan mensual'!H30,0))+parametros_carros!$G$26*('Plan mensual'!H27+IF(parametros_carros!$H$26="Todos",'Plan mensual'!H31,0)))/60</f>
        <v>8.5806</v>
      </c>
      <c r="G49" s="9">
        <f>(parametros_carros!$D$26*('Plan mensual'!I24+IF(parametros_carros!$H$26="Todos",'Plan mensual'!I28,0))+parametros_carros!$E$26*('Plan mensual'!I25+IF(parametros_carros!$H$26="Todos",'Plan mensual'!I29,0))+parametros_carros!$F$26*('Plan mensual'!I26+IF(parametros_carros!$H$26="Todos",'Plan mensual'!I30,0))+parametros_carros!$G$26*('Plan mensual'!I27+IF(parametros_carros!$H$26="Todos",'Plan mensual'!I31,0)))/60</f>
        <v>7.6272</v>
      </c>
      <c r="H49" s="9">
        <f>(parametros_carros!$D$26*('Plan mensual'!J24+IF(parametros_carros!$H$26="Todos",'Plan mensual'!J28,0))+parametros_carros!$E$26*('Plan mensual'!J25+IF(parametros_carros!$H$26="Todos",'Plan mensual'!J29,0))+parametros_carros!$F$26*('Plan mensual'!J26+IF(parametros_carros!$H$26="Todos",'Plan mensual'!J30,0))+parametros_carros!$G$26*('Plan mensual'!J27+IF(parametros_carros!$H$26="Todos",'Plan mensual'!J31,0)))/60</f>
        <v>8.5806</v>
      </c>
      <c r="I49" s="9">
        <f>(parametros_carros!$D$26*('Plan mensual'!K24+IF(parametros_carros!$H$26="Todos",'Plan mensual'!K28,0))+parametros_carros!$E$26*('Plan mensual'!K25+IF(parametros_carros!$H$26="Todos",'Plan mensual'!K29,0))+parametros_carros!$F$26*('Plan mensual'!K26+IF(parametros_carros!$H$26="Todos",'Plan mensual'!K30,0))+parametros_carros!$G$26*('Plan mensual'!K27+IF(parametros_carros!$H$26="Todos",'Plan mensual'!K31,0)))/60</f>
        <v>8.5806</v>
      </c>
      <c r="J49" s="9">
        <f>(parametros_carros!$D$26*('Plan mensual'!L24+IF(parametros_carros!$H$26="Todos",'Plan mensual'!L28,0))+parametros_carros!$E$26*('Plan mensual'!L25+IF(parametros_carros!$H$26="Todos",'Plan mensual'!L29,0))+parametros_carros!$F$26*('Plan mensual'!L26+IF(parametros_carros!$H$26="Todos",'Plan mensual'!L30,0))+parametros_carros!$G$26*('Plan mensual'!L27+IF(parametros_carros!$H$26="Todos",'Plan mensual'!L31,0)))/60</f>
        <v>8.1039</v>
      </c>
      <c r="K49" s="9">
        <f>(parametros_carros!$D$26*('Plan mensual'!M24+IF(parametros_carros!$H$26="Todos",'Plan mensual'!M28,0))+parametros_carros!$E$26*('Plan mensual'!M25+IF(parametros_carros!$H$26="Todos",'Plan mensual'!M29,0))+parametros_carros!$F$26*('Plan mensual'!M26+IF(parametros_carros!$H$26="Todos",'Plan mensual'!M30,0))+parametros_carros!$G$26*('Plan mensual'!M27+IF(parametros_carros!$H$26="Todos",'Plan mensual'!M31,0)))/60</f>
        <v>7.1505</v>
      </c>
      <c r="L49" s="9">
        <f>(parametros_carros!$D$26*('Plan mensual'!N24+IF(parametros_carros!$H$26="Todos",'Plan mensual'!N28,0))+parametros_carros!$E$26*('Plan mensual'!N25+IF(parametros_carros!$H$26="Todos",'Plan mensual'!N29,0))+parametros_carros!$F$26*('Plan mensual'!N26+IF(parametros_carros!$H$26="Todos",'Plan mensual'!N30,0))+parametros_carros!$G$26*('Plan mensual'!N27+IF(parametros_carros!$H$26="Todos",'Plan mensual'!N31,0)))/60</f>
        <v>6.6738</v>
      </c>
      <c r="M49" s="9">
        <f>(parametros_carros!$D$26*('Plan mensual'!O24+IF(parametros_carros!$H$26="Todos",'Plan mensual'!O28,0))+parametros_carros!$E$26*('Plan mensual'!O25+IF(parametros_carros!$H$26="Todos",'Plan mensual'!O29,0))+parametros_carros!$F$26*('Plan mensual'!O26+IF(parametros_carros!$H$26="Todos",'Plan mensual'!O30,0))+parametros_carros!$G$26*('Plan mensual'!O27+IF(parametros_carros!$H$26="Todos",'Plan mensual'!O31,0)))/60</f>
        <v>7.6272</v>
      </c>
      <c r="N49" s="9">
        <f t="shared" si="7"/>
        <v>95.34</v>
      </c>
      <c r="O49" s="9">
        <f t="shared" si="8"/>
        <v>8.5806</v>
      </c>
      <c r="P49" s="32">
        <f>IF(parametros_carros!$B$7=0,0,(O49+parametros_carros!$G$52)/parametros_carros!$B$7)</f>
        <v>0.077204</v>
      </c>
      <c r="Q49" s="21" t="str">
        <f t="shared" si="9"/>
        <v>Mar</v>
      </c>
    </row>
    <row r="50" ht="14.25" customHeight="1">
      <c r="A50" s="2" t="str">
        <f>parametros_carros!$B$27</f>
        <v>Soldadura de accesorios</v>
      </c>
      <c r="B50" s="9">
        <f>(parametros_carros!$D$27*('Plan mensual'!D24+IF(parametros_carros!$H$27="Todos",'Plan mensual'!D28,0))+parametros_carros!$E$27*('Plan mensual'!D25+IF(parametros_carros!$H$27="Todos",'Plan mensual'!D29,0))+parametros_carros!$F$27*('Plan mensual'!D26+IF(parametros_carros!$H$27="Todos",'Plan mensual'!D30,0))+parametros_carros!$G$27*('Plan mensual'!D27+IF(parametros_carros!$H$27="Todos",'Plan mensual'!D31,0)))/60</f>
        <v>8.2569</v>
      </c>
      <c r="C50" s="9">
        <f>(parametros_carros!$D$27*('Plan mensual'!E24+IF(parametros_carros!$H$27="Todos",'Plan mensual'!E28,0))+parametros_carros!$E$27*('Plan mensual'!E25+IF(parametros_carros!$H$27="Todos",'Plan mensual'!E29,0))+parametros_carros!$F$27*('Plan mensual'!E26+IF(parametros_carros!$H$27="Todos",'Plan mensual'!E30,0))+parametros_carros!$G$27*('Plan mensual'!E27+IF(parametros_carros!$H$27="Todos",'Plan mensual'!E31,0)))/60</f>
        <v>7.2855</v>
      </c>
      <c r="D50" s="9">
        <f>(parametros_carros!$D$27*('Plan mensual'!F24+IF(parametros_carros!$H$27="Todos",'Plan mensual'!F28,0))+parametros_carros!$E$27*('Plan mensual'!F25+IF(parametros_carros!$H$27="Todos",'Plan mensual'!F29,0))+parametros_carros!$F$27*('Plan mensual'!F26+IF(parametros_carros!$H$27="Todos",'Plan mensual'!F30,0))+parametros_carros!$G$27*('Plan mensual'!F27+IF(parametros_carros!$H$27="Todos",'Plan mensual'!F31,0)))/60</f>
        <v>8.7426</v>
      </c>
      <c r="E50" s="9">
        <f>(parametros_carros!$D$27*('Plan mensual'!G24+IF(parametros_carros!$H$27="Todos",'Plan mensual'!G28,0))+parametros_carros!$E$27*('Plan mensual'!G25+IF(parametros_carros!$H$27="Todos",'Plan mensual'!G29,0))+parametros_carros!$F$27*('Plan mensual'!G26+IF(parametros_carros!$H$27="Todos",'Plan mensual'!G30,0))+parametros_carros!$G$27*('Plan mensual'!G27+IF(parametros_carros!$H$27="Todos",'Plan mensual'!G31,0)))/60</f>
        <v>8.7426</v>
      </c>
      <c r="F50" s="9">
        <f>(parametros_carros!$D$27*('Plan mensual'!H24+IF(parametros_carros!$H$27="Todos",'Plan mensual'!H28,0))+parametros_carros!$E$27*('Plan mensual'!H25+IF(parametros_carros!$H$27="Todos",'Plan mensual'!H29,0))+parametros_carros!$F$27*('Plan mensual'!H26+IF(parametros_carros!$H$27="Todos",'Plan mensual'!H30,0))+parametros_carros!$G$27*('Plan mensual'!H27+IF(parametros_carros!$H$27="Todos",'Plan mensual'!H31,0)))/60</f>
        <v>8.7426</v>
      </c>
      <c r="G50" s="9">
        <f>(parametros_carros!$D$27*('Plan mensual'!I24+IF(parametros_carros!$H$27="Todos",'Plan mensual'!I28,0))+parametros_carros!$E$27*('Plan mensual'!I25+IF(parametros_carros!$H$27="Todos",'Plan mensual'!I29,0))+parametros_carros!$F$27*('Plan mensual'!I26+IF(parametros_carros!$H$27="Todos",'Plan mensual'!I30,0))+parametros_carros!$G$27*('Plan mensual'!I27+IF(parametros_carros!$H$27="Todos",'Plan mensual'!I31,0)))/60</f>
        <v>7.7712</v>
      </c>
      <c r="H50" s="9">
        <f>(parametros_carros!$D$27*('Plan mensual'!J24+IF(parametros_carros!$H$27="Todos",'Plan mensual'!J28,0))+parametros_carros!$E$27*('Plan mensual'!J25+IF(parametros_carros!$H$27="Todos",'Plan mensual'!J29,0))+parametros_carros!$F$27*('Plan mensual'!J26+IF(parametros_carros!$H$27="Todos",'Plan mensual'!J30,0))+parametros_carros!$G$27*('Plan mensual'!J27+IF(parametros_carros!$H$27="Todos",'Plan mensual'!J31,0)))/60</f>
        <v>8.7426</v>
      </c>
      <c r="I50" s="9">
        <f>(parametros_carros!$D$27*('Plan mensual'!K24+IF(parametros_carros!$H$27="Todos",'Plan mensual'!K28,0))+parametros_carros!$E$27*('Plan mensual'!K25+IF(parametros_carros!$H$27="Todos",'Plan mensual'!K29,0))+parametros_carros!$F$27*('Plan mensual'!K26+IF(parametros_carros!$H$27="Todos",'Plan mensual'!K30,0))+parametros_carros!$G$27*('Plan mensual'!K27+IF(parametros_carros!$H$27="Todos",'Plan mensual'!K31,0)))/60</f>
        <v>8.7426</v>
      </c>
      <c r="J50" s="9">
        <f>(parametros_carros!$D$27*('Plan mensual'!L24+IF(parametros_carros!$H$27="Todos",'Plan mensual'!L28,0))+parametros_carros!$E$27*('Plan mensual'!L25+IF(parametros_carros!$H$27="Todos",'Plan mensual'!L29,0))+parametros_carros!$F$27*('Plan mensual'!L26+IF(parametros_carros!$H$27="Todos",'Plan mensual'!L30,0))+parametros_carros!$G$27*('Plan mensual'!L27+IF(parametros_carros!$H$27="Todos",'Plan mensual'!L31,0)))/60</f>
        <v>8.2569</v>
      </c>
      <c r="K50" s="9">
        <f>(parametros_carros!$D$27*('Plan mensual'!M24+IF(parametros_carros!$H$27="Todos",'Plan mensual'!M28,0))+parametros_carros!$E$27*('Plan mensual'!M25+IF(parametros_carros!$H$27="Todos",'Plan mensual'!M29,0))+parametros_carros!$F$27*('Plan mensual'!M26+IF(parametros_carros!$H$27="Todos",'Plan mensual'!M30,0))+parametros_carros!$G$27*('Plan mensual'!M27+IF(parametros_carros!$H$27="Todos",'Plan mensual'!M31,0)))/60</f>
        <v>7.2855</v>
      </c>
      <c r="L50" s="9">
        <f>(parametros_carros!$D$27*('Plan mensual'!N24+IF(parametros_carros!$H$27="Todos",'Plan mensual'!N28,0))+parametros_carros!$E$27*('Plan mensual'!N25+IF(parametros_carros!$H$27="Todos",'Plan mensual'!N29,0))+parametros_carros!$F$27*('Plan mensual'!N26+IF(parametros_carros!$H$27="Todos",'Plan mensual'!N30,0))+parametros_carros!$G$27*('Plan mensual'!N27+IF(parametros_carros!$H$27="Todos",'Plan mensual'!N31,0)))/60</f>
        <v>6.7998</v>
      </c>
      <c r="M50" s="9">
        <f>(parametros_carros!$D$27*('Plan mensual'!O24+IF(parametros_carros!$H$27="Todos",'Plan mensual'!O28,0))+parametros_carros!$E$27*('Plan mensual'!O25+IF(parametros_carros!$H$27="Todos",'Plan mensual'!O29,0))+parametros_carros!$F$27*('Plan mensual'!O26+IF(parametros_carros!$H$27="Todos",'Plan mensual'!O30,0))+parametros_carros!$G$27*('Plan mensual'!O27+IF(parametros_carros!$H$27="Todos",'Plan mensual'!O31,0)))/60</f>
        <v>7.7712</v>
      </c>
      <c r="N50" s="9">
        <f t="shared" si="7"/>
        <v>97.14</v>
      </c>
      <c r="O50" s="9">
        <f t="shared" si="8"/>
        <v>8.7426</v>
      </c>
      <c r="P50" s="32">
        <f>IF(parametros_carros!$B$7=0,0,(O50+parametros_carros!$G$53)/parametros_carros!$B$7)</f>
        <v>0.078284</v>
      </c>
      <c r="Q50" s="21" t="str">
        <f t="shared" si="9"/>
        <v>Mar</v>
      </c>
    </row>
    <row r="51" ht="14.25" customHeight="1">
      <c r="A51" s="2" t="str">
        <f>parametros_carros!$B$28</f>
        <v>Fabricación de accesorios</v>
      </c>
      <c r="B51" s="9">
        <f>(parametros_carros!$D$28*('Plan mensual'!D24+IF(parametros_carros!$H$28="Todos",'Plan mensual'!D28,0))+parametros_carros!$E$28*('Plan mensual'!D25+IF(parametros_carros!$H$28="Todos",'Plan mensual'!D29,0))+parametros_carros!$F$28*('Plan mensual'!D26+IF(parametros_carros!$H$28="Todos",'Plan mensual'!D30,0))+parametros_carros!$G$28*('Plan mensual'!D27+IF(parametros_carros!$H$28="Todos",'Plan mensual'!D31,0)))/60</f>
        <v>5.61</v>
      </c>
      <c r="C51" s="9">
        <f>(parametros_carros!$D$28*('Plan mensual'!E24+IF(parametros_carros!$H$28="Todos",'Plan mensual'!E28,0))+parametros_carros!$E$28*('Plan mensual'!E25+IF(parametros_carros!$H$28="Todos",'Plan mensual'!E29,0))+parametros_carros!$F$28*('Plan mensual'!E26+IF(parametros_carros!$H$28="Todos",'Plan mensual'!E30,0))+parametros_carros!$G$28*('Plan mensual'!E27+IF(parametros_carros!$H$28="Todos",'Plan mensual'!E31,0)))/60</f>
        <v>4.95</v>
      </c>
      <c r="D51" s="9">
        <f>(parametros_carros!$D$28*('Plan mensual'!F24+IF(parametros_carros!$H$28="Todos",'Plan mensual'!F28,0))+parametros_carros!$E$28*('Plan mensual'!F25+IF(parametros_carros!$H$28="Todos",'Plan mensual'!F29,0))+parametros_carros!$F$28*('Plan mensual'!F26+IF(parametros_carros!$H$28="Todos",'Plan mensual'!F30,0))+parametros_carros!$G$28*('Plan mensual'!F27+IF(parametros_carros!$H$28="Todos",'Plan mensual'!F31,0)))/60</f>
        <v>5.94</v>
      </c>
      <c r="E51" s="9">
        <f>(parametros_carros!$D$28*('Plan mensual'!G24+IF(parametros_carros!$H$28="Todos",'Plan mensual'!G28,0))+parametros_carros!$E$28*('Plan mensual'!G25+IF(parametros_carros!$H$28="Todos",'Plan mensual'!G29,0))+parametros_carros!$F$28*('Plan mensual'!G26+IF(parametros_carros!$H$28="Todos",'Plan mensual'!G30,0))+parametros_carros!$G$28*('Plan mensual'!G27+IF(parametros_carros!$H$28="Todos",'Plan mensual'!G31,0)))/60</f>
        <v>5.94</v>
      </c>
      <c r="F51" s="9">
        <f>(parametros_carros!$D$28*('Plan mensual'!H24+IF(parametros_carros!$H$28="Todos",'Plan mensual'!H28,0))+parametros_carros!$E$28*('Plan mensual'!H25+IF(parametros_carros!$H$28="Todos",'Plan mensual'!H29,0))+parametros_carros!$F$28*('Plan mensual'!H26+IF(parametros_carros!$H$28="Todos",'Plan mensual'!H30,0))+parametros_carros!$G$28*('Plan mensual'!H27+IF(parametros_carros!$H$28="Todos",'Plan mensual'!H31,0)))/60</f>
        <v>5.94</v>
      </c>
      <c r="G51" s="9">
        <f>(parametros_carros!$D$28*('Plan mensual'!I24+IF(parametros_carros!$H$28="Todos",'Plan mensual'!I28,0))+parametros_carros!$E$28*('Plan mensual'!I25+IF(parametros_carros!$H$28="Todos",'Plan mensual'!I29,0))+parametros_carros!$F$28*('Plan mensual'!I26+IF(parametros_carros!$H$28="Todos",'Plan mensual'!I30,0))+parametros_carros!$G$28*('Plan mensual'!I27+IF(parametros_carros!$H$28="Todos",'Plan mensual'!I31,0)))/60</f>
        <v>5.28</v>
      </c>
      <c r="H51" s="9">
        <f>(parametros_carros!$D$28*('Plan mensual'!J24+IF(parametros_carros!$H$28="Todos",'Plan mensual'!J28,0))+parametros_carros!$E$28*('Plan mensual'!J25+IF(parametros_carros!$H$28="Todos",'Plan mensual'!J29,0))+parametros_carros!$F$28*('Plan mensual'!J26+IF(parametros_carros!$H$28="Todos",'Plan mensual'!J30,0))+parametros_carros!$G$28*('Plan mensual'!J27+IF(parametros_carros!$H$28="Todos",'Plan mensual'!J31,0)))/60</f>
        <v>5.94</v>
      </c>
      <c r="I51" s="9">
        <f>(parametros_carros!$D$28*('Plan mensual'!K24+IF(parametros_carros!$H$28="Todos",'Plan mensual'!K28,0))+parametros_carros!$E$28*('Plan mensual'!K25+IF(parametros_carros!$H$28="Todos",'Plan mensual'!K29,0))+parametros_carros!$F$28*('Plan mensual'!K26+IF(parametros_carros!$H$28="Todos",'Plan mensual'!K30,0))+parametros_carros!$G$28*('Plan mensual'!K27+IF(parametros_carros!$H$28="Todos",'Plan mensual'!K31,0)))/60</f>
        <v>5.94</v>
      </c>
      <c r="J51" s="9">
        <f>(parametros_carros!$D$28*('Plan mensual'!L24+IF(parametros_carros!$H$28="Todos",'Plan mensual'!L28,0))+parametros_carros!$E$28*('Plan mensual'!L25+IF(parametros_carros!$H$28="Todos",'Plan mensual'!L29,0))+parametros_carros!$F$28*('Plan mensual'!L26+IF(parametros_carros!$H$28="Todos",'Plan mensual'!L30,0))+parametros_carros!$G$28*('Plan mensual'!L27+IF(parametros_carros!$H$28="Todos",'Plan mensual'!L31,0)))/60</f>
        <v>5.61</v>
      </c>
      <c r="K51" s="9">
        <f>(parametros_carros!$D$28*('Plan mensual'!M24+IF(parametros_carros!$H$28="Todos",'Plan mensual'!M28,0))+parametros_carros!$E$28*('Plan mensual'!M25+IF(parametros_carros!$H$28="Todos",'Plan mensual'!M29,0))+parametros_carros!$F$28*('Plan mensual'!M26+IF(parametros_carros!$H$28="Todos",'Plan mensual'!M30,0))+parametros_carros!$G$28*('Plan mensual'!M27+IF(parametros_carros!$H$28="Todos",'Plan mensual'!M31,0)))/60</f>
        <v>4.95</v>
      </c>
      <c r="L51" s="9">
        <f>(parametros_carros!$D$28*('Plan mensual'!N24+IF(parametros_carros!$H$28="Todos",'Plan mensual'!N28,0))+parametros_carros!$E$28*('Plan mensual'!N25+IF(parametros_carros!$H$28="Todos",'Plan mensual'!N29,0))+parametros_carros!$F$28*('Plan mensual'!N26+IF(parametros_carros!$H$28="Todos",'Plan mensual'!N30,0))+parametros_carros!$G$28*('Plan mensual'!N27+IF(parametros_carros!$H$28="Todos",'Plan mensual'!N31,0)))/60</f>
        <v>4.62</v>
      </c>
      <c r="M51" s="9">
        <f>(parametros_carros!$D$28*('Plan mensual'!O24+IF(parametros_carros!$H$28="Todos",'Plan mensual'!O28,0))+parametros_carros!$E$28*('Plan mensual'!O25+IF(parametros_carros!$H$28="Todos",'Plan mensual'!O29,0))+parametros_carros!$F$28*('Plan mensual'!O26+IF(parametros_carros!$H$28="Todos",'Plan mensual'!O30,0))+parametros_carros!$G$28*('Plan mensual'!O27+IF(parametros_carros!$H$28="Todos",'Plan mensual'!O31,0)))/60</f>
        <v>5.28</v>
      </c>
      <c r="N51" s="9">
        <f t="shared" si="7"/>
        <v>66</v>
      </c>
      <c r="O51" s="9">
        <f t="shared" si="8"/>
        <v>5.94</v>
      </c>
      <c r="P51" s="32">
        <f>IF(parametros_carros!$B$7=0,0,(O51+parametros_carros!$G$54)/parametros_carros!$B$7)</f>
        <v>0.07293333333</v>
      </c>
      <c r="Q51" s="21" t="str">
        <f t="shared" si="9"/>
        <v>Mar</v>
      </c>
    </row>
    <row r="52" ht="14.25" customHeight="1">
      <c r="A52" s="2" t="str">
        <f>parametros_carros!$B$29</f>
        <v>Prueba hidráulica</v>
      </c>
      <c r="B52" s="9">
        <f>(parametros_carros!$D$29*('Plan mensual'!D24+IF(parametros_carros!$H$29="Todos",'Plan mensual'!D28,0))+parametros_carros!$E$29*('Plan mensual'!D25+IF(parametros_carros!$H$29="Todos",'Plan mensual'!D29,0))+parametros_carros!$F$29*('Plan mensual'!D26+IF(parametros_carros!$H$29="Todos",'Plan mensual'!D30,0))+parametros_carros!$G$29*('Plan mensual'!D27+IF(parametros_carros!$H$29="Todos",'Plan mensual'!D31,0)))/60</f>
        <v>4.5798</v>
      </c>
      <c r="C52" s="9">
        <f>(parametros_carros!$D$29*('Plan mensual'!E24+IF(parametros_carros!$H$29="Todos",'Plan mensual'!E28,0))+parametros_carros!$E$29*('Plan mensual'!E25+IF(parametros_carros!$H$29="Todos",'Plan mensual'!E29,0))+parametros_carros!$F$29*('Plan mensual'!E26+IF(parametros_carros!$H$29="Todos",'Plan mensual'!E30,0))+parametros_carros!$G$29*('Plan mensual'!E27+IF(parametros_carros!$H$29="Todos",'Plan mensual'!E31,0)))/60</f>
        <v>4.041</v>
      </c>
      <c r="D52" s="9">
        <f>(parametros_carros!$D$29*('Plan mensual'!F24+IF(parametros_carros!$H$29="Todos",'Plan mensual'!F28,0))+parametros_carros!$E$29*('Plan mensual'!F25+IF(parametros_carros!$H$29="Todos",'Plan mensual'!F29,0))+parametros_carros!$F$29*('Plan mensual'!F26+IF(parametros_carros!$H$29="Todos",'Plan mensual'!F30,0))+parametros_carros!$G$29*('Plan mensual'!F27+IF(parametros_carros!$H$29="Todos",'Plan mensual'!F31,0)))/60</f>
        <v>4.8492</v>
      </c>
      <c r="E52" s="9">
        <f>(parametros_carros!$D$29*('Plan mensual'!G24+IF(parametros_carros!$H$29="Todos",'Plan mensual'!G28,0))+parametros_carros!$E$29*('Plan mensual'!G25+IF(parametros_carros!$H$29="Todos",'Plan mensual'!G29,0))+parametros_carros!$F$29*('Plan mensual'!G26+IF(parametros_carros!$H$29="Todos",'Plan mensual'!G30,0))+parametros_carros!$G$29*('Plan mensual'!G27+IF(parametros_carros!$H$29="Todos",'Plan mensual'!G31,0)))/60</f>
        <v>4.8492</v>
      </c>
      <c r="F52" s="9">
        <f>(parametros_carros!$D$29*('Plan mensual'!H24+IF(parametros_carros!$H$29="Todos",'Plan mensual'!H28,0))+parametros_carros!$E$29*('Plan mensual'!H25+IF(parametros_carros!$H$29="Todos",'Plan mensual'!H29,0))+parametros_carros!$F$29*('Plan mensual'!H26+IF(parametros_carros!$H$29="Todos",'Plan mensual'!H30,0))+parametros_carros!$G$29*('Plan mensual'!H27+IF(parametros_carros!$H$29="Todos",'Plan mensual'!H31,0)))/60</f>
        <v>4.8492</v>
      </c>
      <c r="G52" s="9">
        <f>(parametros_carros!$D$29*('Plan mensual'!I24+IF(parametros_carros!$H$29="Todos",'Plan mensual'!I28,0))+parametros_carros!$E$29*('Plan mensual'!I25+IF(parametros_carros!$H$29="Todos",'Plan mensual'!I29,0))+parametros_carros!$F$29*('Plan mensual'!I26+IF(parametros_carros!$H$29="Todos",'Plan mensual'!I30,0))+parametros_carros!$G$29*('Plan mensual'!I27+IF(parametros_carros!$H$29="Todos",'Plan mensual'!I31,0)))/60</f>
        <v>4.3104</v>
      </c>
      <c r="H52" s="9">
        <f>(parametros_carros!$D$29*('Plan mensual'!J24+IF(parametros_carros!$H$29="Todos",'Plan mensual'!J28,0))+parametros_carros!$E$29*('Plan mensual'!J25+IF(parametros_carros!$H$29="Todos",'Plan mensual'!J29,0))+parametros_carros!$F$29*('Plan mensual'!J26+IF(parametros_carros!$H$29="Todos",'Plan mensual'!J30,0))+parametros_carros!$G$29*('Plan mensual'!J27+IF(parametros_carros!$H$29="Todos",'Plan mensual'!J31,0)))/60</f>
        <v>4.8492</v>
      </c>
      <c r="I52" s="9">
        <f>(parametros_carros!$D$29*('Plan mensual'!K24+IF(parametros_carros!$H$29="Todos",'Plan mensual'!K28,0))+parametros_carros!$E$29*('Plan mensual'!K25+IF(parametros_carros!$H$29="Todos",'Plan mensual'!K29,0))+parametros_carros!$F$29*('Plan mensual'!K26+IF(parametros_carros!$H$29="Todos",'Plan mensual'!K30,0))+parametros_carros!$G$29*('Plan mensual'!K27+IF(parametros_carros!$H$29="Todos",'Plan mensual'!K31,0)))/60</f>
        <v>4.8492</v>
      </c>
      <c r="J52" s="9">
        <f>(parametros_carros!$D$29*('Plan mensual'!L24+IF(parametros_carros!$H$29="Todos",'Plan mensual'!L28,0))+parametros_carros!$E$29*('Plan mensual'!L25+IF(parametros_carros!$H$29="Todos",'Plan mensual'!L29,0))+parametros_carros!$F$29*('Plan mensual'!L26+IF(parametros_carros!$H$29="Todos",'Plan mensual'!L30,0))+parametros_carros!$G$29*('Plan mensual'!L27+IF(parametros_carros!$H$29="Todos",'Plan mensual'!L31,0)))/60</f>
        <v>4.5798</v>
      </c>
      <c r="K52" s="9">
        <f>(parametros_carros!$D$29*('Plan mensual'!M24+IF(parametros_carros!$H$29="Todos",'Plan mensual'!M28,0))+parametros_carros!$E$29*('Plan mensual'!M25+IF(parametros_carros!$H$29="Todos",'Plan mensual'!M29,0))+parametros_carros!$F$29*('Plan mensual'!M26+IF(parametros_carros!$H$29="Todos",'Plan mensual'!M30,0))+parametros_carros!$G$29*('Plan mensual'!M27+IF(parametros_carros!$H$29="Todos",'Plan mensual'!M31,0)))/60</f>
        <v>4.041</v>
      </c>
      <c r="L52" s="9">
        <f>(parametros_carros!$D$29*('Plan mensual'!N24+IF(parametros_carros!$H$29="Todos",'Plan mensual'!N28,0))+parametros_carros!$E$29*('Plan mensual'!N25+IF(parametros_carros!$H$29="Todos",'Plan mensual'!N29,0))+parametros_carros!$F$29*('Plan mensual'!N26+IF(parametros_carros!$H$29="Todos",'Plan mensual'!N30,0))+parametros_carros!$G$29*('Plan mensual'!N27+IF(parametros_carros!$H$29="Todos",'Plan mensual'!N31,0)))/60</f>
        <v>3.7716</v>
      </c>
      <c r="M52" s="9">
        <f>(parametros_carros!$D$29*('Plan mensual'!O24+IF(parametros_carros!$H$29="Todos",'Plan mensual'!O28,0))+parametros_carros!$E$29*('Plan mensual'!O25+IF(parametros_carros!$H$29="Todos",'Plan mensual'!O29,0))+parametros_carros!$F$29*('Plan mensual'!O26+IF(parametros_carros!$H$29="Todos",'Plan mensual'!O30,0))+parametros_carros!$G$29*('Plan mensual'!O27+IF(parametros_carros!$H$29="Todos",'Plan mensual'!O31,0)))/60</f>
        <v>4.3104</v>
      </c>
      <c r="N52" s="9">
        <f t="shared" si="7"/>
        <v>53.88</v>
      </c>
      <c r="O52" s="9">
        <f t="shared" si="8"/>
        <v>4.8492</v>
      </c>
      <c r="P52" s="32">
        <f>IF(parametros_carros!$B$7=0,0,(O52+parametros_carros!$G$55)/parametros_carros!$B$7)</f>
        <v>0.05455022222</v>
      </c>
      <c r="Q52" s="21" t="str">
        <f t="shared" si="9"/>
        <v>Mar</v>
      </c>
    </row>
    <row r="53" ht="14.25" customHeight="1">
      <c r="A53" s="2" t="str">
        <f>parametros_carros!$B$30</f>
        <v>Secado</v>
      </c>
      <c r="B53" s="9">
        <f>(parametros_carros!$D$30*('Plan mensual'!D24+IF(parametros_carros!$H$30="Todos",'Plan mensual'!D28,0))+parametros_carros!$E$30*('Plan mensual'!D25+IF(parametros_carros!$H$30="Todos",'Plan mensual'!D29,0))+parametros_carros!$F$30*('Plan mensual'!D26+IF(parametros_carros!$H$30="Todos",'Plan mensual'!D30,0))+parametros_carros!$G$30*('Plan mensual'!D27+IF(parametros_carros!$H$30="Todos",'Plan mensual'!D31,0)))/60</f>
        <v>5.131166667</v>
      </c>
      <c r="C53" s="9">
        <f>(parametros_carros!$D$30*('Plan mensual'!E24+IF(parametros_carros!$H$30="Todos",'Plan mensual'!E28,0))+parametros_carros!$E$30*('Plan mensual'!E25+IF(parametros_carros!$H$30="Todos",'Plan mensual'!E29,0))+parametros_carros!$F$30*('Plan mensual'!E26+IF(parametros_carros!$H$30="Todos",'Plan mensual'!E30,0))+parametros_carros!$G$30*('Plan mensual'!E27+IF(parametros_carros!$H$30="Todos",'Plan mensual'!E31,0)))/60</f>
        <v>4.5275</v>
      </c>
      <c r="D53" s="9">
        <f>(parametros_carros!$D$30*('Plan mensual'!F24+IF(parametros_carros!$H$30="Todos",'Plan mensual'!F28,0))+parametros_carros!$E$30*('Plan mensual'!F25+IF(parametros_carros!$H$30="Todos",'Plan mensual'!F29,0))+parametros_carros!$F$30*('Plan mensual'!F26+IF(parametros_carros!$H$30="Todos",'Plan mensual'!F30,0))+parametros_carros!$G$30*('Plan mensual'!F27+IF(parametros_carros!$H$30="Todos",'Plan mensual'!F31,0)))/60</f>
        <v>5.433</v>
      </c>
      <c r="E53" s="9">
        <f>(parametros_carros!$D$30*('Plan mensual'!G24+IF(parametros_carros!$H$30="Todos",'Plan mensual'!G28,0))+parametros_carros!$E$30*('Plan mensual'!G25+IF(parametros_carros!$H$30="Todos",'Plan mensual'!G29,0))+parametros_carros!$F$30*('Plan mensual'!G26+IF(parametros_carros!$H$30="Todos",'Plan mensual'!G30,0))+parametros_carros!$G$30*('Plan mensual'!G27+IF(parametros_carros!$H$30="Todos",'Plan mensual'!G31,0)))/60</f>
        <v>5.433</v>
      </c>
      <c r="F53" s="9">
        <f>(parametros_carros!$D$30*('Plan mensual'!H24+IF(parametros_carros!$H$30="Todos",'Plan mensual'!H28,0))+parametros_carros!$E$30*('Plan mensual'!H25+IF(parametros_carros!$H$30="Todos",'Plan mensual'!H29,0))+parametros_carros!$F$30*('Plan mensual'!H26+IF(parametros_carros!$H$30="Todos",'Plan mensual'!H30,0))+parametros_carros!$G$30*('Plan mensual'!H27+IF(parametros_carros!$H$30="Todos",'Plan mensual'!H31,0)))/60</f>
        <v>5.433</v>
      </c>
      <c r="G53" s="9">
        <f>(parametros_carros!$D$30*('Plan mensual'!I24+IF(parametros_carros!$H$30="Todos",'Plan mensual'!I28,0))+parametros_carros!$E$30*('Plan mensual'!I25+IF(parametros_carros!$H$30="Todos",'Plan mensual'!I29,0))+parametros_carros!$F$30*('Plan mensual'!I26+IF(parametros_carros!$H$30="Todos",'Plan mensual'!I30,0))+parametros_carros!$G$30*('Plan mensual'!I27+IF(parametros_carros!$H$30="Todos",'Plan mensual'!I31,0)))/60</f>
        <v>4.829333333</v>
      </c>
      <c r="H53" s="9">
        <f>(parametros_carros!$D$30*('Plan mensual'!J24+IF(parametros_carros!$H$30="Todos",'Plan mensual'!J28,0))+parametros_carros!$E$30*('Plan mensual'!J25+IF(parametros_carros!$H$30="Todos",'Plan mensual'!J29,0))+parametros_carros!$F$30*('Plan mensual'!J26+IF(parametros_carros!$H$30="Todos",'Plan mensual'!J30,0))+parametros_carros!$G$30*('Plan mensual'!J27+IF(parametros_carros!$H$30="Todos",'Plan mensual'!J31,0)))/60</f>
        <v>5.433</v>
      </c>
      <c r="I53" s="9">
        <f>(parametros_carros!$D$30*('Plan mensual'!K24+IF(parametros_carros!$H$30="Todos",'Plan mensual'!K28,0))+parametros_carros!$E$30*('Plan mensual'!K25+IF(parametros_carros!$H$30="Todos",'Plan mensual'!K29,0))+parametros_carros!$F$30*('Plan mensual'!K26+IF(parametros_carros!$H$30="Todos",'Plan mensual'!K30,0))+parametros_carros!$G$30*('Plan mensual'!K27+IF(parametros_carros!$H$30="Todos",'Plan mensual'!K31,0)))/60</f>
        <v>5.433</v>
      </c>
      <c r="J53" s="9">
        <f>(parametros_carros!$D$30*('Plan mensual'!L24+IF(parametros_carros!$H$30="Todos",'Plan mensual'!L28,0))+parametros_carros!$E$30*('Plan mensual'!L25+IF(parametros_carros!$H$30="Todos",'Plan mensual'!L29,0))+parametros_carros!$F$30*('Plan mensual'!L26+IF(parametros_carros!$H$30="Todos",'Plan mensual'!L30,0))+parametros_carros!$G$30*('Plan mensual'!L27+IF(parametros_carros!$H$30="Todos",'Plan mensual'!L31,0)))/60</f>
        <v>5.131166667</v>
      </c>
      <c r="K53" s="9">
        <f>(parametros_carros!$D$30*('Plan mensual'!M24+IF(parametros_carros!$H$30="Todos",'Plan mensual'!M28,0))+parametros_carros!$E$30*('Plan mensual'!M25+IF(parametros_carros!$H$30="Todos",'Plan mensual'!M29,0))+parametros_carros!$F$30*('Plan mensual'!M26+IF(parametros_carros!$H$30="Todos",'Plan mensual'!M30,0))+parametros_carros!$G$30*('Plan mensual'!M27+IF(parametros_carros!$H$30="Todos",'Plan mensual'!M31,0)))/60</f>
        <v>4.5275</v>
      </c>
      <c r="L53" s="9">
        <f>(parametros_carros!$D$30*('Plan mensual'!N24+IF(parametros_carros!$H$30="Todos",'Plan mensual'!N28,0))+parametros_carros!$E$30*('Plan mensual'!N25+IF(parametros_carros!$H$30="Todos",'Plan mensual'!N29,0))+parametros_carros!$F$30*('Plan mensual'!N26+IF(parametros_carros!$H$30="Todos",'Plan mensual'!N30,0))+parametros_carros!$G$30*('Plan mensual'!N27+IF(parametros_carros!$H$30="Todos",'Plan mensual'!N31,0)))/60</f>
        <v>4.225666667</v>
      </c>
      <c r="M53" s="9">
        <f>(parametros_carros!$D$30*('Plan mensual'!O24+IF(parametros_carros!$H$30="Todos",'Plan mensual'!O28,0))+parametros_carros!$E$30*('Plan mensual'!O25+IF(parametros_carros!$H$30="Todos",'Plan mensual'!O29,0))+parametros_carros!$F$30*('Plan mensual'!O26+IF(parametros_carros!$H$30="Todos",'Plan mensual'!O30,0))+parametros_carros!$G$30*('Plan mensual'!O27+IF(parametros_carros!$H$30="Todos",'Plan mensual'!O31,0)))/60</f>
        <v>4.829333333</v>
      </c>
      <c r="N53" s="9">
        <f t="shared" si="7"/>
        <v>60.36666667</v>
      </c>
      <c r="O53" s="9">
        <f t="shared" si="8"/>
        <v>5.433</v>
      </c>
      <c r="P53" s="32">
        <f>IF(parametros_carros!$B$7=0,0,(O53+parametros_carros!$G$56)/parametros_carros!$B$7)</f>
        <v>0.03622</v>
      </c>
      <c r="Q53" s="21" t="str">
        <f t="shared" si="9"/>
        <v>Mar</v>
      </c>
    </row>
    <row r="54" ht="14.25" customHeight="1">
      <c r="A54" s="2" t="str">
        <f>parametros_carros!$B$31</f>
        <v>Pulmón de despacho y carga a pintura</v>
      </c>
      <c r="B54" s="9">
        <f>(parametros_carros!$D$31*('Plan mensual'!D24+IF(parametros_carros!$H$31="Todos",'Plan mensual'!D28,0))+parametros_carros!$E$31*('Plan mensual'!D25+IF(parametros_carros!$H$31="Todos",'Plan mensual'!D29,0))+parametros_carros!$F$31*('Plan mensual'!D26+IF(parametros_carros!$H$31="Todos",'Plan mensual'!D30,0))+parametros_carros!$G$31*('Plan mensual'!D27+IF(parametros_carros!$H$31="Todos",'Plan mensual'!D31,0)))/60</f>
        <v>0.816</v>
      </c>
      <c r="C54" s="9">
        <f>(parametros_carros!$D$31*('Plan mensual'!E24+IF(parametros_carros!$H$31="Todos",'Plan mensual'!E28,0))+parametros_carros!$E$31*('Plan mensual'!E25+IF(parametros_carros!$H$31="Todos",'Plan mensual'!E29,0))+parametros_carros!$F$31*('Plan mensual'!E26+IF(parametros_carros!$H$31="Todos",'Plan mensual'!E30,0))+parametros_carros!$G$31*('Plan mensual'!E27+IF(parametros_carros!$H$31="Todos",'Plan mensual'!E31,0)))/60</f>
        <v>0.72</v>
      </c>
      <c r="D54" s="9">
        <f>(parametros_carros!$D$31*('Plan mensual'!F24+IF(parametros_carros!$H$31="Todos",'Plan mensual'!F28,0))+parametros_carros!$E$31*('Plan mensual'!F25+IF(parametros_carros!$H$31="Todos",'Plan mensual'!F29,0))+parametros_carros!$F$31*('Plan mensual'!F26+IF(parametros_carros!$H$31="Todos",'Plan mensual'!F30,0))+parametros_carros!$G$31*('Plan mensual'!F27+IF(parametros_carros!$H$31="Todos",'Plan mensual'!F31,0)))/60</f>
        <v>0.864</v>
      </c>
      <c r="E54" s="9">
        <f>(parametros_carros!$D$31*('Plan mensual'!G24+IF(parametros_carros!$H$31="Todos",'Plan mensual'!G28,0))+parametros_carros!$E$31*('Plan mensual'!G25+IF(parametros_carros!$H$31="Todos",'Plan mensual'!G29,0))+parametros_carros!$F$31*('Plan mensual'!G26+IF(parametros_carros!$H$31="Todos",'Plan mensual'!G30,0))+parametros_carros!$G$31*('Plan mensual'!G27+IF(parametros_carros!$H$31="Todos",'Plan mensual'!G31,0)))/60</f>
        <v>0.864</v>
      </c>
      <c r="F54" s="9">
        <f>(parametros_carros!$D$31*('Plan mensual'!H24+IF(parametros_carros!$H$31="Todos",'Plan mensual'!H28,0))+parametros_carros!$E$31*('Plan mensual'!H25+IF(parametros_carros!$H$31="Todos",'Plan mensual'!H29,0))+parametros_carros!$F$31*('Plan mensual'!H26+IF(parametros_carros!$H$31="Todos",'Plan mensual'!H30,0))+parametros_carros!$G$31*('Plan mensual'!H27+IF(parametros_carros!$H$31="Todos",'Plan mensual'!H31,0)))/60</f>
        <v>0.864</v>
      </c>
      <c r="G54" s="9">
        <f>(parametros_carros!$D$31*('Plan mensual'!I24+IF(parametros_carros!$H$31="Todos",'Plan mensual'!I28,0))+parametros_carros!$E$31*('Plan mensual'!I25+IF(parametros_carros!$H$31="Todos",'Plan mensual'!I29,0))+parametros_carros!$F$31*('Plan mensual'!I26+IF(parametros_carros!$H$31="Todos",'Plan mensual'!I30,0))+parametros_carros!$G$31*('Plan mensual'!I27+IF(parametros_carros!$H$31="Todos",'Plan mensual'!I31,0)))/60</f>
        <v>0.768</v>
      </c>
      <c r="H54" s="9">
        <f>(parametros_carros!$D$31*('Plan mensual'!J24+IF(parametros_carros!$H$31="Todos",'Plan mensual'!J28,0))+parametros_carros!$E$31*('Plan mensual'!J25+IF(parametros_carros!$H$31="Todos",'Plan mensual'!J29,0))+parametros_carros!$F$31*('Plan mensual'!J26+IF(parametros_carros!$H$31="Todos",'Plan mensual'!J30,0))+parametros_carros!$G$31*('Plan mensual'!J27+IF(parametros_carros!$H$31="Todos",'Plan mensual'!J31,0)))/60</f>
        <v>0.864</v>
      </c>
      <c r="I54" s="9">
        <f>(parametros_carros!$D$31*('Plan mensual'!K24+IF(parametros_carros!$H$31="Todos",'Plan mensual'!K28,0))+parametros_carros!$E$31*('Plan mensual'!K25+IF(parametros_carros!$H$31="Todos",'Plan mensual'!K29,0))+parametros_carros!$F$31*('Plan mensual'!K26+IF(parametros_carros!$H$31="Todos",'Plan mensual'!K30,0))+parametros_carros!$G$31*('Plan mensual'!K27+IF(parametros_carros!$H$31="Todos",'Plan mensual'!K31,0)))/60</f>
        <v>0.864</v>
      </c>
      <c r="J54" s="9">
        <f>(parametros_carros!$D$31*('Plan mensual'!L24+IF(parametros_carros!$H$31="Todos",'Plan mensual'!L28,0))+parametros_carros!$E$31*('Plan mensual'!L25+IF(parametros_carros!$H$31="Todos",'Plan mensual'!L29,0))+parametros_carros!$F$31*('Plan mensual'!L26+IF(parametros_carros!$H$31="Todos",'Plan mensual'!L30,0))+parametros_carros!$G$31*('Plan mensual'!L27+IF(parametros_carros!$H$31="Todos",'Plan mensual'!L31,0)))/60</f>
        <v>0.816</v>
      </c>
      <c r="K54" s="9">
        <f>(parametros_carros!$D$31*('Plan mensual'!M24+IF(parametros_carros!$H$31="Todos",'Plan mensual'!M28,0))+parametros_carros!$E$31*('Plan mensual'!M25+IF(parametros_carros!$H$31="Todos",'Plan mensual'!M29,0))+parametros_carros!$F$31*('Plan mensual'!M26+IF(parametros_carros!$H$31="Todos",'Plan mensual'!M30,0))+parametros_carros!$G$31*('Plan mensual'!M27+IF(parametros_carros!$H$31="Todos",'Plan mensual'!M31,0)))/60</f>
        <v>0.72</v>
      </c>
      <c r="L54" s="9">
        <f>(parametros_carros!$D$31*('Plan mensual'!N24+IF(parametros_carros!$H$31="Todos",'Plan mensual'!N28,0))+parametros_carros!$E$31*('Plan mensual'!N25+IF(parametros_carros!$H$31="Todos",'Plan mensual'!N29,0))+parametros_carros!$F$31*('Plan mensual'!N26+IF(parametros_carros!$H$31="Todos",'Plan mensual'!N30,0))+parametros_carros!$G$31*('Plan mensual'!N27+IF(parametros_carros!$H$31="Todos",'Plan mensual'!N31,0)))/60</f>
        <v>0.672</v>
      </c>
      <c r="M54" s="9">
        <f>(parametros_carros!$D$31*('Plan mensual'!O24+IF(parametros_carros!$H$31="Todos",'Plan mensual'!O28,0))+parametros_carros!$E$31*('Plan mensual'!O25+IF(parametros_carros!$H$31="Todos",'Plan mensual'!O29,0))+parametros_carros!$F$31*('Plan mensual'!O26+IF(parametros_carros!$H$31="Todos",'Plan mensual'!O30,0))+parametros_carros!$G$31*('Plan mensual'!O27+IF(parametros_carros!$H$31="Todos",'Plan mensual'!O31,0)))/60</f>
        <v>0.768</v>
      </c>
      <c r="N54" s="9">
        <f t="shared" si="7"/>
        <v>9.6</v>
      </c>
      <c r="O54" s="9">
        <f t="shared" si="8"/>
        <v>0.864</v>
      </c>
      <c r="P54" s="32">
        <f>IF(parametros_carros!$B$7=0,0,(O54+parametros_carros!$G$57)/parametros_carros!$B$7)</f>
        <v>0.01464888889</v>
      </c>
      <c r="Q54" s="21" t="str">
        <f t="shared" si="9"/>
        <v>Mar</v>
      </c>
    </row>
    <row r="55" ht="14.25" customHeight="1">
      <c r="A55" s="2" t="str">
        <f>parametros_carros!$B$32</f>
        <v>Recepción de pintados y cambio de juego</v>
      </c>
      <c r="B55" s="9">
        <f>(parametros_carros!$D$32*('Plan mensual'!D24+IF(parametros_carros!$H$32="Todos",'Plan mensual'!D28,0))+parametros_carros!$E$32*('Plan mensual'!D25+IF(parametros_carros!$H$32="Todos",'Plan mensual'!D29,0))+parametros_carros!$F$32*('Plan mensual'!D26+IF(parametros_carros!$H$32="Todos",'Plan mensual'!D30,0))+parametros_carros!$G$32*('Plan mensual'!D27+IF(parametros_carros!$H$32="Todos",'Plan mensual'!D31,0)))/60</f>
        <v>1.5963</v>
      </c>
      <c r="C55" s="9">
        <f>(parametros_carros!$D$32*('Plan mensual'!E24+IF(parametros_carros!$H$32="Todos",'Plan mensual'!E28,0))+parametros_carros!$E$32*('Plan mensual'!E25+IF(parametros_carros!$H$32="Todos",'Plan mensual'!E29,0))+parametros_carros!$F$32*('Plan mensual'!E26+IF(parametros_carros!$H$32="Todos",'Plan mensual'!E30,0))+parametros_carros!$G$32*('Plan mensual'!E27+IF(parametros_carros!$H$32="Todos",'Plan mensual'!E31,0)))/60</f>
        <v>1.4085</v>
      </c>
      <c r="D55" s="9">
        <f>(parametros_carros!$D$32*('Plan mensual'!F24+IF(parametros_carros!$H$32="Todos",'Plan mensual'!F28,0))+parametros_carros!$E$32*('Plan mensual'!F25+IF(parametros_carros!$H$32="Todos",'Plan mensual'!F29,0))+parametros_carros!$F$32*('Plan mensual'!F26+IF(parametros_carros!$H$32="Todos",'Plan mensual'!F30,0))+parametros_carros!$G$32*('Plan mensual'!F27+IF(parametros_carros!$H$32="Todos",'Plan mensual'!F31,0)))/60</f>
        <v>1.6902</v>
      </c>
      <c r="E55" s="9">
        <f>(parametros_carros!$D$32*('Plan mensual'!G24+IF(parametros_carros!$H$32="Todos",'Plan mensual'!G28,0))+parametros_carros!$E$32*('Plan mensual'!G25+IF(parametros_carros!$H$32="Todos",'Plan mensual'!G29,0))+parametros_carros!$F$32*('Plan mensual'!G26+IF(parametros_carros!$H$32="Todos",'Plan mensual'!G30,0))+parametros_carros!$G$32*('Plan mensual'!G27+IF(parametros_carros!$H$32="Todos",'Plan mensual'!G31,0)))/60</f>
        <v>1.6902</v>
      </c>
      <c r="F55" s="9">
        <f>(parametros_carros!$D$32*('Plan mensual'!H24+IF(parametros_carros!$H$32="Todos",'Plan mensual'!H28,0))+parametros_carros!$E$32*('Plan mensual'!H25+IF(parametros_carros!$H$32="Todos",'Plan mensual'!H29,0))+parametros_carros!$F$32*('Plan mensual'!H26+IF(parametros_carros!$H$32="Todos",'Plan mensual'!H30,0))+parametros_carros!$G$32*('Plan mensual'!H27+IF(parametros_carros!$H$32="Todos",'Plan mensual'!H31,0)))/60</f>
        <v>1.6902</v>
      </c>
      <c r="G55" s="9">
        <f>(parametros_carros!$D$32*('Plan mensual'!I24+IF(parametros_carros!$H$32="Todos",'Plan mensual'!I28,0))+parametros_carros!$E$32*('Plan mensual'!I25+IF(parametros_carros!$H$32="Todos",'Plan mensual'!I29,0))+parametros_carros!$F$32*('Plan mensual'!I26+IF(parametros_carros!$H$32="Todos",'Plan mensual'!I30,0))+parametros_carros!$G$32*('Plan mensual'!I27+IF(parametros_carros!$H$32="Todos",'Plan mensual'!I31,0)))/60</f>
        <v>1.5024</v>
      </c>
      <c r="H55" s="9">
        <f>(parametros_carros!$D$32*('Plan mensual'!J24+IF(parametros_carros!$H$32="Todos",'Plan mensual'!J28,0))+parametros_carros!$E$32*('Plan mensual'!J25+IF(parametros_carros!$H$32="Todos",'Plan mensual'!J29,0))+parametros_carros!$F$32*('Plan mensual'!J26+IF(parametros_carros!$H$32="Todos",'Plan mensual'!J30,0))+parametros_carros!$G$32*('Plan mensual'!J27+IF(parametros_carros!$H$32="Todos",'Plan mensual'!J31,0)))/60</f>
        <v>1.6902</v>
      </c>
      <c r="I55" s="9">
        <f>(parametros_carros!$D$32*('Plan mensual'!K24+IF(parametros_carros!$H$32="Todos",'Plan mensual'!K28,0))+parametros_carros!$E$32*('Plan mensual'!K25+IF(parametros_carros!$H$32="Todos",'Plan mensual'!K29,0))+parametros_carros!$F$32*('Plan mensual'!K26+IF(parametros_carros!$H$32="Todos",'Plan mensual'!K30,0))+parametros_carros!$G$32*('Plan mensual'!K27+IF(parametros_carros!$H$32="Todos",'Plan mensual'!K31,0)))/60</f>
        <v>1.6902</v>
      </c>
      <c r="J55" s="9">
        <f>(parametros_carros!$D$32*('Plan mensual'!L24+IF(parametros_carros!$H$32="Todos",'Plan mensual'!L28,0))+parametros_carros!$E$32*('Plan mensual'!L25+IF(parametros_carros!$H$32="Todos",'Plan mensual'!L29,0))+parametros_carros!$F$32*('Plan mensual'!L26+IF(parametros_carros!$H$32="Todos",'Plan mensual'!L30,0))+parametros_carros!$G$32*('Plan mensual'!L27+IF(parametros_carros!$H$32="Todos",'Plan mensual'!L31,0)))/60</f>
        <v>1.5963</v>
      </c>
      <c r="K55" s="9">
        <f>(parametros_carros!$D$32*('Plan mensual'!M24+IF(parametros_carros!$H$32="Todos",'Plan mensual'!M28,0))+parametros_carros!$E$32*('Plan mensual'!M25+IF(parametros_carros!$H$32="Todos",'Plan mensual'!M29,0))+parametros_carros!$F$32*('Plan mensual'!M26+IF(parametros_carros!$H$32="Todos",'Plan mensual'!M30,0))+parametros_carros!$G$32*('Plan mensual'!M27+IF(parametros_carros!$H$32="Todos",'Plan mensual'!M31,0)))/60</f>
        <v>1.4085</v>
      </c>
      <c r="L55" s="9">
        <f>(parametros_carros!$D$32*('Plan mensual'!N24+IF(parametros_carros!$H$32="Todos",'Plan mensual'!N28,0))+parametros_carros!$E$32*('Plan mensual'!N25+IF(parametros_carros!$H$32="Todos",'Plan mensual'!N29,0))+parametros_carros!$F$32*('Plan mensual'!N26+IF(parametros_carros!$H$32="Todos",'Plan mensual'!N30,0))+parametros_carros!$G$32*('Plan mensual'!N27+IF(parametros_carros!$H$32="Todos",'Plan mensual'!N31,0)))/60</f>
        <v>1.3146</v>
      </c>
      <c r="M55" s="9">
        <f>(parametros_carros!$D$32*('Plan mensual'!O24+IF(parametros_carros!$H$32="Todos",'Plan mensual'!O28,0))+parametros_carros!$E$32*('Plan mensual'!O25+IF(parametros_carros!$H$32="Todos",'Plan mensual'!O29,0))+parametros_carros!$F$32*('Plan mensual'!O26+IF(parametros_carros!$H$32="Todos",'Plan mensual'!O30,0))+parametros_carros!$G$32*('Plan mensual'!O27+IF(parametros_carros!$H$32="Todos",'Plan mensual'!O31,0)))/60</f>
        <v>1.5024</v>
      </c>
      <c r="N55" s="9">
        <f t="shared" si="7"/>
        <v>18.78</v>
      </c>
      <c r="O55" s="9">
        <f t="shared" si="8"/>
        <v>1.6902</v>
      </c>
      <c r="P55" s="32">
        <f>IF(parametros_carros!$B$7=0,0,(O55+parametros_carros!$G$58)/parametros_carros!$B$7)</f>
        <v>0.02015688889</v>
      </c>
      <c r="Q55" s="21" t="str">
        <f t="shared" si="9"/>
        <v>Mar</v>
      </c>
    </row>
    <row r="56" ht="14.25" customHeight="1">
      <c r="A56" s="2" t="str">
        <f>parametros_carros!$B$33</f>
        <v>Carga de polvo y presurización</v>
      </c>
      <c r="B56" s="9">
        <f>(parametros_carros!$D$33*('Plan mensual'!D24+IF(parametros_carros!$H$33="Todos",'Plan mensual'!D28,0))+parametros_carros!$E$33*('Plan mensual'!D25+IF(parametros_carros!$H$33="Todos",'Plan mensual'!D29,0))+parametros_carros!$F$33*('Plan mensual'!D26+IF(parametros_carros!$H$33="Todos",'Plan mensual'!D30,0))+parametros_carros!$G$33*('Plan mensual'!D27+IF(parametros_carros!$H$33="Todos",'Plan mensual'!D31,0)))/60</f>
        <v>4.843016667</v>
      </c>
      <c r="C56" s="9">
        <f>(parametros_carros!$D$33*('Plan mensual'!E24+IF(parametros_carros!$H$33="Todos",'Plan mensual'!E28,0))+parametros_carros!$E$33*('Plan mensual'!E25+IF(parametros_carros!$H$33="Todos",'Plan mensual'!E29,0))+parametros_carros!$F$33*('Plan mensual'!E26+IF(parametros_carros!$H$33="Todos",'Plan mensual'!E30,0))+parametros_carros!$G$33*('Plan mensual'!E27+IF(parametros_carros!$H$33="Todos",'Plan mensual'!E31,0)))/60</f>
        <v>4.27325</v>
      </c>
      <c r="D56" s="9">
        <f>(parametros_carros!$D$33*('Plan mensual'!F24+IF(parametros_carros!$H$33="Todos",'Plan mensual'!F28,0))+parametros_carros!$E$33*('Plan mensual'!F25+IF(parametros_carros!$H$33="Todos",'Plan mensual'!F29,0))+parametros_carros!$F$33*('Plan mensual'!F26+IF(parametros_carros!$H$33="Todos",'Plan mensual'!F30,0))+parametros_carros!$G$33*('Plan mensual'!F27+IF(parametros_carros!$H$33="Todos",'Plan mensual'!F31,0)))/60</f>
        <v>5.1279</v>
      </c>
      <c r="E56" s="9">
        <f>(parametros_carros!$D$33*('Plan mensual'!G24+IF(parametros_carros!$H$33="Todos",'Plan mensual'!G28,0))+parametros_carros!$E$33*('Plan mensual'!G25+IF(parametros_carros!$H$33="Todos",'Plan mensual'!G29,0))+parametros_carros!$F$33*('Plan mensual'!G26+IF(parametros_carros!$H$33="Todos",'Plan mensual'!G30,0))+parametros_carros!$G$33*('Plan mensual'!G27+IF(parametros_carros!$H$33="Todos",'Plan mensual'!G31,0)))/60</f>
        <v>5.1279</v>
      </c>
      <c r="F56" s="9">
        <f>(parametros_carros!$D$33*('Plan mensual'!H24+IF(parametros_carros!$H$33="Todos",'Plan mensual'!H28,0))+parametros_carros!$E$33*('Plan mensual'!H25+IF(parametros_carros!$H$33="Todos",'Plan mensual'!H29,0))+parametros_carros!$F$33*('Plan mensual'!H26+IF(parametros_carros!$H$33="Todos",'Plan mensual'!H30,0))+parametros_carros!$G$33*('Plan mensual'!H27+IF(parametros_carros!$H$33="Todos",'Plan mensual'!H31,0)))/60</f>
        <v>5.1279</v>
      </c>
      <c r="G56" s="9">
        <f>(parametros_carros!$D$33*('Plan mensual'!I24+IF(parametros_carros!$H$33="Todos",'Plan mensual'!I28,0))+parametros_carros!$E$33*('Plan mensual'!I25+IF(parametros_carros!$H$33="Todos",'Plan mensual'!I29,0))+parametros_carros!$F$33*('Plan mensual'!I26+IF(parametros_carros!$H$33="Todos",'Plan mensual'!I30,0))+parametros_carros!$G$33*('Plan mensual'!I27+IF(parametros_carros!$H$33="Todos",'Plan mensual'!I31,0)))/60</f>
        <v>4.558133333</v>
      </c>
      <c r="H56" s="9">
        <f>(parametros_carros!$D$33*('Plan mensual'!J24+IF(parametros_carros!$H$33="Todos",'Plan mensual'!J28,0))+parametros_carros!$E$33*('Plan mensual'!J25+IF(parametros_carros!$H$33="Todos",'Plan mensual'!J29,0))+parametros_carros!$F$33*('Plan mensual'!J26+IF(parametros_carros!$H$33="Todos",'Plan mensual'!J30,0))+parametros_carros!$G$33*('Plan mensual'!J27+IF(parametros_carros!$H$33="Todos",'Plan mensual'!J31,0)))/60</f>
        <v>5.1279</v>
      </c>
      <c r="I56" s="9">
        <f>(parametros_carros!$D$33*('Plan mensual'!K24+IF(parametros_carros!$H$33="Todos",'Plan mensual'!K28,0))+parametros_carros!$E$33*('Plan mensual'!K25+IF(parametros_carros!$H$33="Todos",'Plan mensual'!K29,0))+parametros_carros!$F$33*('Plan mensual'!K26+IF(parametros_carros!$H$33="Todos",'Plan mensual'!K30,0))+parametros_carros!$G$33*('Plan mensual'!K27+IF(parametros_carros!$H$33="Todos",'Plan mensual'!K31,0)))/60</f>
        <v>5.1279</v>
      </c>
      <c r="J56" s="9">
        <f>(parametros_carros!$D$33*('Plan mensual'!L24+IF(parametros_carros!$H$33="Todos",'Plan mensual'!L28,0))+parametros_carros!$E$33*('Plan mensual'!L25+IF(parametros_carros!$H$33="Todos",'Plan mensual'!L29,0))+parametros_carros!$F$33*('Plan mensual'!L26+IF(parametros_carros!$H$33="Todos",'Plan mensual'!L30,0))+parametros_carros!$G$33*('Plan mensual'!L27+IF(parametros_carros!$H$33="Todos",'Plan mensual'!L31,0)))/60</f>
        <v>4.843016667</v>
      </c>
      <c r="K56" s="9">
        <f>(parametros_carros!$D$33*('Plan mensual'!M24+IF(parametros_carros!$H$33="Todos",'Plan mensual'!M28,0))+parametros_carros!$E$33*('Plan mensual'!M25+IF(parametros_carros!$H$33="Todos",'Plan mensual'!M29,0))+parametros_carros!$F$33*('Plan mensual'!M26+IF(parametros_carros!$H$33="Todos",'Plan mensual'!M30,0))+parametros_carros!$G$33*('Plan mensual'!M27+IF(parametros_carros!$H$33="Todos",'Plan mensual'!M31,0)))/60</f>
        <v>4.27325</v>
      </c>
      <c r="L56" s="9">
        <f>(parametros_carros!$D$33*('Plan mensual'!N24+IF(parametros_carros!$H$33="Todos",'Plan mensual'!N28,0))+parametros_carros!$E$33*('Plan mensual'!N25+IF(parametros_carros!$H$33="Todos",'Plan mensual'!N29,0))+parametros_carros!$F$33*('Plan mensual'!N26+IF(parametros_carros!$H$33="Todos",'Plan mensual'!N30,0))+parametros_carros!$G$33*('Plan mensual'!N27+IF(parametros_carros!$H$33="Todos",'Plan mensual'!N31,0)))/60</f>
        <v>3.988366667</v>
      </c>
      <c r="M56" s="9">
        <f>(parametros_carros!$D$33*('Plan mensual'!O24+IF(parametros_carros!$H$33="Todos",'Plan mensual'!O28,0))+parametros_carros!$E$33*('Plan mensual'!O25+IF(parametros_carros!$H$33="Todos",'Plan mensual'!O29,0))+parametros_carros!$F$33*('Plan mensual'!O26+IF(parametros_carros!$H$33="Todos",'Plan mensual'!O30,0))+parametros_carros!$G$33*('Plan mensual'!O27+IF(parametros_carros!$H$33="Todos",'Plan mensual'!O31,0)))/60</f>
        <v>4.558133333</v>
      </c>
      <c r="N56" s="9">
        <f t="shared" si="7"/>
        <v>56.97666667</v>
      </c>
      <c r="O56" s="9">
        <f t="shared" si="8"/>
        <v>5.1279</v>
      </c>
      <c r="P56" s="32">
        <f>IF(parametros_carros!$B$7=0,0,(O56+parametros_carros!$G$59)/parametros_carros!$B$7)</f>
        <v>0.1408526667</v>
      </c>
      <c r="Q56" s="21" t="str">
        <f t="shared" si="9"/>
        <v>Mar</v>
      </c>
    </row>
    <row r="57" ht="14.25" customHeight="1">
      <c r="A57" s="2" t="str">
        <f>parametros_carros!$B$34</f>
        <v>Montaje, manga, precinto y etiquetado</v>
      </c>
      <c r="B57" s="9">
        <f>(parametros_carros!$D$34*('Plan mensual'!D24+IF(parametros_carros!$H$34="Todos",'Plan mensual'!D28,0))+parametros_carros!$E$34*('Plan mensual'!D25+IF(parametros_carros!$H$34="Todos",'Plan mensual'!D29,0))+parametros_carros!$F$34*('Plan mensual'!D26+IF(parametros_carros!$H$34="Todos",'Plan mensual'!D30,0))+parametros_carros!$G$34*('Plan mensual'!D27+IF(parametros_carros!$H$34="Todos",'Plan mensual'!D31,0)))/60</f>
        <v>2.703283333</v>
      </c>
      <c r="C57" s="9">
        <f>(parametros_carros!$D$34*('Plan mensual'!E24+IF(parametros_carros!$H$34="Todos",'Plan mensual'!E28,0))+parametros_carros!$E$34*('Plan mensual'!E25+IF(parametros_carros!$H$34="Todos",'Plan mensual'!E29,0))+parametros_carros!$F$34*('Plan mensual'!E26+IF(parametros_carros!$H$34="Todos",'Plan mensual'!E30,0))+parametros_carros!$G$34*('Plan mensual'!E27+IF(parametros_carros!$H$34="Todos",'Plan mensual'!E31,0)))/60</f>
        <v>2.38525</v>
      </c>
      <c r="D57" s="9">
        <f>(parametros_carros!$D$34*('Plan mensual'!F24+IF(parametros_carros!$H$34="Todos",'Plan mensual'!F28,0))+parametros_carros!$E$34*('Plan mensual'!F25+IF(parametros_carros!$H$34="Todos",'Plan mensual'!F29,0))+parametros_carros!$F$34*('Plan mensual'!F26+IF(parametros_carros!$H$34="Todos",'Plan mensual'!F30,0))+parametros_carros!$G$34*('Plan mensual'!F27+IF(parametros_carros!$H$34="Todos",'Plan mensual'!F31,0)))/60</f>
        <v>2.8623</v>
      </c>
      <c r="E57" s="9">
        <f>(parametros_carros!$D$34*('Plan mensual'!G24+IF(parametros_carros!$H$34="Todos",'Plan mensual'!G28,0))+parametros_carros!$E$34*('Plan mensual'!G25+IF(parametros_carros!$H$34="Todos",'Plan mensual'!G29,0))+parametros_carros!$F$34*('Plan mensual'!G26+IF(parametros_carros!$H$34="Todos",'Plan mensual'!G30,0))+parametros_carros!$G$34*('Plan mensual'!G27+IF(parametros_carros!$H$34="Todos",'Plan mensual'!G31,0)))/60</f>
        <v>2.8623</v>
      </c>
      <c r="F57" s="9">
        <f>(parametros_carros!$D$34*('Plan mensual'!H24+IF(parametros_carros!$H$34="Todos",'Plan mensual'!H28,0))+parametros_carros!$E$34*('Plan mensual'!H25+IF(parametros_carros!$H$34="Todos",'Plan mensual'!H29,0))+parametros_carros!$F$34*('Plan mensual'!H26+IF(parametros_carros!$H$34="Todos",'Plan mensual'!H30,0))+parametros_carros!$G$34*('Plan mensual'!H27+IF(parametros_carros!$H$34="Todos",'Plan mensual'!H31,0)))/60</f>
        <v>2.8623</v>
      </c>
      <c r="G57" s="9">
        <f>(parametros_carros!$D$34*('Plan mensual'!I24+IF(parametros_carros!$H$34="Todos",'Plan mensual'!I28,0))+parametros_carros!$E$34*('Plan mensual'!I25+IF(parametros_carros!$H$34="Todos",'Plan mensual'!I29,0))+parametros_carros!$F$34*('Plan mensual'!I26+IF(parametros_carros!$H$34="Todos",'Plan mensual'!I30,0))+parametros_carros!$G$34*('Plan mensual'!I27+IF(parametros_carros!$H$34="Todos",'Plan mensual'!I31,0)))/60</f>
        <v>2.544266667</v>
      </c>
      <c r="H57" s="9">
        <f>(parametros_carros!$D$34*('Plan mensual'!J24+IF(parametros_carros!$H$34="Todos",'Plan mensual'!J28,0))+parametros_carros!$E$34*('Plan mensual'!J25+IF(parametros_carros!$H$34="Todos",'Plan mensual'!J29,0))+parametros_carros!$F$34*('Plan mensual'!J26+IF(parametros_carros!$H$34="Todos",'Plan mensual'!J30,0))+parametros_carros!$G$34*('Plan mensual'!J27+IF(parametros_carros!$H$34="Todos",'Plan mensual'!J31,0)))/60</f>
        <v>2.8623</v>
      </c>
      <c r="I57" s="9">
        <f>(parametros_carros!$D$34*('Plan mensual'!K24+IF(parametros_carros!$H$34="Todos",'Plan mensual'!K28,0))+parametros_carros!$E$34*('Plan mensual'!K25+IF(parametros_carros!$H$34="Todos",'Plan mensual'!K29,0))+parametros_carros!$F$34*('Plan mensual'!K26+IF(parametros_carros!$H$34="Todos",'Plan mensual'!K30,0))+parametros_carros!$G$34*('Plan mensual'!K27+IF(parametros_carros!$H$34="Todos",'Plan mensual'!K31,0)))/60</f>
        <v>2.8623</v>
      </c>
      <c r="J57" s="9">
        <f>(parametros_carros!$D$34*('Plan mensual'!L24+IF(parametros_carros!$H$34="Todos",'Plan mensual'!L28,0))+parametros_carros!$E$34*('Plan mensual'!L25+IF(parametros_carros!$H$34="Todos",'Plan mensual'!L29,0))+parametros_carros!$F$34*('Plan mensual'!L26+IF(parametros_carros!$H$34="Todos",'Plan mensual'!L30,0))+parametros_carros!$G$34*('Plan mensual'!L27+IF(parametros_carros!$H$34="Todos",'Plan mensual'!L31,0)))/60</f>
        <v>2.703283333</v>
      </c>
      <c r="K57" s="9">
        <f>(parametros_carros!$D$34*('Plan mensual'!M24+IF(parametros_carros!$H$34="Todos",'Plan mensual'!M28,0))+parametros_carros!$E$34*('Plan mensual'!M25+IF(parametros_carros!$H$34="Todos",'Plan mensual'!M29,0))+parametros_carros!$F$34*('Plan mensual'!M26+IF(parametros_carros!$H$34="Todos",'Plan mensual'!M30,0))+parametros_carros!$G$34*('Plan mensual'!M27+IF(parametros_carros!$H$34="Todos",'Plan mensual'!M31,0)))/60</f>
        <v>2.38525</v>
      </c>
      <c r="L57" s="9">
        <f>(parametros_carros!$D$34*('Plan mensual'!N24+IF(parametros_carros!$H$34="Todos",'Plan mensual'!N28,0))+parametros_carros!$E$34*('Plan mensual'!N25+IF(parametros_carros!$H$34="Todos",'Plan mensual'!N29,0))+parametros_carros!$F$34*('Plan mensual'!N26+IF(parametros_carros!$H$34="Todos",'Plan mensual'!N30,0))+parametros_carros!$G$34*('Plan mensual'!N27+IF(parametros_carros!$H$34="Todos",'Plan mensual'!N31,0)))/60</f>
        <v>2.226233333</v>
      </c>
      <c r="M57" s="9">
        <f>(parametros_carros!$D$34*('Plan mensual'!O24+IF(parametros_carros!$H$34="Todos",'Plan mensual'!O28,0))+parametros_carros!$E$34*('Plan mensual'!O25+IF(parametros_carros!$H$34="Todos",'Plan mensual'!O29,0))+parametros_carros!$F$34*('Plan mensual'!O26+IF(parametros_carros!$H$34="Todos",'Plan mensual'!O30,0))+parametros_carros!$G$34*('Plan mensual'!O27+IF(parametros_carros!$H$34="Todos",'Plan mensual'!O31,0)))/60</f>
        <v>2.544266667</v>
      </c>
      <c r="N57" s="9">
        <f t="shared" si="7"/>
        <v>31.80333333</v>
      </c>
      <c r="O57" s="9">
        <f t="shared" si="8"/>
        <v>2.8623</v>
      </c>
      <c r="P57" s="32">
        <f>IF(parametros_carros!$B$7=0,0,(O57+parametros_carros!$G$60)/parametros_carros!$B$7)</f>
        <v>0.06574866667</v>
      </c>
      <c r="Q57" s="21" t="str">
        <f t="shared" si="9"/>
        <v>Mar</v>
      </c>
    </row>
    <row r="58" ht="14.25" customHeight="1">
      <c r="A58" s="2" t="str">
        <f>parametros_carros!$B$35</f>
        <v>Calidad: pérdidas, inspección final, liberación y ensayos de lote</v>
      </c>
      <c r="B58" s="9">
        <f>(parametros_carros!$D$35*('Plan mensual'!D24+IF(parametros_carros!$H$35="Todos",'Plan mensual'!D28,0))+parametros_carros!$E$35*('Plan mensual'!D25+IF(parametros_carros!$H$35="Todos",'Plan mensual'!D29,0))+parametros_carros!$F$35*('Plan mensual'!D26+IF(parametros_carros!$H$35="Todos",'Plan mensual'!D30,0))+parametros_carros!$G$35*('Plan mensual'!D27+IF(parametros_carros!$H$35="Todos",'Plan mensual'!D31,0)))/60</f>
        <v>2.049321667</v>
      </c>
      <c r="C58" s="9">
        <f>(parametros_carros!$D$35*('Plan mensual'!E24+IF(parametros_carros!$H$35="Todos",'Plan mensual'!E28,0))+parametros_carros!$E$35*('Plan mensual'!E25+IF(parametros_carros!$H$35="Todos",'Plan mensual'!E29,0))+parametros_carros!$F$35*('Plan mensual'!E26+IF(parametros_carros!$H$35="Todos",'Plan mensual'!E30,0))+parametros_carros!$G$35*('Plan mensual'!E27+IF(parametros_carros!$H$35="Todos",'Plan mensual'!E31,0)))/60</f>
        <v>1.808225</v>
      </c>
      <c r="D58" s="9">
        <f>(parametros_carros!$D$35*('Plan mensual'!F24+IF(parametros_carros!$H$35="Todos",'Plan mensual'!F28,0))+parametros_carros!$E$35*('Plan mensual'!F25+IF(parametros_carros!$H$35="Todos",'Plan mensual'!F29,0))+parametros_carros!$F$35*('Plan mensual'!F26+IF(parametros_carros!$H$35="Todos",'Plan mensual'!F30,0))+parametros_carros!$G$35*('Plan mensual'!F27+IF(parametros_carros!$H$35="Todos",'Plan mensual'!F31,0)))/60</f>
        <v>2.16987</v>
      </c>
      <c r="E58" s="9">
        <f>(parametros_carros!$D$35*('Plan mensual'!G24+IF(parametros_carros!$H$35="Todos",'Plan mensual'!G28,0))+parametros_carros!$E$35*('Plan mensual'!G25+IF(parametros_carros!$H$35="Todos",'Plan mensual'!G29,0))+parametros_carros!$F$35*('Plan mensual'!G26+IF(parametros_carros!$H$35="Todos",'Plan mensual'!G30,0))+parametros_carros!$G$35*('Plan mensual'!G27+IF(parametros_carros!$H$35="Todos",'Plan mensual'!G31,0)))/60</f>
        <v>2.16987</v>
      </c>
      <c r="F58" s="9">
        <f>(parametros_carros!$D$35*('Plan mensual'!H24+IF(parametros_carros!$H$35="Todos",'Plan mensual'!H28,0))+parametros_carros!$E$35*('Plan mensual'!H25+IF(parametros_carros!$H$35="Todos",'Plan mensual'!H29,0))+parametros_carros!$F$35*('Plan mensual'!H26+IF(parametros_carros!$H$35="Todos",'Plan mensual'!H30,0))+parametros_carros!$G$35*('Plan mensual'!H27+IF(parametros_carros!$H$35="Todos",'Plan mensual'!H31,0)))/60</f>
        <v>2.16987</v>
      </c>
      <c r="G58" s="9">
        <f>(parametros_carros!$D$35*('Plan mensual'!I24+IF(parametros_carros!$H$35="Todos",'Plan mensual'!I28,0))+parametros_carros!$E$35*('Plan mensual'!I25+IF(parametros_carros!$H$35="Todos",'Plan mensual'!I29,0))+parametros_carros!$F$35*('Plan mensual'!I26+IF(parametros_carros!$H$35="Todos",'Plan mensual'!I30,0))+parametros_carros!$G$35*('Plan mensual'!I27+IF(parametros_carros!$H$35="Todos",'Plan mensual'!I31,0)))/60</f>
        <v>1.928773333</v>
      </c>
      <c r="H58" s="9">
        <f>(parametros_carros!$D$35*('Plan mensual'!J24+IF(parametros_carros!$H$35="Todos",'Plan mensual'!J28,0))+parametros_carros!$E$35*('Plan mensual'!J25+IF(parametros_carros!$H$35="Todos",'Plan mensual'!J29,0))+parametros_carros!$F$35*('Plan mensual'!J26+IF(parametros_carros!$H$35="Todos",'Plan mensual'!J30,0))+parametros_carros!$G$35*('Plan mensual'!J27+IF(parametros_carros!$H$35="Todos",'Plan mensual'!J31,0)))/60</f>
        <v>2.16987</v>
      </c>
      <c r="I58" s="9">
        <f>(parametros_carros!$D$35*('Plan mensual'!K24+IF(parametros_carros!$H$35="Todos",'Plan mensual'!K28,0))+parametros_carros!$E$35*('Plan mensual'!K25+IF(parametros_carros!$H$35="Todos",'Plan mensual'!K29,0))+parametros_carros!$F$35*('Plan mensual'!K26+IF(parametros_carros!$H$35="Todos",'Plan mensual'!K30,0))+parametros_carros!$G$35*('Plan mensual'!K27+IF(parametros_carros!$H$35="Todos",'Plan mensual'!K31,0)))/60</f>
        <v>2.16987</v>
      </c>
      <c r="J58" s="9">
        <f>(parametros_carros!$D$35*('Plan mensual'!L24+IF(parametros_carros!$H$35="Todos",'Plan mensual'!L28,0))+parametros_carros!$E$35*('Plan mensual'!L25+IF(parametros_carros!$H$35="Todos",'Plan mensual'!L29,0))+parametros_carros!$F$35*('Plan mensual'!L26+IF(parametros_carros!$H$35="Todos",'Plan mensual'!L30,0))+parametros_carros!$G$35*('Plan mensual'!L27+IF(parametros_carros!$H$35="Todos",'Plan mensual'!L31,0)))/60</f>
        <v>2.049321667</v>
      </c>
      <c r="K58" s="9">
        <f>(parametros_carros!$D$35*('Plan mensual'!M24+IF(parametros_carros!$H$35="Todos",'Plan mensual'!M28,0))+parametros_carros!$E$35*('Plan mensual'!M25+IF(parametros_carros!$H$35="Todos",'Plan mensual'!M29,0))+parametros_carros!$F$35*('Plan mensual'!M26+IF(parametros_carros!$H$35="Todos",'Plan mensual'!M30,0))+parametros_carros!$G$35*('Plan mensual'!M27+IF(parametros_carros!$H$35="Todos",'Plan mensual'!M31,0)))/60</f>
        <v>1.808225</v>
      </c>
      <c r="L58" s="9">
        <f>(parametros_carros!$D$35*('Plan mensual'!N24+IF(parametros_carros!$H$35="Todos",'Plan mensual'!N28,0))+parametros_carros!$E$35*('Plan mensual'!N25+IF(parametros_carros!$H$35="Todos",'Plan mensual'!N29,0))+parametros_carros!$F$35*('Plan mensual'!N26+IF(parametros_carros!$H$35="Todos",'Plan mensual'!N30,0))+parametros_carros!$G$35*('Plan mensual'!N27+IF(parametros_carros!$H$35="Todos",'Plan mensual'!N31,0)))/60</f>
        <v>1.687676667</v>
      </c>
      <c r="M58" s="9">
        <f>(parametros_carros!$D$35*('Plan mensual'!O24+IF(parametros_carros!$H$35="Todos",'Plan mensual'!O28,0))+parametros_carros!$E$35*('Plan mensual'!O25+IF(parametros_carros!$H$35="Todos",'Plan mensual'!O29,0))+parametros_carros!$F$35*('Plan mensual'!O26+IF(parametros_carros!$H$35="Todos",'Plan mensual'!O30,0))+parametros_carros!$G$35*('Plan mensual'!O27+IF(parametros_carros!$H$35="Todos",'Plan mensual'!O31,0)))/60</f>
        <v>1.928773333</v>
      </c>
      <c r="N58" s="9">
        <f t="shared" si="7"/>
        <v>24.10966667</v>
      </c>
      <c r="O58" s="9">
        <f t="shared" si="8"/>
        <v>2.16987</v>
      </c>
      <c r="P58" s="32">
        <f>IF(parametros_carros!$B$7=0,0,(O58+parametros_carros!$G$61)/parametros_carros!$B$7)</f>
        <v>0.3846880222</v>
      </c>
      <c r="Q58" s="21" t="str">
        <f t="shared" si="9"/>
        <v>Mar</v>
      </c>
    </row>
    <row r="59" ht="14.25" customHeight="1">
      <c r="A59" s="2" t="str">
        <f>parametros_carros!$B$36</f>
        <v>Depósito de producto terminado y despacho</v>
      </c>
      <c r="B59" s="9">
        <f>(parametros_carros!$D$36*('Plan mensual'!D24+IF(parametros_carros!$H$36="Todos",'Plan mensual'!D28,0))+parametros_carros!$E$36*('Plan mensual'!D25+IF(parametros_carros!$H$36="Todos",'Plan mensual'!D29,0))+parametros_carros!$F$36*('Plan mensual'!D26+IF(parametros_carros!$H$36="Todos",'Plan mensual'!D30,0))+parametros_carros!$G$36*('Plan mensual'!D27+IF(parametros_carros!$H$36="Todos",'Plan mensual'!D31,0)))/60</f>
        <v>0.6936</v>
      </c>
      <c r="C59" s="9">
        <f>(parametros_carros!$D$36*('Plan mensual'!E24+IF(parametros_carros!$H$36="Todos",'Plan mensual'!E28,0))+parametros_carros!$E$36*('Plan mensual'!E25+IF(parametros_carros!$H$36="Todos",'Plan mensual'!E29,0))+parametros_carros!$F$36*('Plan mensual'!E26+IF(parametros_carros!$H$36="Todos",'Plan mensual'!E30,0))+parametros_carros!$G$36*('Plan mensual'!E27+IF(parametros_carros!$H$36="Todos",'Plan mensual'!E31,0)))/60</f>
        <v>0.612</v>
      </c>
      <c r="D59" s="9">
        <f>(parametros_carros!$D$36*('Plan mensual'!F24+IF(parametros_carros!$H$36="Todos",'Plan mensual'!F28,0))+parametros_carros!$E$36*('Plan mensual'!F25+IF(parametros_carros!$H$36="Todos",'Plan mensual'!F29,0))+parametros_carros!$F$36*('Plan mensual'!F26+IF(parametros_carros!$H$36="Todos",'Plan mensual'!F30,0))+parametros_carros!$G$36*('Plan mensual'!F27+IF(parametros_carros!$H$36="Todos",'Plan mensual'!F31,0)))/60</f>
        <v>0.7344</v>
      </c>
      <c r="E59" s="9">
        <f>(parametros_carros!$D$36*('Plan mensual'!G24+IF(parametros_carros!$H$36="Todos",'Plan mensual'!G28,0))+parametros_carros!$E$36*('Plan mensual'!G25+IF(parametros_carros!$H$36="Todos",'Plan mensual'!G29,0))+parametros_carros!$F$36*('Plan mensual'!G26+IF(parametros_carros!$H$36="Todos",'Plan mensual'!G30,0))+parametros_carros!$G$36*('Plan mensual'!G27+IF(parametros_carros!$H$36="Todos",'Plan mensual'!G31,0)))/60</f>
        <v>0.7344</v>
      </c>
      <c r="F59" s="9">
        <f>(parametros_carros!$D$36*('Plan mensual'!H24+IF(parametros_carros!$H$36="Todos",'Plan mensual'!H28,0))+parametros_carros!$E$36*('Plan mensual'!H25+IF(parametros_carros!$H$36="Todos",'Plan mensual'!H29,0))+parametros_carros!$F$36*('Plan mensual'!H26+IF(parametros_carros!$H$36="Todos",'Plan mensual'!H30,0))+parametros_carros!$G$36*('Plan mensual'!H27+IF(parametros_carros!$H$36="Todos",'Plan mensual'!H31,0)))/60</f>
        <v>0.7344</v>
      </c>
      <c r="G59" s="9">
        <f>(parametros_carros!$D$36*('Plan mensual'!I24+IF(parametros_carros!$H$36="Todos",'Plan mensual'!I28,0))+parametros_carros!$E$36*('Plan mensual'!I25+IF(parametros_carros!$H$36="Todos",'Plan mensual'!I29,0))+parametros_carros!$F$36*('Plan mensual'!I26+IF(parametros_carros!$H$36="Todos",'Plan mensual'!I30,0))+parametros_carros!$G$36*('Plan mensual'!I27+IF(parametros_carros!$H$36="Todos",'Plan mensual'!I31,0)))/60</f>
        <v>0.6528</v>
      </c>
      <c r="H59" s="9">
        <f>(parametros_carros!$D$36*('Plan mensual'!J24+IF(parametros_carros!$H$36="Todos",'Plan mensual'!J28,0))+parametros_carros!$E$36*('Plan mensual'!J25+IF(parametros_carros!$H$36="Todos",'Plan mensual'!J29,0))+parametros_carros!$F$36*('Plan mensual'!J26+IF(parametros_carros!$H$36="Todos",'Plan mensual'!J30,0))+parametros_carros!$G$36*('Plan mensual'!J27+IF(parametros_carros!$H$36="Todos",'Plan mensual'!J31,0)))/60</f>
        <v>0.7344</v>
      </c>
      <c r="I59" s="9">
        <f>(parametros_carros!$D$36*('Plan mensual'!K24+IF(parametros_carros!$H$36="Todos",'Plan mensual'!K28,0))+parametros_carros!$E$36*('Plan mensual'!K25+IF(parametros_carros!$H$36="Todos",'Plan mensual'!K29,0))+parametros_carros!$F$36*('Plan mensual'!K26+IF(parametros_carros!$H$36="Todos",'Plan mensual'!K30,0))+parametros_carros!$G$36*('Plan mensual'!K27+IF(parametros_carros!$H$36="Todos",'Plan mensual'!K31,0)))/60</f>
        <v>0.7344</v>
      </c>
      <c r="J59" s="9">
        <f>(parametros_carros!$D$36*('Plan mensual'!L24+IF(parametros_carros!$H$36="Todos",'Plan mensual'!L28,0))+parametros_carros!$E$36*('Plan mensual'!L25+IF(parametros_carros!$H$36="Todos",'Plan mensual'!L29,0))+parametros_carros!$F$36*('Plan mensual'!L26+IF(parametros_carros!$H$36="Todos",'Plan mensual'!L30,0))+parametros_carros!$G$36*('Plan mensual'!L27+IF(parametros_carros!$H$36="Todos",'Plan mensual'!L31,0)))/60</f>
        <v>0.6936</v>
      </c>
      <c r="K59" s="9">
        <f>(parametros_carros!$D$36*('Plan mensual'!M24+IF(parametros_carros!$H$36="Todos",'Plan mensual'!M28,0))+parametros_carros!$E$36*('Plan mensual'!M25+IF(parametros_carros!$H$36="Todos",'Plan mensual'!M29,0))+parametros_carros!$F$36*('Plan mensual'!M26+IF(parametros_carros!$H$36="Todos",'Plan mensual'!M30,0))+parametros_carros!$G$36*('Plan mensual'!M27+IF(parametros_carros!$H$36="Todos",'Plan mensual'!M31,0)))/60</f>
        <v>0.612</v>
      </c>
      <c r="L59" s="9">
        <f>(parametros_carros!$D$36*('Plan mensual'!N24+IF(parametros_carros!$H$36="Todos",'Plan mensual'!N28,0))+parametros_carros!$E$36*('Plan mensual'!N25+IF(parametros_carros!$H$36="Todos",'Plan mensual'!N29,0))+parametros_carros!$F$36*('Plan mensual'!N26+IF(parametros_carros!$H$36="Todos",'Plan mensual'!N30,0))+parametros_carros!$G$36*('Plan mensual'!N27+IF(parametros_carros!$H$36="Todos",'Plan mensual'!N31,0)))/60</f>
        <v>0.5712</v>
      </c>
      <c r="M59" s="9">
        <f>(parametros_carros!$D$36*('Plan mensual'!O24+IF(parametros_carros!$H$36="Todos",'Plan mensual'!O28,0))+parametros_carros!$E$36*('Plan mensual'!O25+IF(parametros_carros!$H$36="Todos",'Plan mensual'!O29,0))+parametros_carros!$F$36*('Plan mensual'!O26+IF(parametros_carros!$H$36="Todos",'Plan mensual'!O30,0))+parametros_carros!$G$36*('Plan mensual'!O27+IF(parametros_carros!$H$36="Todos",'Plan mensual'!O31,0)))/60</f>
        <v>0.6528</v>
      </c>
      <c r="N59" s="9">
        <f t="shared" si="7"/>
        <v>8.16</v>
      </c>
      <c r="O59" s="9">
        <f t="shared" si="8"/>
        <v>0.7344</v>
      </c>
      <c r="P59" s="32">
        <f>IF(parametros_carros!$B$7=0,0,(O59+parametros_carros!$G$62)/parametros_carros!$B$7)</f>
        <v>0.02711822222</v>
      </c>
      <c r="Q59" s="21" t="str">
        <f t="shared" si="9"/>
        <v>Mar</v>
      </c>
    </row>
    <row r="60" ht="14.25" customHeight="1"/>
    <row r="61" ht="45.0" customHeight="1">
      <c r="A61" s="1" t="s">
        <v>455</v>
      </c>
      <c r="B61" s="1" t="s">
        <v>8</v>
      </c>
      <c r="C61" s="1" t="s">
        <v>9</v>
      </c>
      <c r="D61" s="1" t="s">
        <v>11</v>
      </c>
      <c r="E61" s="1" t="s">
        <v>13</v>
      </c>
      <c r="F61" s="1" t="s">
        <v>14</v>
      </c>
      <c r="G61" s="1" t="s">
        <v>15</v>
      </c>
      <c r="H61" s="1" t="s">
        <v>16</v>
      </c>
      <c r="I61" s="1" t="s">
        <v>18</v>
      </c>
      <c r="J61" s="1" t="s">
        <v>19</v>
      </c>
      <c r="K61" s="1" t="s">
        <v>20</v>
      </c>
      <c r="L61" s="1" t="s">
        <v>21</v>
      </c>
      <c r="M61" s="1" t="s">
        <v>22</v>
      </c>
      <c r="N61" s="1" t="s">
        <v>32</v>
      </c>
      <c r="O61" s="1" t="s">
        <v>33</v>
      </c>
      <c r="P61" s="1" t="s">
        <v>34</v>
      </c>
      <c r="Q61" s="1" t="s">
        <v>36</v>
      </c>
    </row>
    <row r="62" ht="14.25" customHeight="1">
      <c r="A62" s="2" t="str">
        <f>parametros_carros!$B$19</f>
        <v>Recepción de materia prima</v>
      </c>
      <c r="B62" s="9">
        <f>(parametros_carros!$D$19*('Plan mensual'!D35+IF(parametros_carros!$H$19="Todos",'Plan mensual'!D39,0))+parametros_carros!$E$19*('Plan mensual'!D36+IF(parametros_carros!$H$19="Todos",'Plan mensual'!D40,0))+parametros_carros!$F$19*('Plan mensual'!D37+IF(parametros_carros!$H$19="Todos",'Plan mensual'!D41,0))+parametros_carros!$G$19*('Plan mensual'!D38+IF(parametros_carros!$H$19="Todos",'Plan mensual'!D42,0)))/60</f>
        <v>1.522700625</v>
      </c>
      <c r="C62" s="9">
        <f>(parametros_carros!$D$19*('Plan mensual'!E35+IF(parametros_carros!$H$19="Todos",'Plan mensual'!E39,0))+parametros_carros!$E$19*('Plan mensual'!E36+IF(parametros_carros!$H$19="Todos",'Plan mensual'!E40,0))+parametros_carros!$F$19*('Plan mensual'!E37+IF(parametros_carros!$H$19="Todos",'Plan mensual'!E41,0))+parametros_carros!$G$19*('Plan mensual'!E38+IF(parametros_carros!$H$19="Todos",'Plan mensual'!E42,0)))/60</f>
        <v>1.343559375</v>
      </c>
      <c r="D62" s="9">
        <f>(parametros_carros!$D$19*('Plan mensual'!F35+IF(parametros_carros!$H$19="Todos",'Plan mensual'!F39,0))+parametros_carros!$E$19*('Plan mensual'!F36+IF(parametros_carros!$H$19="Todos",'Plan mensual'!F40,0))+parametros_carros!$F$19*('Plan mensual'!F37+IF(parametros_carros!$H$19="Todos",'Plan mensual'!F41,0))+parametros_carros!$G$19*('Plan mensual'!F38+IF(parametros_carros!$H$19="Todos",'Plan mensual'!F42,0)))/60</f>
        <v>1.61227125</v>
      </c>
      <c r="E62" s="9">
        <f>(parametros_carros!$D$19*('Plan mensual'!G35+IF(parametros_carros!$H$19="Todos",'Plan mensual'!G39,0))+parametros_carros!$E$19*('Plan mensual'!G36+IF(parametros_carros!$H$19="Todos",'Plan mensual'!G40,0))+parametros_carros!$F$19*('Plan mensual'!G37+IF(parametros_carros!$H$19="Todos",'Plan mensual'!G41,0))+parametros_carros!$G$19*('Plan mensual'!G38+IF(parametros_carros!$H$19="Todos",'Plan mensual'!G42,0)))/60</f>
        <v>1.61227125</v>
      </c>
      <c r="F62" s="9">
        <f>(parametros_carros!$D$19*('Plan mensual'!H35+IF(parametros_carros!$H$19="Todos",'Plan mensual'!H39,0))+parametros_carros!$E$19*('Plan mensual'!H36+IF(parametros_carros!$H$19="Todos",'Plan mensual'!H40,0))+parametros_carros!$F$19*('Plan mensual'!H37+IF(parametros_carros!$H$19="Todos",'Plan mensual'!H41,0))+parametros_carros!$G$19*('Plan mensual'!H38+IF(parametros_carros!$H$19="Todos",'Plan mensual'!H42,0)))/60</f>
        <v>1.61227125</v>
      </c>
      <c r="G62" s="9">
        <f>(parametros_carros!$D$19*('Plan mensual'!I35+IF(parametros_carros!$H$19="Todos",'Plan mensual'!I39,0))+parametros_carros!$E$19*('Plan mensual'!I36+IF(parametros_carros!$H$19="Todos",'Plan mensual'!I40,0))+parametros_carros!$F$19*('Plan mensual'!I37+IF(parametros_carros!$H$19="Todos",'Plan mensual'!I41,0))+parametros_carros!$G$19*('Plan mensual'!I38+IF(parametros_carros!$H$19="Todos",'Plan mensual'!I42,0)))/60</f>
        <v>1.43313</v>
      </c>
      <c r="H62" s="9">
        <f>(parametros_carros!$D$19*('Plan mensual'!J35+IF(parametros_carros!$H$19="Todos",'Plan mensual'!J39,0))+parametros_carros!$E$19*('Plan mensual'!J36+IF(parametros_carros!$H$19="Todos",'Plan mensual'!J40,0))+parametros_carros!$F$19*('Plan mensual'!J37+IF(parametros_carros!$H$19="Todos",'Plan mensual'!J41,0))+parametros_carros!$G$19*('Plan mensual'!J38+IF(parametros_carros!$H$19="Todos",'Plan mensual'!J42,0)))/60</f>
        <v>1.61227125</v>
      </c>
      <c r="I62" s="9">
        <f>(parametros_carros!$D$19*('Plan mensual'!K35+IF(parametros_carros!$H$19="Todos",'Plan mensual'!K39,0))+parametros_carros!$E$19*('Plan mensual'!K36+IF(parametros_carros!$H$19="Todos",'Plan mensual'!K40,0))+parametros_carros!$F$19*('Plan mensual'!K37+IF(parametros_carros!$H$19="Todos",'Plan mensual'!K41,0))+parametros_carros!$G$19*('Plan mensual'!K38+IF(parametros_carros!$H$19="Todos",'Plan mensual'!K42,0)))/60</f>
        <v>1.61227125</v>
      </c>
      <c r="J62" s="9">
        <f>(parametros_carros!$D$19*('Plan mensual'!L35+IF(parametros_carros!$H$19="Todos",'Plan mensual'!L39,0))+parametros_carros!$E$19*('Plan mensual'!L36+IF(parametros_carros!$H$19="Todos",'Plan mensual'!L40,0))+parametros_carros!$F$19*('Plan mensual'!L37+IF(parametros_carros!$H$19="Todos",'Plan mensual'!L41,0))+parametros_carros!$G$19*('Plan mensual'!L38+IF(parametros_carros!$H$19="Todos",'Plan mensual'!L42,0)))/60</f>
        <v>1.522700625</v>
      </c>
      <c r="K62" s="9">
        <f>(parametros_carros!$D$19*('Plan mensual'!M35+IF(parametros_carros!$H$19="Todos",'Plan mensual'!M39,0))+parametros_carros!$E$19*('Plan mensual'!M36+IF(parametros_carros!$H$19="Todos",'Plan mensual'!M40,0))+parametros_carros!$F$19*('Plan mensual'!M37+IF(parametros_carros!$H$19="Todos",'Plan mensual'!M41,0))+parametros_carros!$G$19*('Plan mensual'!M38+IF(parametros_carros!$H$19="Todos",'Plan mensual'!M42,0)))/60</f>
        <v>1.343559375</v>
      </c>
      <c r="L62" s="9">
        <f>(parametros_carros!$D$19*('Plan mensual'!N35+IF(parametros_carros!$H$19="Todos",'Plan mensual'!N39,0))+parametros_carros!$E$19*('Plan mensual'!N36+IF(parametros_carros!$H$19="Todos",'Plan mensual'!N40,0))+parametros_carros!$F$19*('Plan mensual'!N37+IF(parametros_carros!$H$19="Todos",'Plan mensual'!N41,0))+parametros_carros!$G$19*('Plan mensual'!N38+IF(parametros_carros!$H$19="Todos",'Plan mensual'!N42,0)))/60</f>
        <v>1.25398875</v>
      </c>
      <c r="M62" s="9">
        <f>(parametros_carros!$D$19*('Plan mensual'!O35+IF(parametros_carros!$H$19="Todos",'Plan mensual'!O39,0))+parametros_carros!$E$19*('Plan mensual'!O36+IF(parametros_carros!$H$19="Todos",'Plan mensual'!O40,0))+parametros_carros!$F$19*('Plan mensual'!O37+IF(parametros_carros!$H$19="Todos",'Plan mensual'!O41,0))+parametros_carros!$G$19*('Plan mensual'!O38+IF(parametros_carros!$H$19="Todos",'Plan mensual'!O42,0)))/60</f>
        <v>1.43313</v>
      </c>
      <c r="N62" s="9">
        <f t="shared" ref="N62:N79" si="10">SUM(B62:M62)</f>
        <v>17.914125</v>
      </c>
      <c r="O62" s="9">
        <f t="shared" ref="O62:O79" si="11">MAX(B62:M62)</f>
        <v>1.61227125</v>
      </c>
      <c r="P62" s="32">
        <f>IF(parametros_carros!$B$7=0,0,(O62+parametros_carros!$G$45)/parametros_carros!$B$7)</f>
        <v>0.05885958611</v>
      </c>
      <c r="Q62" s="21" t="str">
        <f t="shared" ref="Q62:Q79" si="12">IF(O62=0,"-",INDEX($B$61:$M$61,MATCH(O62,B62:M62,0)))</f>
        <v>Mar</v>
      </c>
    </row>
    <row r="63" ht="14.25" customHeight="1">
      <c r="A63" s="2" t="str">
        <f>parametros_carros!$B$20</f>
        <v>Corte de chapa (guillotina)</v>
      </c>
      <c r="B63" s="9">
        <f>(parametros_carros!$D$20*('Plan mensual'!D35+IF(parametros_carros!$H$20="Todos",'Plan mensual'!D39,0))+parametros_carros!$E$20*('Plan mensual'!D36+IF(parametros_carros!$H$20="Todos",'Plan mensual'!D40,0))+parametros_carros!$F$20*('Plan mensual'!D37+IF(parametros_carros!$H$20="Todos",'Plan mensual'!D41,0))+parametros_carros!$G$20*('Plan mensual'!D38+IF(parametros_carros!$H$20="Todos",'Plan mensual'!D42,0)))/60</f>
        <v>3.349732458</v>
      </c>
      <c r="C63" s="9">
        <f>(parametros_carros!$D$20*('Plan mensual'!E35+IF(parametros_carros!$H$20="Todos",'Plan mensual'!E39,0))+parametros_carros!$E$20*('Plan mensual'!E36+IF(parametros_carros!$H$20="Todos",'Plan mensual'!E40,0))+parametros_carros!$F$20*('Plan mensual'!E37+IF(parametros_carros!$H$20="Todos",'Plan mensual'!E41,0))+parametros_carros!$G$20*('Plan mensual'!E38+IF(parametros_carros!$H$20="Todos",'Plan mensual'!E42,0)))/60</f>
        <v>2.955646286</v>
      </c>
      <c r="D63" s="9">
        <f>(parametros_carros!$D$20*('Plan mensual'!F35+IF(parametros_carros!$H$20="Todos",'Plan mensual'!F39,0))+parametros_carros!$E$20*('Plan mensual'!F36+IF(parametros_carros!$H$20="Todos",'Plan mensual'!F40,0))+parametros_carros!$F$20*('Plan mensual'!F37+IF(parametros_carros!$H$20="Todos",'Plan mensual'!F41,0))+parametros_carros!$G$20*('Plan mensual'!F38+IF(parametros_carros!$H$20="Todos",'Plan mensual'!F42,0)))/60</f>
        <v>3.546775543</v>
      </c>
      <c r="E63" s="9">
        <f>(parametros_carros!$D$20*('Plan mensual'!G35+IF(parametros_carros!$H$20="Todos",'Plan mensual'!G39,0))+parametros_carros!$E$20*('Plan mensual'!G36+IF(parametros_carros!$H$20="Todos",'Plan mensual'!G40,0))+parametros_carros!$F$20*('Plan mensual'!G37+IF(parametros_carros!$H$20="Todos",'Plan mensual'!G41,0))+parametros_carros!$G$20*('Plan mensual'!G38+IF(parametros_carros!$H$20="Todos",'Plan mensual'!G42,0)))/60</f>
        <v>3.546775543</v>
      </c>
      <c r="F63" s="9">
        <f>(parametros_carros!$D$20*('Plan mensual'!H35+IF(parametros_carros!$H$20="Todos",'Plan mensual'!H39,0))+parametros_carros!$E$20*('Plan mensual'!H36+IF(parametros_carros!$H$20="Todos",'Plan mensual'!H40,0))+parametros_carros!$F$20*('Plan mensual'!H37+IF(parametros_carros!$H$20="Todos",'Plan mensual'!H41,0))+parametros_carros!$G$20*('Plan mensual'!H38+IF(parametros_carros!$H$20="Todos",'Plan mensual'!H42,0)))/60</f>
        <v>3.546775543</v>
      </c>
      <c r="G63" s="9">
        <f>(parametros_carros!$D$20*('Plan mensual'!I35+IF(parametros_carros!$H$20="Todos",'Plan mensual'!I39,0))+parametros_carros!$E$20*('Plan mensual'!I36+IF(parametros_carros!$H$20="Todos",'Plan mensual'!I40,0))+parametros_carros!$F$20*('Plan mensual'!I37+IF(parametros_carros!$H$20="Todos",'Plan mensual'!I41,0))+parametros_carros!$G$20*('Plan mensual'!I38+IF(parametros_carros!$H$20="Todos",'Plan mensual'!I42,0)))/60</f>
        <v>3.152689372</v>
      </c>
      <c r="H63" s="9">
        <f>(parametros_carros!$D$20*('Plan mensual'!J35+IF(parametros_carros!$H$20="Todos",'Plan mensual'!J39,0))+parametros_carros!$E$20*('Plan mensual'!J36+IF(parametros_carros!$H$20="Todos",'Plan mensual'!J40,0))+parametros_carros!$F$20*('Plan mensual'!J37+IF(parametros_carros!$H$20="Todos",'Plan mensual'!J41,0))+parametros_carros!$G$20*('Plan mensual'!J38+IF(parametros_carros!$H$20="Todos",'Plan mensual'!J42,0)))/60</f>
        <v>3.546775543</v>
      </c>
      <c r="I63" s="9">
        <f>(parametros_carros!$D$20*('Plan mensual'!K35+IF(parametros_carros!$H$20="Todos",'Plan mensual'!K39,0))+parametros_carros!$E$20*('Plan mensual'!K36+IF(parametros_carros!$H$20="Todos",'Plan mensual'!K40,0))+parametros_carros!$F$20*('Plan mensual'!K37+IF(parametros_carros!$H$20="Todos",'Plan mensual'!K41,0))+parametros_carros!$G$20*('Plan mensual'!K38+IF(parametros_carros!$H$20="Todos",'Plan mensual'!K42,0)))/60</f>
        <v>3.546775543</v>
      </c>
      <c r="J63" s="9">
        <f>(parametros_carros!$D$20*('Plan mensual'!L35+IF(parametros_carros!$H$20="Todos",'Plan mensual'!L39,0))+parametros_carros!$E$20*('Plan mensual'!L36+IF(parametros_carros!$H$20="Todos",'Plan mensual'!L40,0))+parametros_carros!$F$20*('Plan mensual'!L37+IF(parametros_carros!$H$20="Todos",'Plan mensual'!L41,0))+parametros_carros!$G$20*('Plan mensual'!L38+IF(parametros_carros!$H$20="Todos",'Plan mensual'!L42,0)))/60</f>
        <v>3.349732458</v>
      </c>
      <c r="K63" s="9">
        <f>(parametros_carros!$D$20*('Plan mensual'!M35+IF(parametros_carros!$H$20="Todos",'Plan mensual'!M39,0))+parametros_carros!$E$20*('Plan mensual'!M36+IF(parametros_carros!$H$20="Todos",'Plan mensual'!M40,0))+parametros_carros!$F$20*('Plan mensual'!M37+IF(parametros_carros!$H$20="Todos",'Plan mensual'!M41,0))+parametros_carros!$G$20*('Plan mensual'!M38+IF(parametros_carros!$H$20="Todos",'Plan mensual'!M42,0)))/60</f>
        <v>2.955646286</v>
      </c>
      <c r="L63" s="9">
        <f>(parametros_carros!$D$20*('Plan mensual'!N35+IF(parametros_carros!$H$20="Todos",'Plan mensual'!N39,0))+parametros_carros!$E$20*('Plan mensual'!N36+IF(parametros_carros!$H$20="Todos",'Plan mensual'!N40,0))+parametros_carros!$F$20*('Plan mensual'!N37+IF(parametros_carros!$H$20="Todos",'Plan mensual'!N41,0))+parametros_carros!$G$20*('Plan mensual'!N38+IF(parametros_carros!$H$20="Todos",'Plan mensual'!N42,0)))/60</f>
        <v>2.7586032</v>
      </c>
      <c r="M63" s="9">
        <f>(parametros_carros!$D$20*('Plan mensual'!O35+IF(parametros_carros!$H$20="Todos",'Plan mensual'!O39,0))+parametros_carros!$E$20*('Plan mensual'!O36+IF(parametros_carros!$H$20="Todos",'Plan mensual'!O40,0))+parametros_carros!$F$20*('Plan mensual'!O37+IF(parametros_carros!$H$20="Todos",'Plan mensual'!O41,0))+parametros_carros!$G$20*('Plan mensual'!O38+IF(parametros_carros!$H$20="Todos",'Plan mensual'!O42,0)))/60</f>
        <v>3.152689372</v>
      </c>
      <c r="N63" s="9">
        <f t="shared" si="10"/>
        <v>39.40861715</v>
      </c>
      <c r="O63" s="9">
        <f t="shared" si="11"/>
        <v>3.546775543</v>
      </c>
      <c r="P63" s="32">
        <f>IF(parametros_carros!$B$7=0,0,(O63+parametros_carros!$G$46)/parametros_carros!$B$7)</f>
        <v>0.08586739251</v>
      </c>
      <c r="Q63" s="21" t="str">
        <f t="shared" si="12"/>
        <v>Mar</v>
      </c>
    </row>
    <row r="64" ht="14.25" customHeight="1">
      <c r="A64" s="2" t="str">
        <f>parametros_carros!$B$21</f>
        <v>Marcado del cuerpo</v>
      </c>
      <c r="B64" s="9">
        <f>(parametros_carros!$D$21*('Plan mensual'!D35+IF(parametros_carros!$H$21="Todos",'Plan mensual'!D39,0))+parametros_carros!$E$21*('Plan mensual'!D36+IF(parametros_carros!$H$21="Todos",'Plan mensual'!D40,0))+parametros_carros!$F$21*('Plan mensual'!D37+IF(parametros_carros!$H$21="Todos",'Plan mensual'!D41,0))+parametros_carros!$G$21*('Plan mensual'!D38+IF(parametros_carros!$H$21="Todos",'Plan mensual'!D42,0)))/60</f>
        <v>1.3328</v>
      </c>
      <c r="C64" s="9">
        <f>(parametros_carros!$D$21*('Plan mensual'!E35+IF(parametros_carros!$H$21="Todos",'Plan mensual'!E39,0))+parametros_carros!$E$21*('Plan mensual'!E36+IF(parametros_carros!$H$21="Todos",'Plan mensual'!E40,0))+parametros_carros!$F$21*('Plan mensual'!E37+IF(parametros_carros!$H$21="Todos",'Plan mensual'!E41,0))+parametros_carros!$G$21*('Plan mensual'!E38+IF(parametros_carros!$H$21="Todos",'Plan mensual'!E42,0)))/60</f>
        <v>1.176</v>
      </c>
      <c r="D64" s="9">
        <f>(parametros_carros!$D$21*('Plan mensual'!F35+IF(parametros_carros!$H$21="Todos",'Plan mensual'!F39,0))+parametros_carros!$E$21*('Plan mensual'!F36+IF(parametros_carros!$H$21="Todos",'Plan mensual'!F40,0))+parametros_carros!$F$21*('Plan mensual'!F37+IF(parametros_carros!$H$21="Todos",'Plan mensual'!F41,0))+parametros_carros!$G$21*('Plan mensual'!F38+IF(parametros_carros!$H$21="Todos",'Plan mensual'!F42,0)))/60</f>
        <v>1.4112</v>
      </c>
      <c r="E64" s="9">
        <f>(parametros_carros!$D$21*('Plan mensual'!G35+IF(parametros_carros!$H$21="Todos",'Plan mensual'!G39,0))+parametros_carros!$E$21*('Plan mensual'!G36+IF(parametros_carros!$H$21="Todos",'Plan mensual'!G40,0))+parametros_carros!$F$21*('Plan mensual'!G37+IF(parametros_carros!$H$21="Todos",'Plan mensual'!G41,0))+parametros_carros!$G$21*('Plan mensual'!G38+IF(parametros_carros!$H$21="Todos",'Plan mensual'!G42,0)))/60</f>
        <v>1.4112</v>
      </c>
      <c r="F64" s="9">
        <f>(parametros_carros!$D$21*('Plan mensual'!H35+IF(parametros_carros!$H$21="Todos",'Plan mensual'!H39,0))+parametros_carros!$E$21*('Plan mensual'!H36+IF(parametros_carros!$H$21="Todos",'Plan mensual'!H40,0))+parametros_carros!$F$21*('Plan mensual'!H37+IF(parametros_carros!$H$21="Todos",'Plan mensual'!H41,0))+parametros_carros!$G$21*('Plan mensual'!H38+IF(parametros_carros!$H$21="Todos",'Plan mensual'!H42,0)))/60</f>
        <v>1.4112</v>
      </c>
      <c r="G64" s="9">
        <f>(parametros_carros!$D$21*('Plan mensual'!I35+IF(parametros_carros!$H$21="Todos",'Plan mensual'!I39,0))+parametros_carros!$E$21*('Plan mensual'!I36+IF(parametros_carros!$H$21="Todos",'Plan mensual'!I40,0))+parametros_carros!$F$21*('Plan mensual'!I37+IF(parametros_carros!$H$21="Todos",'Plan mensual'!I41,0))+parametros_carros!$G$21*('Plan mensual'!I38+IF(parametros_carros!$H$21="Todos",'Plan mensual'!I42,0)))/60</f>
        <v>1.2544</v>
      </c>
      <c r="H64" s="9">
        <f>(parametros_carros!$D$21*('Plan mensual'!J35+IF(parametros_carros!$H$21="Todos",'Plan mensual'!J39,0))+parametros_carros!$E$21*('Plan mensual'!J36+IF(parametros_carros!$H$21="Todos",'Plan mensual'!J40,0))+parametros_carros!$F$21*('Plan mensual'!J37+IF(parametros_carros!$H$21="Todos",'Plan mensual'!J41,0))+parametros_carros!$G$21*('Plan mensual'!J38+IF(parametros_carros!$H$21="Todos",'Plan mensual'!J42,0)))/60</f>
        <v>1.4112</v>
      </c>
      <c r="I64" s="9">
        <f>(parametros_carros!$D$21*('Plan mensual'!K35+IF(parametros_carros!$H$21="Todos",'Plan mensual'!K39,0))+parametros_carros!$E$21*('Plan mensual'!K36+IF(parametros_carros!$H$21="Todos",'Plan mensual'!K40,0))+parametros_carros!$F$21*('Plan mensual'!K37+IF(parametros_carros!$H$21="Todos",'Plan mensual'!K41,0))+parametros_carros!$G$21*('Plan mensual'!K38+IF(parametros_carros!$H$21="Todos",'Plan mensual'!K42,0)))/60</f>
        <v>1.4112</v>
      </c>
      <c r="J64" s="9">
        <f>(parametros_carros!$D$21*('Plan mensual'!L35+IF(parametros_carros!$H$21="Todos",'Plan mensual'!L39,0))+parametros_carros!$E$21*('Plan mensual'!L36+IF(parametros_carros!$H$21="Todos",'Plan mensual'!L40,0))+parametros_carros!$F$21*('Plan mensual'!L37+IF(parametros_carros!$H$21="Todos",'Plan mensual'!L41,0))+parametros_carros!$G$21*('Plan mensual'!L38+IF(parametros_carros!$H$21="Todos",'Plan mensual'!L42,0)))/60</f>
        <v>1.3328</v>
      </c>
      <c r="K64" s="9">
        <f>(parametros_carros!$D$21*('Plan mensual'!M35+IF(parametros_carros!$H$21="Todos",'Plan mensual'!M39,0))+parametros_carros!$E$21*('Plan mensual'!M36+IF(parametros_carros!$H$21="Todos",'Plan mensual'!M40,0))+parametros_carros!$F$21*('Plan mensual'!M37+IF(parametros_carros!$H$21="Todos",'Plan mensual'!M41,0))+parametros_carros!$G$21*('Plan mensual'!M38+IF(parametros_carros!$H$21="Todos",'Plan mensual'!M42,0)))/60</f>
        <v>1.176</v>
      </c>
      <c r="L64" s="9">
        <f>(parametros_carros!$D$21*('Plan mensual'!N35+IF(parametros_carros!$H$21="Todos",'Plan mensual'!N39,0))+parametros_carros!$E$21*('Plan mensual'!N36+IF(parametros_carros!$H$21="Todos",'Plan mensual'!N40,0))+parametros_carros!$F$21*('Plan mensual'!N37+IF(parametros_carros!$H$21="Todos",'Plan mensual'!N41,0))+parametros_carros!$G$21*('Plan mensual'!N38+IF(parametros_carros!$H$21="Todos",'Plan mensual'!N42,0)))/60</f>
        <v>1.0976</v>
      </c>
      <c r="M64" s="9">
        <f>(parametros_carros!$D$21*('Plan mensual'!O35+IF(parametros_carros!$H$21="Todos",'Plan mensual'!O39,0))+parametros_carros!$E$21*('Plan mensual'!O36+IF(parametros_carros!$H$21="Todos",'Plan mensual'!O40,0))+parametros_carros!$F$21*('Plan mensual'!O37+IF(parametros_carros!$H$21="Todos",'Plan mensual'!O41,0))+parametros_carros!$G$21*('Plan mensual'!O38+IF(parametros_carros!$H$21="Todos",'Plan mensual'!O42,0)))/60</f>
        <v>1.2544</v>
      </c>
      <c r="N64" s="9">
        <f t="shared" si="10"/>
        <v>15.68</v>
      </c>
      <c r="O64" s="9">
        <f t="shared" si="11"/>
        <v>1.4112</v>
      </c>
      <c r="P64" s="32">
        <f>IF(parametros_carros!$B$7=0,0,(O64+parametros_carros!$G$47)/parametros_carros!$B$7)</f>
        <v>0.02163022222</v>
      </c>
      <c r="Q64" s="21" t="str">
        <f t="shared" si="12"/>
        <v>Mar</v>
      </c>
    </row>
    <row r="65" ht="14.25" customHeight="1">
      <c r="A65" s="2" t="str">
        <f>parametros_carros!$B$22</f>
        <v>Cilindrado</v>
      </c>
      <c r="B65" s="9">
        <f>(parametros_carros!$D$22*('Plan mensual'!D35+IF(parametros_carros!$H$22="Todos",'Plan mensual'!D39,0))+parametros_carros!$E$22*('Plan mensual'!D36+IF(parametros_carros!$H$22="Todos",'Plan mensual'!D40,0))+parametros_carros!$F$22*('Plan mensual'!D37+IF(parametros_carros!$H$22="Todos",'Plan mensual'!D41,0))+parametros_carros!$G$22*('Plan mensual'!D38+IF(parametros_carros!$H$22="Todos",'Plan mensual'!D42,0)))/60</f>
        <v>2.854386232</v>
      </c>
      <c r="C65" s="9">
        <f>(parametros_carros!$D$22*('Plan mensual'!E35+IF(parametros_carros!$H$22="Todos",'Plan mensual'!E39,0))+parametros_carros!$E$22*('Plan mensual'!E36+IF(parametros_carros!$H$22="Todos",'Plan mensual'!E40,0))+parametros_carros!$F$22*('Plan mensual'!E37+IF(parametros_carros!$H$22="Todos",'Plan mensual'!E41,0))+parametros_carros!$G$22*('Plan mensual'!E38+IF(parametros_carros!$H$22="Todos",'Plan mensual'!E42,0)))/60</f>
        <v>2.518576087</v>
      </c>
      <c r="D65" s="9">
        <f>(parametros_carros!$D$22*('Plan mensual'!F35+IF(parametros_carros!$H$22="Todos",'Plan mensual'!F39,0))+parametros_carros!$E$22*('Plan mensual'!F36+IF(parametros_carros!$H$22="Todos",'Plan mensual'!F40,0))+parametros_carros!$F$22*('Plan mensual'!F37+IF(parametros_carros!$H$22="Todos",'Plan mensual'!F41,0))+parametros_carros!$G$22*('Plan mensual'!F38+IF(parametros_carros!$H$22="Todos",'Plan mensual'!F42,0)))/60</f>
        <v>3.022291304</v>
      </c>
      <c r="E65" s="9">
        <f>(parametros_carros!$D$22*('Plan mensual'!G35+IF(parametros_carros!$H$22="Todos",'Plan mensual'!G39,0))+parametros_carros!$E$22*('Plan mensual'!G36+IF(parametros_carros!$H$22="Todos",'Plan mensual'!G40,0))+parametros_carros!$F$22*('Plan mensual'!G37+IF(parametros_carros!$H$22="Todos",'Plan mensual'!G41,0))+parametros_carros!$G$22*('Plan mensual'!G38+IF(parametros_carros!$H$22="Todos",'Plan mensual'!G42,0)))/60</f>
        <v>3.022291304</v>
      </c>
      <c r="F65" s="9">
        <f>(parametros_carros!$D$22*('Plan mensual'!H35+IF(parametros_carros!$H$22="Todos",'Plan mensual'!H39,0))+parametros_carros!$E$22*('Plan mensual'!H36+IF(parametros_carros!$H$22="Todos",'Plan mensual'!H40,0))+parametros_carros!$F$22*('Plan mensual'!H37+IF(parametros_carros!$H$22="Todos",'Plan mensual'!H41,0))+parametros_carros!$G$22*('Plan mensual'!H38+IF(parametros_carros!$H$22="Todos",'Plan mensual'!H42,0)))/60</f>
        <v>3.022291304</v>
      </c>
      <c r="G65" s="9">
        <f>(parametros_carros!$D$22*('Plan mensual'!I35+IF(parametros_carros!$H$22="Todos",'Plan mensual'!I39,0))+parametros_carros!$E$22*('Plan mensual'!I36+IF(parametros_carros!$H$22="Todos",'Plan mensual'!I40,0))+parametros_carros!$F$22*('Plan mensual'!I37+IF(parametros_carros!$H$22="Todos",'Plan mensual'!I41,0))+parametros_carros!$G$22*('Plan mensual'!I38+IF(parametros_carros!$H$22="Todos",'Plan mensual'!I42,0)))/60</f>
        <v>2.686481159</v>
      </c>
      <c r="H65" s="9">
        <f>(parametros_carros!$D$22*('Plan mensual'!J35+IF(parametros_carros!$H$22="Todos",'Plan mensual'!J39,0))+parametros_carros!$E$22*('Plan mensual'!J36+IF(parametros_carros!$H$22="Todos",'Plan mensual'!J40,0))+parametros_carros!$F$22*('Plan mensual'!J37+IF(parametros_carros!$H$22="Todos",'Plan mensual'!J41,0))+parametros_carros!$G$22*('Plan mensual'!J38+IF(parametros_carros!$H$22="Todos",'Plan mensual'!J42,0)))/60</f>
        <v>3.022291304</v>
      </c>
      <c r="I65" s="9">
        <f>(parametros_carros!$D$22*('Plan mensual'!K35+IF(parametros_carros!$H$22="Todos",'Plan mensual'!K39,0))+parametros_carros!$E$22*('Plan mensual'!K36+IF(parametros_carros!$H$22="Todos",'Plan mensual'!K40,0))+parametros_carros!$F$22*('Plan mensual'!K37+IF(parametros_carros!$H$22="Todos",'Plan mensual'!K41,0))+parametros_carros!$G$22*('Plan mensual'!K38+IF(parametros_carros!$H$22="Todos",'Plan mensual'!K42,0)))/60</f>
        <v>3.022291304</v>
      </c>
      <c r="J65" s="9">
        <f>(parametros_carros!$D$22*('Plan mensual'!L35+IF(parametros_carros!$H$22="Todos",'Plan mensual'!L39,0))+parametros_carros!$E$22*('Plan mensual'!L36+IF(parametros_carros!$H$22="Todos",'Plan mensual'!L40,0))+parametros_carros!$F$22*('Plan mensual'!L37+IF(parametros_carros!$H$22="Todos",'Plan mensual'!L41,0))+parametros_carros!$G$22*('Plan mensual'!L38+IF(parametros_carros!$H$22="Todos",'Plan mensual'!L42,0)))/60</f>
        <v>2.854386232</v>
      </c>
      <c r="K65" s="9">
        <f>(parametros_carros!$D$22*('Plan mensual'!M35+IF(parametros_carros!$H$22="Todos",'Plan mensual'!M39,0))+parametros_carros!$E$22*('Plan mensual'!M36+IF(parametros_carros!$H$22="Todos",'Plan mensual'!M40,0))+parametros_carros!$F$22*('Plan mensual'!M37+IF(parametros_carros!$H$22="Todos",'Plan mensual'!M41,0))+parametros_carros!$G$22*('Plan mensual'!M38+IF(parametros_carros!$H$22="Todos",'Plan mensual'!M42,0)))/60</f>
        <v>2.518576087</v>
      </c>
      <c r="L65" s="9">
        <f>(parametros_carros!$D$22*('Plan mensual'!N35+IF(parametros_carros!$H$22="Todos",'Plan mensual'!N39,0))+parametros_carros!$E$22*('Plan mensual'!N36+IF(parametros_carros!$H$22="Todos",'Plan mensual'!N40,0))+parametros_carros!$F$22*('Plan mensual'!N37+IF(parametros_carros!$H$22="Todos",'Plan mensual'!N41,0))+parametros_carros!$G$22*('Plan mensual'!N38+IF(parametros_carros!$H$22="Todos",'Plan mensual'!N42,0)))/60</f>
        <v>2.350671014</v>
      </c>
      <c r="M65" s="9">
        <f>(parametros_carros!$D$22*('Plan mensual'!O35+IF(parametros_carros!$H$22="Todos",'Plan mensual'!O39,0))+parametros_carros!$E$22*('Plan mensual'!O36+IF(parametros_carros!$H$22="Todos",'Plan mensual'!O40,0))+parametros_carros!$F$22*('Plan mensual'!O37+IF(parametros_carros!$H$22="Todos",'Plan mensual'!O41,0))+parametros_carros!$G$22*('Plan mensual'!O38+IF(parametros_carros!$H$22="Todos",'Plan mensual'!O42,0)))/60</f>
        <v>2.686481159</v>
      </c>
      <c r="N65" s="9">
        <f t="shared" si="10"/>
        <v>33.58101449</v>
      </c>
      <c r="O65" s="9">
        <f t="shared" si="11"/>
        <v>3.022291304</v>
      </c>
      <c r="P65" s="32">
        <f>IF(parametros_carros!$B$7=0,0,(O65+parametros_carros!$G$48)/parametros_carros!$B$7)</f>
        <v>0.0601486087</v>
      </c>
      <c r="Q65" s="21" t="str">
        <f t="shared" si="12"/>
        <v>Mar</v>
      </c>
    </row>
    <row r="66" ht="14.25" customHeight="1">
      <c r="A66" s="2" t="str">
        <f>parametros_carros!$B$23</f>
        <v>Punteo del cuerpo</v>
      </c>
      <c r="B66" s="9">
        <f>(parametros_carros!$D$23*('Plan mensual'!D35+IF(parametros_carros!$H$23="Todos",'Plan mensual'!D39,0))+parametros_carros!$E$23*('Plan mensual'!D36+IF(parametros_carros!$H$23="Todos",'Plan mensual'!D40,0))+parametros_carros!$F$23*('Plan mensual'!D37+IF(parametros_carros!$H$23="Todos",'Plan mensual'!D41,0))+parametros_carros!$G$23*('Plan mensual'!D38+IF(parametros_carros!$H$23="Todos",'Plan mensual'!D42,0)))/60</f>
        <v>4.233652899</v>
      </c>
      <c r="C66" s="9">
        <f>(parametros_carros!$D$23*('Plan mensual'!E35+IF(parametros_carros!$H$23="Todos",'Plan mensual'!E39,0))+parametros_carros!$E$23*('Plan mensual'!E36+IF(parametros_carros!$H$23="Todos",'Plan mensual'!E40,0))+parametros_carros!$F$23*('Plan mensual'!E37+IF(parametros_carros!$H$23="Todos",'Plan mensual'!E41,0))+parametros_carros!$G$23*('Plan mensual'!E38+IF(parametros_carros!$H$23="Todos",'Plan mensual'!E42,0)))/60</f>
        <v>3.735576087</v>
      </c>
      <c r="D66" s="9">
        <f>(parametros_carros!$D$23*('Plan mensual'!F35+IF(parametros_carros!$H$23="Todos",'Plan mensual'!F39,0))+parametros_carros!$E$23*('Plan mensual'!F36+IF(parametros_carros!$H$23="Todos",'Plan mensual'!F40,0))+parametros_carros!$F$23*('Plan mensual'!F37+IF(parametros_carros!$H$23="Todos",'Plan mensual'!F41,0))+parametros_carros!$G$23*('Plan mensual'!F38+IF(parametros_carros!$H$23="Todos",'Plan mensual'!F42,0)))/60</f>
        <v>4.482691304</v>
      </c>
      <c r="E66" s="9">
        <f>(parametros_carros!$D$23*('Plan mensual'!G35+IF(parametros_carros!$H$23="Todos",'Plan mensual'!G39,0))+parametros_carros!$E$23*('Plan mensual'!G36+IF(parametros_carros!$H$23="Todos",'Plan mensual'!G40,0))+parametros_carros!$F$23*('Plan mensual'!G37+IF(parametros_carros!$H$23="Todos",'Plan mensual'!G41,0))+parametros_carros!$G$23*('Plan mensual'!G38+IF(parametros_carros!$H$23="Todos",'Plan mensual'!G42,0)))/60</f>
        <v>4.482691304</v>
      </c>
      <c r="F66" s="9">
        <f>(parametros_carros!$D$23*('Plan mensual'!H35+IF(parametros_carros!$H$23="Todos",'Plan mensual'!H39,0))+parametros_carros!$E$23*('Plan mensual'!H36+IF(parametros_carros!$H$23="Todos",'Plan mensual'!H40,0))+parametros_carros!$F$23*('Plan mensual'!H37+IF(parametros_carros!$H$23="Todos",'Plan mensual'!H41,0))+parametros_carros!$G$23*('Plan mensual'!H38+IF(parametros_carros!$H$23="Todos",'Plan mensual'!H42,0)))/60</f>
        <v>4.482691304</v>
      </c>
      <c r="G66" s="9">
        <f>(parametros_carros!$D$23*('Plan mensual'!I35+IF(parametros_carros!$H$23="Todos",'Plan mensual'!I39,0))+parametros_carros!$E$23*('Plan mensual'!I36+IF(parametros_carros!$H$23="Todos",'Plan mensual'!I40,0))+parametros_carros!$F$23*('Plan mensual'!I37+IF(parametros_carros!$H$23="Todos",'Plan mensual'!I41,0))+parametros_carros!$G$23*('Plan mensual'!I38+IF(parametros_carros!$H$23="Todos",'Plan mensual'!I42,0)))/60</f>
        <v>3.984614493</v>
      </c>
      <c r="H66" s="9">
        <f>(parametros_carros!$D$23*('Plan mensual'!J35+IF(parametros_carros!$H$23="Todos",'Plan mensual'!J39,0))+parametros_carros!$E$23*('Plan mensual'!J36+IF(parametros_carros!$H$23="Todos",'Plan mensual'!J40,0))+parametros_carros!$F$23*('Plan mensual'!J37+IF(parametros_carros!$H$23="Todos",'Plan mensual'!J41,0))+parametros_carros!$G$23*('Plan mensual'!J38+IF(parametros_carros!$H$23="Todos",'Plan mensual'!J42,0)))/60</f>
        <v>4.482691304</v>
      </c>
      <c r="I66" s="9">
        <f>(parametros_carros!$D$23*('Plan mensual'!K35+IF(parametros_carros!$H$23="Todos",'Plan mensual'!K39,0))+parametros_carros!$E$23*('Plan mensual'!K36+IF(parametros_carros!$H$23="Todos",'Plan mensual'!K40,0))+parametros_carros!$F$23*('Plan mensual'!K37+IF(parametros_carros!$H$23="Todos",'Plan mensual'!K41,0))+parametros_carros!$G$23*('Plan mensual'!K38+IF(parametros_carros!$H$23="Todos",'Plan mensual'!K42,0)))/60</f>
        <v>4.482691304</v>
      </c>
      <c r="J66" s="9">
        <f>(parametros_carros!$D$23*('Plan mensual'!L35+IF(parametros_carros!$H$23="Todos",'Plan mensual'!L39,0))+parametros_carros!$E$23*('Plan mensual'!L36+IF(parametros_carros!$H$23="Todos",'Plan mensual'!L40,0))+parametros_carros!$F$23*('Plan mensual'!L37+IF(parametros_carros!$H$23="Todos",'Plan mensual'!L41,0))+parametros_carros!$G$23*('Plan mensual'!L38+IF(parametros_carros!$H$23="Todos",'Plan mensual'!L42,0)))/60</f>
        <v>4.233652899</v>
      </c>
      <c r="K66" s="9">
        <f>(parametros_carros!$D$23*('Plan mensual'!M35+IF(parametros_carros!$H$23="Todos",'Plan mensual'!M39,0))+parametros_carros!$E$23*('Plan mensual'!M36+IF(parametros_carros!$H$23="Todos",'Plan mensual'!M40,0))+parametros_carros!$F$23*('Plan mensual'!M37+IF(parametros_carros!$H$23="Todos",'Plan mensual'!M41,0))+parametros_carros!$G$23*('Plan mensual'!M38+IF(parametros_carros!$H$23="Todos",'Plan mensual'!M42,0)))/60</f>
        <v>3.735576087</v>
      </c>
      <c r="L66" s="9">
        <f>(parametros_carros!$D$23*('Plan mensual'!N35+IF(parametros_carros!$H$23="Todos",'Plan mensual'!N39,0))+parametros_carros!$E$23*('Plan mensual'!N36+IF(parametros_carros!$H$23="Todos",'Plan mensual'!N40,0))+parametros_carros!$F$23*('Plan mensual'!N37+IF(parametros_carros!$H$23="Todos",'Plan mensual'!N41,0))+parametros_carros!$G$23*('Plan mensual'!N38+IF(parametros_carros!$H$23="Todos",'Plan mensual'!N42,0)))/60</f>
        <v>3.486537681</v>
      </c>
      <c r="M66" s="9">
        <f>(parametros_carros!$D$23*('Plan mensual'!O35+IF(parametros_carros!$H$23="Todos",'Plan mensual'!O39,0))+parametros_carros!$E$23*('Plan mensual'!O36+IF(parametros_carros!$H$23="Todos",'Plan mensual'!O40,0))+parametros_carros!$F$23*('Plan mensual'!O37+IF(parametros_carros!$H$23="Todos",'Plan mensual'!O41,0))+parametros_carros!$G$23*('Plan mensual'!O38+IF(parametros_carros!$H$23="Todos",'Plan mensual'!O42,0)))/60</f>
        <v>3.984614493</v>
      </c>
      <c r="N66" s="9">
        <f t="shared" si="10"/>
        <v>49.80768116</v>
      </c>
      <c r="O66" s="9">
        <f t="shared" si="11"/>
        <v>4.482691304</v>
      </c>
      <c r="P66" s="32">
        <f>IF(parametros_carros!$B$7=0,0,(O66+parametros_carros!$G$49)/parametros_carros!$B$7)</f>
        <v>0.04099571981</v>
      </c>
      <c r="Q66" s="21" t="str">
        <f t="shared" si="12"/>
        <v>Mar</v>
      </c>
    </row>
    <row r="67" ht="14.25" customHeight="1">
      <c r="A67" s="2" t="str">
        <f>parametros_carros!$B$24</f>
        <v>Soldadura longitudinal</v>
      </c>
      <c r="B67" s="9">
        <f>(parametros_carros!$D$24*('Plan mensual'!D35+IF(parametros_carros!$H$24="Todos",'Plan mensual'!D39,0))+parametros_carros!$E$24*('Plan mensual'!D36+IF(parametros_carros!$H$24="Todos",'Plan mensual'!D40,0))+parametros_carros!$F$24*('Plan mensual'!D37+IF(parametros_carros!$H$24="Todos",'Plan mensual'!D41,0))+parametros_carros!$G$24*('Plan mensual'!D38+IF(parametros_carros!$H$24="Todos",'Plan mensual'!D42,0)))/60</f>
        <v>2.906716667</v>
      </c>
      <c r="C67" s="9">
        <f>(parametros_carros!$D$24*('Plan mensual'!E35+IF(parametros_carros!$H$24="Todos",'Plan mensual'!E39,0))+parametros_carros!$E$24*('Plan mensual'!E36+IF(parametros_carros!$H$24="Todos",'Plan mensual'!E40,0))+parametros_carros!$F$24*('Plan mensual'!E37+IF(parametros_carros!$H$24="Todos",'Plan mensual'!E41,0))+parametros_carros!$G$24*('Plan mensual'!E38+IF(parametros_carros!$H$24="Todos",'Plan mensual'!E42,0)))/60</f>
        <v>2.56475</v>
      </c>
      <c r="D67" s="9">
        <f>(parametros_carros!$D$24*('Plan mensual'!F35+IF(parametros_carros!$H$24="Todos",'Plan mensual'!F39,0))+parametros_carros!$E$24*('Plan mensual'!F36+IF(parametros_carros!$H$24="Todos",'Plan mensual'!F40,0))+parametros_carros!$F$24*('Plan mensual'!F37+IF(parametros_carros!$H$24="Todos",'Plan mensual'!F41,0))+parametros_carros!$G$24*('Plan mensual'!F38+IF(parametros_carros!$H$24="Todos",'Plan mensual'!F42,0)))/60</f>
        <v>3.0777</v>
      </c>
      <c r="E67" s="9">
        <f>(parametros_carros!$D$24*('Plan mensual'!G35+IF(parametros_carros!$H$24="Todos",'Plan mensual'!G39,0))+parametros_carros!$E$24*('Plan mensual'!G36+IF(parametros_carros!$H$24="Todos",'Plan mensual'!G40,0))+parametros_carros!$F$24*('Plan mensual'!G37+IF(parametros_carros!$H$24="Todos",'Plan mensual'!G41,0))+parametros_carros!$G$24*('Plan mensual'!G38+IF(parametros_carros!$H$24="Todos",'Plan mensual'!G42,0)))/60</f>
        <v>3.0777</v>
      </c>
      <c r="F67" s="9">
        <f>(parametros_carros!$D$24*('Plan mensual'!H35+IF(parametros_carros!$H$24="Todos",'Plan mensual'!H39,0))+parametros_carros!$E$24*('Plan mensual'!H36+IF(parametros_carros!$H$24="Todos",'Plan mensual'!H40,0))+parametros_carros!$F$24*('Plan mensual'!H37+IF(parametros_carros!$H$24="Todos",'Plan mensual'!H41,0))+parametros_carros!$G$24*('Plan mensual'!H38+IF(parametros_carros!$H$24="Todos",'Plan mensual'!H42,0)))/60</f>
        <v>3.0777</v>
      </c>
      <c r="G67" s="9">
        <f>(parametros_carros!$D$24*('Plan mensual'!I35+IF(parametros_carros!$H$24="Todos",'Plan mensual'!I39,0))+parametros_carros!$E$24*('Plan mensual'!I36+IF(parametros_carros!$H$24="Todos",'Plan mensual'!I40,0))+parametros_carros!$F$24*('Plan mensual'!I37+IF(parametros_carros!$H$24="Todos",'Plan mensual'!I41,0))+parametros_carros!$G$24*('Plan mensual'!I38+IF(parametros_carros!$H$24="Todos",'Plan mensual'!I42,0)))/60</f>
        <v>2.735733333</v>
      </c>
      <c r="H67" s="9">
        <f>(parametros_carros!$D$24*('Plan mensual'!J35+IF(parametros_carros!$H$24="Todos",'Plan mensual'!J39,0))+parametros_carros!$E$24*('Plan mensual'!J36+IF(parametros_carros!$H$24="Todos",'Plan mensual'!J40,0))+parametros_carros!$F$24*('Plan mensual'!J37+IF(parametros_carros!$H$24="Todos",'Plan mensual'!J41,0))+parametros_carros!$G$24*('Plan mensual'!J38+IF(parametros_carros!$H$24="Todos",'Plan mensual'!J42,0)))/60</f>
        <v>3.0777</v>
      </c>
      <c r="I67" s="9">
        <f>(parametros_carros!$D$24*('Plan mensual'!K35+IF(parametros_carros!$H$24="Todos",'Plan mensual'!K39,0))+parametros_carros!$E$24*('Plan mensual'!K36+IF(parametros_carros!$H$24="Todos",'Plan mensual'!K40,0))+parametros_carros!$F$24*('Plan mensual'!K37+IF(parametros_carros!$H$24="Todos",'Plan mensual'!K41,0))+parametros_carros!$G$24*('Plan mensual'!K38+IF(parametros_carros!$H$24="Todos",'Plan mensual'!K42,0)))/60</f>
        <v>3.0777</v>
      </c>
      <c r="J67" s="9">
        <f>(parametros_carros!$D$24*('Plan mensual'!L35+IF(parametros_carros!$H$24="Todos",'Plan mensual'!L39,0))+parametros_carros!$E$24*('Plan mensual'!L36+IF(parametros_carros!$H$24="Todos",'Plan mensual'!L40,0))+parametros_carros!$F$24*('Plan mensual'!L37+IF(parametros_carros!$H$24="Todos",'Plan mensual'!L41,0))+parametros_carros!$G$24*('Plan mensual'!L38+IF(parametros_carros!$H$24="Todos",'Plan mensual'!L42,0)))/60</f>
        <v>2.906716667</v>
      </c>
      <c r="K67" s="9">
        <f>(parametros_carros!$D$24*('Plan mensual'!M35+IF(parametros_carros!$H$24="Todos",'Plan mensual'!M39,0))+parametros_carros!$E$24*('Plan mensual'!M36+IF(parametros_carros!$H$24="Todos",'Plan mensual'!M40,0))+parametros_carros!$F$24*('Plan mensual'!M37+IF(parametros_carros!$H$24="Todos",'Plan mensual'!M41,0))+parametros_carros!$G$24*('Plan mensual'!M38+IF(parametros_carros!$H$24="Todos",'Plan mensual'!M42,0)))/60</f>
        <v>2.56475</v>
      </c>
      <c r="L67" s="9">
        <f>(parametros_carros!$D$24*('Plan mensual'!N35+IF(parametros_carros!$H$24="Todos",'Plan mensual'!N39,0))+parametros_carros!$E$24*('Plan mensual'!N36+IF(parametros_carros!$H$24="Todos",'Plan mensual'!N40,0))+parametros_carros!$F$24*('Plan mensual'!N37+IF(parametros_carros!$H$24="Todos",'Plan mensual'!N41,0))+parametros_carros!$G$24*('Plan mensual'!N38+IF(parametros_carros!$H$24="Todos",'Plan mensual'!N42,0)))/60</f>
        <v>2.393766667</v>
      </c>
      <c r="M67" s="9">
        <f>(parametros_carros!$D$24*('Plan mensual'!O35+IF(parametros_carros!$H$24="Todos",'Plan mensual'!O39,0))+parametros_carros!$E$24*('Plan mensual'!O36+IF(parametros_carros!$H$24="Todos",'Plan mensual'!O40,0))+parametros_carros!$F$24*('Plan mensual'!O37+IF(parametros_carros!$H$24="Todos",'Plan mensual'!O41,0))+parametros_carros!$G$24*('Plan mensual'!O38+IF(parametros_carros!$H$24="Todos",'Plan mensual'!O42,0)))/60</f>
        <v>2.735733333</v>
      </c>
      <c r="N67" s="9">
        <f t="shared" si="10"/>
        <v>34.19666667</v>
      </c>
      <c r="O67" s="9">
        <f t="shared" si="11"/>
        <v>3.0777</v>
      </c>
      <c r="P67" s="32">
        <f>IF(parametros_carros!$B$7=0,0,(O67+parametros_carros!$G$50)/parametros_carros!$B$7)</f>
        <v>0.03829577778</v>
      </c>
      <c r="Q67" s="21" t="str">
        <f t="shared" si="12"/>
        <v>Mar</v>
      </c>
    </row>
    <row r="68" ht="14.25" customHeight="1">
      <c r="A68" s="2" t="str">
        <f>parametros_carros!$B$25</f>
        <v>Soldadura de cupla en la cúpula</v>
      </c>
      <c r="B68" s="9">
        <f>(parametros_carros!$D$25*('Plan mensual'!D35+IF(parametros_carros!$H$25="Todos",'Plan mensual'!D39,0))+parametros_carros!$E$25*('Plan mensual'!D36+IF(parametros_carros!$H$25="Todos",'Plan mensual'!D40,0))+parametros_carros!$F$25*('Plan mensual'!D37+IF(parametros_carros!$H$25="Todos",'Plan mensual'!D41,0))+parametros_carros!$G$25*('Plan mensual'!D38+IF(parametros_carros!$H$25="Todos",'Plan mensual'!D42,0)))/60</f>
        <v>2.870733333</v>
      </c>
      <c r="C68" s="9">
        <f>(parametros_carros!$D$25*('Plan mensual'!E35+IF(parametros_carros!$H$25="Todos",'Plan mensual'!E39,0))+parametros_carros!$E$25*('Plan mensual'!E36+IF(parametros_carros!$H$25="Todos",'Plan mensual'!E40,0))+parametros_carros!$F$25*('Plan mensual'!E37+IF(parametros_carros!$H$25="Todos",'Plan mensual'!E41,0))+parametros_carros!$G$25*('Plan mensual'!E38+IF(parametros_carros!$H$25="Todos",'Plan mensual'!E42,0)))/60</f>
        <v>2.533</v>
      </c>
      <c r="D68" s="9">
        <f>(parametros_carros!$D$25*('Plan mensual'!F35+IF(parametros_carros!$H$25="Todos",'Plan mensual'!F39,0))+parametros_carros!$E$25*('Plan mensual'!F36+IF(parametros_carros!$H$25="Todos",'Plan mensual'!F40,0))+parametros_carros!$F$25*('Plan mensual'!F37+IF(parametros_carros!$H$25="Todos",'Plan mensual'!F41,0))+parametros_carros!$G$25*('Plan mensual'!F38+IF(parametros_carros!$H$25="Todos",'Plan mensual'!F42,0)))/60</f>
        <v>3.0396</v>
      </c>
      <c r="E68" s="9">
        <f>(parametros_carros!$D$25*('Plan mensual'!G35+IF(parametros_carros!$H$25="Todos",'Plan mensual'!G39,0))+parametros_carros!$E$25*('Plan mensual'!G36+IF(parametros_carros!$H$25="Todos",'Plan mensual'!G40,0))+parametros_carros!$F$25*('Plan mensual'!G37+IF(parametros_carros!$H$25="Todos",'Plan mensual'!G41,0))+parametros_carros!$G$25*('Plan mensual'!G38+IF(parametros_carros!$H$25="Todos",'Plan mensual'!G42,0)))/60</f>
        <v>3.0396</v>
      </c>
      <c r="F68" s="9">
        <f>(parametros_carros!$D$25*('Plan mensual'!H35+IF(parametros_carros!$H$25="Todos",'Plan mensual'!H39,0))+parametros_carros!$E$25*('Plan mensual'!H36+IF(parametros_carros!$H$25="Todos",'Plan mensual'!H40,0))+parametros_carros!$F$25*('Plan mensual'!H37+IF(parametros_carros!$H$25="Todos",'Plan mensual'!H41,0))+parametros_carros!$G$25*('Plan mensual'!H38+IF(parametros_carros!$H$25="Todos",'Plan mensual'!H42,0)))/60</f>
        <v>3.0396</v>
      </c>
      <c r="G68" s="9">
        <f>(parametros_carros!$D$25*('Plan mensual'!I35+IF(parametros_carros!$H$25="Todos",'Plan mensual'!I39,0))+parametros_carros!$E$25*('Plan mensual'!I36+IF(parametros_carros!$H$25="Todos",'Plan mensual'!I40,0))+parametros_carros!$F$25*('Plan mensual'!I37+IF(parametros_carros!$H$25="Todos",'Plan mensual'!I41,0))+parametros_carros!$G$25*('Plan mensual'!I38+IF(parametros_carros!$H$25="Todos",'Plan mensual'!I42,0)))/60</f>
        <v>2.701866667</v>
      </c>
      <c r="H68" s="9">
        <f>(parametros_carros!$D$25*('Plan mensual'!J35+IF(parametros_carros!$H$25="Todos",'Plan mensual'!J39,0))+parametros_carros!$E$25*('Plan mensual'!J36+IF(parametros_carros!$H$25="Todos",'Plan mensual'!J40,0))+parametros_carros!$F$25*('Plan mensual'!J37+IF(parametros_carros!$H$25="Todos",'Plan mensual'!J41,0))+parametros_carros!$G$25*('Plan mensual'!J38+IF(parametros_carros!$H$25="Todos",'Plan mensual'!J42,0)))/60</f>
        <v>3.0396</v>
      </c>
      <c r="I68" s="9">
        <f>(parametros_carros!$D$25*('Plan mensual'!K35+IF(parametros_carros!$H$25="Todos",'Plan mensual'!K39,0))+parametros_carros!$E$25*('Plan mensual'!K36+IF(parametros_carros!$H$25="Todos",'Plan mensual'!K40,0))+parametros_carros!$F$25*('Plan mensual'!K37+IF(parametros_carros!$H$25="Todos",'Plan mensual'!K41,0))+parametros_carros!$G$25*('Plan mensual'!K38+IF(parametros_carros!$H$25="Todos",'Plan mensual'!K42,0)))/60</f>
        <v>3.0396</v>
      </c>
      <c r="J68" s="9">
        <f>(parametros_carros!$D$25*('Plan mensual'!L35+IF(parametros_carros!$H$25="Todos",'Plan mensual'!L39,0))+parametros_carros!$E$25*('Plan mensual'!L36+IF(parametros_carros!$H$25="Todos",'Plan mensual'!L40,0))+parametros_carros!$F$25*('Plan mensual'!L37+IF(parametros_carros!$H$25="Todos",'Plan mensual'!L41,0))+parametros_carros!$G$25*('Plan mensual'!L38+IF(parametros_carros!$H$25="Todos",'Plan mensual'!L42,0)))/60</f>
        <v>2.870733333</v>
      </c>
      <c r="K68" s="9">
        <f>(parametros_carros!$D$25*('Plan mensual'!M35+IF(parametros_carros!$H$25="Todos",'Plan mensual'!M39,0))+parametros_carros!$E$25*('Plan mensual'!M36+IF(parametros_carros!$H$25="Todos",'Plan mensual'!M40,0))+parametros_carros!$F$25*('Plan mensual'!M37+IF(parametros_carros!$H$25="Todos",'Plan mensual'!M41,0))+parametros_carros!$G$25*('Plan mensual'!M38+IF(parametros_carros!$H$25="Todos",'Plan mensual'!M42,0)))/60</f>
        <v>2.533</v>
      </c>
      <c r="L68" s="9">
        <f>(parametros_carros!$D$25*('Plan mensual'!N35+IF(parametros_carros!$H$25="Todos",'Plan mensual'!N39,0))+parametros_carros!$E$25*('Plan mensual'!N36+IF(parametros_carros!$H$25="Todos",'Plan mensual'!N40,0))+parametros_carros!$F$25*('Plan mensual'!N37+IF(parametros_carros!$H$25="Todos",'Plan mensual'!N41,0))+parametros_carros!$G$25*('Plan mensual'!N38+IF(parametros_carros!$H$25="Todos",'Plan mensual'!N42,0)))/60</f>
        <v>2.364133333</v>
      </c>
      <c r="M68" s="9">
        <f>(parametros_carros!$D$25*('Plan mensual'!O35+IF(parametros_carros!$H$25="Todos",'Plan mensual'!O39,0))+parametros_carros!$E$25*('Plan mensual'!O36+IF(parametros_carros!$H$25="Todos",'Plan mensual'!O40,0))+parametros_carros!$F$25*('Plan mensual'!O37+IF(parametros_carros!$H$25="Todos",'Plan mensual'!O41,0))+parametros_carros!$G$25*('Plan mensual'!O38+IF(parametros_carros!$H$25="Todos",'Plan mensual'!O42,0)))/60</f>
        <v>2.701866667</v>
      </c>
      <c r="N68" s="9">
        <f t="shared" si="10"/>
        <v>33.77333333</v>
      </c>
      <c r="O68" s="9">
        <f t="shared" si="11"/>
        <v>3.0396</v>
      </c>
      <c r="P68" s="32">
        <f>IF(parametros_carros!$B$7=0,0,(O68+parametros_carros!$G$51)/parametros_carros!$B$7)</f>
        <v>0.040264</v>
      </c>
      <c r="Q68" s="21" t="str">
        <f t="shared" si="12"/>
        <v>Mar</v>
      </c>
    </row>
    <row r="69" ht="14.25" customHeight="1">
      <c r="A69" s="2" t="str">
        <f>parametros_carros!$B$26</f>
        <v>Armado y soldadura circunferencial</v>
      </c>
      <c r="B69" s="9">
        <f>(parametros_carros!$D$26*('Plan mensual'!D35+IF(parametros_carros!$H$26="Todos",'Plan mensual'!D39,0))+parametros_carros!$E$26*('Plan mensual'!D36+IF(parametros_carros!$H$26="Todos",'Plan mensual'!D40,0))+parametros_carros!$F$26*('Plan mensual'!D37+IF(parametros_carros!$H$26="Todos",'Plan mensual'!D41,0))+parametros_carros!$G$26*('Plan mensual'!D38+IF(parametros_carros!$H$26="Todos",'Plan mensual'!D42,0)))/60</f>
        <v>13.57705</v>
      </c>
      <c r="C69" s="9">
        <f>(parametros_carros!$D$26*('Plan mensual'!E35+IF(parametros_carros!$H$26="Todos",'Plan mensual'!E39,0))+parametros_carros!$E$26*('Plan mensual'!E36+IF(parametros_carros!$H$26="Todos",'Plan mensual'!E40,0))+parametros_carros!$F$26*('Plan mensual'!E37+IF(parametros_carros!$H$26="Todos",'Plan mensual'!E41,0))+parametros_carros!$G$26*('Plan mensual'!E38+IF(parametros_carros!$H$26="Todos",'Plan mensual'!E42,0)))/60</f>
        <v>11.97975</v>
      </c>
      <c r="D69" s="9">
        <f>(parametros_carros!$D$26*('Plan mensual'!F35+IF(parametros_carros!$H$26="Todos",'Plan mensual'!F39,0))+parametros_carros!$E$26*('Plan mensual'!F36+IF(parametros_carros!$H$26="Todos",'Plan mensual'!F40,0))+parametros_carros!$F$26*('Plan mensual'!F37+IF(parametros_carros!$H$26="Todos",'Plan mensual'!F41,0))+parametros_carros!$G$26*('Plan mensual'!F38+IF(parametros_carros!$H$26="Todos",'Plan mensual'!F42,0)))/60</f>
        <v>14.3757</v>
      </c>
      <c r="E69" s="9">
        <f>(parametros_carros!$D$26*('Plan mensual'!G35+IF(parametros_carros!$H$26="Todos",'Plan mensual'!G39,0))+parametros_carros!$E$26*('Plan mensual'!G36+IF(parametros_carros!$H$26="Todos",'Plan mensual'!G40,0))+parametros_carros!$F$26*('Plan mensual'!G37+IF(parametros_carros!$H$26="Todos",'Plan mensual'!G41,0))+parametros_carros!$G$26*('Plan mensual'!G38+IF(parametros_carros!$H$26="Todos",'Plan mensual'!G42,0)))/60</f>
        <v>14.3757</v>
      </c>
      <c r="F69" s="9">
        <f>(parametros_carros!$D$26*('Plan mensual'!H35+IF(parametros_carros!$H$26="Todos",'Plan mensual'!H39,0))+parametros_carros!$E$26*('Plan mensual'!H36+IF(parametros_carros!$H$26="Todos",'Plan mensual'!H40,0))+parametros_carros!$F$26*('Plan mensual'!H37+IF(parametros_carros!$H$26="Todos",'Plan mensual'!H41,0))+parametros_carros!$G$26*('Plan mensual'!H38+IF(parametros_carros!$H$26="Todos",'Plan mensual'!H42,0)))/60</f>
        <v>14.3757</v>
      </c>
      <c r="G69" s="9">
        <f>(parametros_carros!$D$26*('Plan mensual'!I35+IF(parametros_carros!$H$26="Todos",'Plan mensual'!I39,0))+parametros_carros!$E$26*('Plan mensual'!I36+IF(parametros_carros!$H$26="Todos",'Plan mensual'!I40,0))+parametros_carros!$F$26*('Plan mensual'!I37+IF(parametros_carros!$H$26="Todos",'Plan mensual'!I41,0))+parametros_carros!$G$26*('Plan mensual'!I38+IF(parametros_carros!$H$26="Todos",'Plan mensual'!I42,0)))/60</f>
        <v>12.7784</v>
      </c>
      <c r="H69" s="9">
        <f>(parametros_carros!$D$26*('Plan mensual'!J35+IF(parametros_carros!$H$26="Todos",'Plan mensual'!J39,0))+parametros_carros!$E$26*('Plan mensual'!J36+IF(parametros_carros!$H$26="Todos",'Plan mensual'!J40,0))+parametros_carros!$F$26*('Plan mensual'!J37+IF(parametros_carros!$H$26="Todos",'Plan mensual'!J41,0))+parametros_carros!$G$26*('Plan mensual'!J38+IF(parametros_carros!$H$26="Todos",'Plan mensual'!J42,0)))/60</f>
        <v>14.3757</v>
      </c>
      <c r="I69" s="9">
        <f>(parametros_carros!$D$26*('Plan mensual'!K35+IF(parametros_carros!$H$26="Todos",'Plan mensual'!K39,0))+parametros_carros!$E$26*('Plan mensual'!K36+IF(parametros_carros!$H$26="Todos",'Plan mensual'!K40,0))+parametros_carros!$F$26*('Plan mensual'!K37+IF(parametros_carros!$H$26="Todos",'Plan mensual'!K41,0))+parametros_carros!$G$26*('Plan mensual'!K38+IF(parametros_carros!$H$26="Todos",'Plan mensual'!K42,0)))/60</f>
        <v>14.3757</v>
      </c>
      <c r="J69" s="9">
        <f>(parametros_carros!$D$26*('Plan mensual'!L35+IF(parametros_carros!$H$26="Todos",'Plan mensual'!L39,0))+parametros_carros!$E$26*('Plan mensual'!L36+IF(parametros_carros!$H$26="Todos",'Plan mensual'!L40,0))+parametros_carros!$F$26*('Plan mensual'!L37+IF(parametros_carros!$H$26="Todos",'Plan mensual'!L41,0))+parametros_carros!$G$26*('Plan mensual'!L38+IF(parametros_carros!$H$26="Todos",'Plan mensual'!L42,0)))/60</f>
        <v>13.57705</v>
      </c>
      <c r="K69" s="9">
        <f>(parametros_carros!$D$26*('Plan mensual'!M35+IF(parametros_carros!$H$26="Todos",'Plan mensual'!M39,0))+parametros_carros!$E$26*('Plan mensual'!M36+IF(parametros_carros!$H$26="Todos",'Plan mensual'!M40,0))+parametros_carros!$F$26*('Plan mensual'!M37+IF(parametros_carros!$H$26="Todos",'Plan mensual'!M41,0))+parametros_carros!$G$26*('Plan mensual'!M38+IF(parametros_carros!$H$26="Todos",'Plan mensual'!M42,0)))/60</f>
        <v>11.97975</v>
      </c>
      <c r="L69" s="9">
        <f>(parametros_carros!$D$26*('Plan mensual'!N35+IF(parametros_carros!$H$26="Todos",'Plan mensual'!N39,0))+parametros_carros!$E$26*('Plan mensual'!N36+IF(parametros_carros!$H$26="Todos",'Plan mensual'!N40,0))+parametros_carros!$F$26*('Plan mensual'!N37+IF(parametros_carros!$H$26="Todos",'Plan mensual'!N41,0))+parametros_carros!$G$26*('Plan mensual'!N38+IF(parametros_carros!$H$26="Todos",'Plan mensual'!N42,0)))/60</f>
        <v>11.1811</v>
      </c>
      <c r="M69" s="9">
        <f>(parametros_carros!$D$26*('Plan mensual'!O35+IF(parametros_carros!$H$26="Todos",'Plan mensual'!O39,0))+parametros_carros!$E$26*('Plan mensual'!O36+IF(parametros_carros!$H$26="Todos",'Plan mensual'!O40,0))+parametros_carros!$F$26*('Plan mensual'!O37+IF(parametros_carros!$H$26="Todos",'Plan mensual'!O41,0))+parametros_carros!$G$26*('Plan mensual'!O38+IF(parametros_carros!$H$26="Todos",'Plan mensual'!O42,0)))/60</f>
        <v>12.7784</v>
      </c>
      <c r="N69" s="9">
        <f t="shared" si="10"/>
        <v>159.73</v>
      </c>
      <c r="O69" s="9">
        <f t="shared" si="11"/>
        <v>14.3757</v>
      </c>
      <c r="P69" s="32">
        <f>IF(parametros_carros!$B$7=0,0,(O69+parametros_carros!$G$52)/parametros_carros!$B$7)</f>
        <v>0.115838</v>
      </c>
      <c r="Q69" s="21" t="str">
        <f t="shared" si="12"/>
        <v>Mar</v>
      </c>
    </row>
    <row r="70" ht="14.25" customHeight="1">
      <c r="A70" s="2" t="str">
        <f>parametros_carros!$B$27</f>
        <v>Soldadura de accesorios</v>
      </c>
      <c r="B70" s="9">
        <f>(parametros_carros!$D$27*('Plan mensual'!D35+IF(parametros_carros!$H$27="Todos",'Plan mensual'!D39,0))+parametros_carros!$E$27*('Plan mensual'!D36+IF(parametros_carros!$H$27="Todos",'Plan mensual'!D40,0))+parametros_carros!$F$27*('Plan mensual'!D37+IF(parametros_carros!$H$27="Todos",'Plan mensual'!D41,0))+parametros_carros!$G$27*('Plan mensual'!D38+IF(parametros_carros!$H$27="Todos",'Plan mensual'!D42,0)))/60</f>
        <v>13.83148333</v>
      </c>
      <c r="C70" s="9">
        <f>(parametros_carros!$D$27*('Plan mensual'!E35+IF(parametros_carros!$H$27="Todos",'Plan mensual'!E39,0))+parametros_carros!$E$27*('Plan mensual'!E36+IF(parametros_carros!$H$27="Todos",'Plan mensual'!E40,0))+parametros_carros!$F$27*('Plan mensual'!E37+IF(parametros_carros!$H$27="Todos",'Plan mensual'!E41,0))+parametros_carros!$G$27*('Plan mensual'!E38+IF(parametros_carros!$H$27="Todos",'Plan mensual'!E42,0)))/60</f>
        <v>12.20425</v>
      </c>
      <c r="D70" s="9">
        <f>(parametros_carros!$D$27*('Plan mensual'!F35+IF(parametros_carros!$H$27="Todos",'Plan mensual'!F39,0))+parametros_carros!$E$27*('Plan mensual'!F36+IF(parametros_carros!$H$27="Todos",'Plan mensual'!F40,0))+parametros_carros!$F$27*('Plan mensual'!F37+IF(parametros_carros!$H$27="Todos",'Plan mensual'!F41,0))+parametros_carros!$G$27*('Plan mensual'!F38+IF(parametros_carros!$H$27="Todos",'Plan mensual'!F42,0)))/60</f>
        <v>14.6451</v>
      </c>
      <c r="E70" s="9">
        <f>(parametros_carros!$D$27*('Plan mensual'!G35+IF(parametros_carros!$H$27="Todos",'Plan mensual'!G39,0))+parametros_carros!$E$27*('Plan mensual'!G36+IF(parametros_carros!$H$27="Todos",'Plan mensual'!G40,0))+parametros_carros!$F$27*('Plan mensual'!G37+IF(parametros_carros!$H$27="Todos",'Plan mensual'!G41,0))+parametros_carros!$G$27*('Plan mensual'!G38+IF(parametros_carros!$H$27="Todos",'Plan mensual'!G42,0)))/60</f>
        <v>14.6451</v>
      </c>
      <c r="F70" s="9">
        <f>(parametros_carros!$D$27*('Plan mensual'!H35+IF(parametros_carros!$H$27="Todos",'Plan mensual'!H39,0))+parametros_carros!$E$27*('Plan mensual'!H36+IF(parametros_carros!$H$27="Todos",'Plan mensual'!H40,0))+parametros_carros!$F$27*('Plan mensual'!H37+IF(parametros_carros!$H$27="Todos",'Plan mensual'!H41,0))+parametros_carros!$G$27*('Plan mensual'!H38+IF(parametros_carros!$H$27="Todos",'Plan mensual'!H42,0)))/60</f>
        <v>14.6451</v>
      </c>
      <c r="G70" s="9">
        <f>(parametros_carros!$D$27*('Plan mensual'!I35+IF(parametros_carros!$H$27="Todos",'Plan mensual'!I39,0))+parametros_carros!$E$27*('Plan mensual'!I36+IF(parametros_carros!$H$27="Todos",'Plan mensual'!I40,0))+parametros_carros!$F$27*('Plan mensual'!I37+IF(parametros_carros!$H$27="Todos",'Plan mensual'!I41,0))+parametros_carros!$G$27*('Plan mensual'!I38+IF(parametros_carros!$H$27="Todos",'Plan mensual'!I42,0)))/60</f>
        <v>13.01786667</v>
      </c>
      <c r="H70" s="9">
        <f>(parametros_carros!$D$27*('Plan mensual'!J35+IF(parametros_carros!$H$27="Todos",'Plan mensual'!J39,0))+parametros_carros!$E$27*('Plan mensual'!J36+IF(parametros_carros!$H$27="Todos",'Plan mensual'!J40,0))+parametros_carros!$F$27*('Plan mensual'!J37+IF(parametros_carros!$H$27="Todos",'Plan mensual'!J41,0))+parametros_carros!$G$27*('Plan mensual'!J38+IF(parametros_carros!$H$27="Todos",'Plan mensual'!J42,0)))/60</f>
        <v>14.6451</v>
      </c>
      <c r="I70" s="9">
        <f>(parametros_carros!$D$27*('Plan mensual'!K35+IF(parametros_carros!$H$27="Todos",'Plan mensual'!K39,0))+parametros_carros!$E$27*('Plan mensual'!K36+IF(parametros_carros!$H$27="Todos",'Plan mensual'!K40,0))+parametros_carros!$F$27*('Plan mensual'!K37+IF(parametros_carros!$H$27="Todos",'Plan mensual'!K41,0))+parametros_carros!$G$27*('Plan mensual'!K38+IF(parametros_carros!$H$27="Todos",'Plan mensual'!K42,0)))/60</f>
        <v>14.6451</v>
      </c>
      <c r="J70" s="9">
        <f>(parametros_carros!$D$27*('Plan mensual'!L35+IF(parametros_carros!$H$27="Todos",'Plan mensual'!L39,0))+parametros_carros!$E$27*('Plan mensual'!L36+IF(parametros_carros!$H$27="Todos",'Plan mensual'!L40,0))+parametros_carros!$F$27*('Plan mensual'!L37+IF(parametros_carros!$H$27="Todos",'Plan mensual'!L41,0))+parametros_carros!$G$27*('Plan mensual'!L38+IF(parametros_carros!$H$27="Todos",'Plan mensual'!L42,0)))/60</f>
        <v>13.83148333</v>
      </c>
      <c r="K70" s="9">
        <f>(parametros_carros!$D$27*('Plan mensual'!M35+IF(parametros_carros!$H$27="Todos",'Plan mensual'!M39,0))+parametros_carros!$E$27*('Plan mensual'!M36+IF(parametros_carros!$H$27="Todos",'Plan mensual'!M40,0))+parametros_carros!$F$27*('Plan mensual'!M37+IF(parametros_carros!$H$27="Todos",'Plan mensual'!M41,0))+parametros_carros!$G$27*('Plan mensual'!M38+IF(parametros_carros!$H$27="Todos",'Plan mensual'!M42,0)))/60</f>
        <v>12.20425</v>
      </c>
      <c r="L70" s="9">
        <f>(parametros_carros!$D$27*('Plan mensual'!N35+IF(parametros_carros!$H$27="Todos",'Plan mensual'!N39,0))+parametros_carros!$E$27*('Plan mensual'!N36+IF(parametros_carros!$H$27="Todos",'Plan mensual'!N40,0))+parametros_carros!$F$27*('Plan mensual'!N37+IF(parametros_carros!$H$27="Todos",'Plan mensual'!N41,0))+parametros_carros!$G$27*('Plan mensual'!N38+IF(parametros_carros!$H$27="Todos",'Plan mensual'!N42,0)))/60</f>
        <v>11.39063333</v>
      </c>
      <c r="M70" s="9">
        <f>(parametros_carros!$D$27*('Plan mensual'!O35+IF(parametros_carros!$H$27="Todos",'Plan mensual'!O39,0))+parametros_carros!$E$27*('Plan mensual'!O36+IF(parametros_carros!$H$27="Todos",'Plan mensual'!O40,0))+parametros_carros!$F$27*('Plan mensual'!O37+IF(parametros_carros!$H$27="Todos",'Plan mensual'!O41,0))+parametros_carros!$G$27*('Plan mensual'!O38+IF(parametros_carros!$H$27="Todos",'Plan mensual'!O42,0)))/60</f>
        <v>13.01786667</v>
      </c>
      <c r="N70" s="9">
        <f t="shared" si="10"/>
        <v>162.7233333</v>
      </c>
      <c r="O70" s="9">
        <f t="shared" si="11"/>
        <v>14.6451</v>
      </c>
      <c r="P70" s="32">
        <f>IF(parametros_carros!$B$7=0,0,(O70+parametros_carros!$G$53)/parametros_carros!$B$7)</f>
        <v>0.117634</v>
      </c>
      <c r="Q70" s="21" t="str">
        <f t="shared" si="12"/>
        <v>Mar</v>
      </c>
    </row>
    <row r="71" ht="14.25" customHeight="1">
      <c r="A71" s="2" t="str">
        <f>parametros_carros!$B$28</f>
        <v>Fabricación de accesorios</v>
      </c>
      <c r="B71" s="9">
        <f>(parametros_carros!$D$28*('Plan mensual'!D35+IF(parametros_carros!$H$28="Todos",'Plan mensual'!D39,0))+parametros_carros!$E$28*('Plan mensual'!D36+IF(parametros_carros!$H$28="Todos",'Plan mensual'!D40,0))+parametros_carros!$F$28*('Plan mensual'!D37+IF(parametros_carros!$H$28="Todos",'Plan mensual'!D41,0))+parametros_carros!$G$28*('Plan mensual'!D38+IF(parametros_carros!$H$28="Todos",'Plan mensual'!D42,0)))/60</f>
        <v>9.39675</v>
      </c>
      <c r="C71" s="9">
        <f>(parametros_carros!$D$28*('Plan mensual'!E35+IF(parametros_carros!$H$28="Todos",'Plan mensual'!E39,0))+parametros_carros!$E$28*('Plan mensual'!E36+IF(parametros_carros!$H$28="Todos",'Plan mensual'!E40,0))+parametros_carros!$F$28*('Plan mensual'!E37+IF(parametros_carros!$H$28="Todos",'Plan mensual'!E41,0))+parametros_carros!$G$28*('Plan mensual'!E38+IF(parametros_carros!$H$28="Todos",'Plan mensual'!E42,0)))/60</f>
        <v>8.29125</v>
      </c>
      <c r="D71" s="9">
        <f>(parametros_carros!$D$28*('Plan mensual'!F35+IF(parametros_carros!$H$28="Todos",'Plan mensual'!F39,0))+parametros_carros!$E$28*('Plan mensual'!F36+IF(parametros_carros!$H$28="Todos",'Plan mensual'!F40,0))+parametros_carros!$F$28*('Plan mensual'!F37+IF(parametros_carros!$H$28="Todos",'Plan mensual'!F41,0))+parametros_carros!$G$28*('Plan mensual'!F38+IF(parametros_carros!$H$28="Todos",'Plan mensual'!F42,0)))/60</f>
        <v>9.9495</v>
      </c>
      <c r="E71" s="9">
        <f>(parametros_carros!$D$28*('Plan mensual'!G35+IF(parametros_carros!$H$28="Todos",'Plan mensual'!G39,0))+parametros_carros!$E$28*('Plan mensual'!G36+IF(parametros_carros!$H$28="Todos",'Plan mensual'!G40,0))+parametros_carros!$F$28*('Plan mensual'!G37+IF(parametros_carros!$H$28="Todos",'Plan mensual'!G41,0))+parametros_carros!$G$28*('Plan mensual'!G38+IF(parametros_carros!$H$28="Todos",'Plan mensual'!G42,0)))/60</f>
        <v>9.9495</v>
      </c>
      <c r="F71" s="9">
        <f>(parametros_carros!$D$28*('Plan mensual'!H35+IF(parametros_carros!$H$28="Todos",'Plan mensual'!H39,0))+parametros_carros!$E$28*('Plan mensual'!H36+IF(parametros_carros!$H$28="Todos",'Plan mensual'!H40,0))+parametros_carros!$F$28*('Plan mensual'!H37+IF(parametros_carros!$H$28="Todos",'Plan mensual'!H41,0))+parametros_carros!$G$28*('Plan mensual'!H38+IF(parametros_carros!$H$28="Todos",'Plan mensual'!H42,0)))/60</f>
        <v>9.9495</v>
      </c>
      <c r="G71" s="9">
        <f>(parametros_carros!$D$28*('Plan mensual'!I35+IF(parametros_carros!$H$28="Todos",'Plan mensual'!I39,0))+parametros_carros!$E$28*('Plan mensual'!I36+IF(parametros_carros!$H$28="Todos",'Plan mensual'!I40,0))+parametros_carros!$F$28*('Plan mensual'!I37+IF(parametros_carros!$H$28="Todos",'Plan mensual'!I41,0))+parametros_carros!$G$28*('Plan mensual'!I38+IF(parametros_carros!$H$28="Todos",'Plan mensual'!I42,0)))/60</f>
        <v>8.844</v>
      </c>
      <c r="H71" s="9">
        <f>(parametros_carros!$D$28*('Plan mensual'!J35+IF(parametros_carros!$H$28="Todos",'Plan mensual'!J39,0))+parametros_carros!$E$28*('Plan mensual'!J36+IF(parametros_carros!$H$28="Todos",'Plan mensual'!J40,0))+parametros_carros!$F$28*('Plan mensual'!J37+IF(parametros_carros!$H$28="Todos",'Plan mensual'!J41,0))+parametros_carros!$G$28*('Plan mensual'!J38+IF(parametros_carros!$H$28="Todos",'Plan mensual'!J42,0)))/60</f>
        <v>9.9495</v>
      </c>
      <c r="I71" s="9">
        <f>(parametros_carros!$D$28*('Plan mensual'!K35+IF(parametros_carros!$H$28="Todos",'Plan mensual'!K39,0))+parametros_carros!$E$28*('Plan mensual'!K36+IF(parametros_carros!$H$28="Todos",'Plan mensual'!K40,0))+parametros_carros!$F$28*('Plan mensual'!K37+IF(parametros_carros!$H$28="Todos",'Plan mensual'!K41,0))+parametros_carros!$G$28*('Plan mensual'!K38+IF(parametros_carros!$H$28="Todos",'Plan mensual'!K42,0)))/60</f>
        <v>9.9495</v>
      </c>
      <c r="J71" s="9">
        <f>(parametros_carros!$D$28*('Plan mensual'!L35+IF(parametros_carros!$H$28="Todos",'Plan mensual'!L39,0))+parametros_carros!$E$28*('Plan mensual'!L36+IF(parametros_carros!$H$28="Todos",'Plan mensual'!L40,0))+parametros_carros!$F$28*('Plan mensual'!L37+IF(parametros_carros!$H$28="Todos",'Plan mensual'!L41,0))+parametros_carros!$G$28*('Plan mensual'!L38+IF(parametros_carros!$H$28="Todos",'Plan mensual'!L42,0)))/60</f>
        <v>9.39675</v>
      </c>
      <c r="K71" s="9">
        <f>(parametros_carros!$D$28*('Plan mensual'!M35+IF(parametros_carros!$H$28="Todos",'Plan mensual'!M39,0))+parametros_carros!$E$28*('Plan mensual'!M36+IF(parametros_carros!$H$28="Todos",'Plan mensual'!M40,0))+parametros_carros!$F$28*('Plan mensual'!M37+IF(parametros_carros!$H$28="Todos",'Plan mensual'!M41,0))+parametros_carros!$G$28*('Plan mensual'!M38+IF(parametros_carros!$H$28="Todos",'Plan mensual'!M42,0)))/60</f>
        <v>8.29125</v>
      </c>
      <c r="L71" s="9">
        <f>(parametros_carros!$D$28*('Plan mensual'!N35+IF(parametros_carros!$H$28="Todos",'Plan mensual'!N39,0))+parametros_carros!$E$28*('Plan mensual'!N36+IF(parametros_carros!$H$28="Todos",'Plan mensual'!N40,0))+parametros_carros!$F$28*('Plan mensual'!N37+IF(parametros_carros!$H$28="Todos",'Plan mensual'!N41,0))+parametros_carros!$G$28*('Plan mensual'!N38+IF(parametros_carros!$H$28="Todos",'Plan mensual'!N42,0)))/60</f>
        <v>7.7385</v>
      </c>
      <c r="M71" s="9">
        <f>(parametros_carros!$D$28*('Plan mensual'!O35+IF(parametros_carros!$H$28="Todos",'Plan mensual'!O39,0))+parametros_carros!$E$28*('Plan mensual'!O36+IF(parametros_carros!$H$28="Todos",'Plan mensual'!O40,0))+parametros_carros!$F$28*('Plan mensual'!O37+IF(parametros_carros!$H$28="Todos",'Plan mensual'!O41,0))+parametros_carros!$G$28*('Plan mensual'!O38+IF(parametros_carros!$H$28="Todos",'Plan mensual'!O42,0)))/60</f>
        <v>8.844</v>
      </c>
      <c r="N71" s="9">
        <f t="shared" si="10"/>
        <v>110.55</v>
      </c>
      <c r="O71" s="9">
        <f t="shared" si="11"/>
        <v>9.9495</v>
      </c>
      <c r="P71" s="32">
        <f>IF(parametros_carros!$B$7=0,0,(O71+parametros_carros!$G$54)/parametros_carros!$B$7)</f>
        <v>0.09966333333</v>
      </c>
      <c r="Q71" s="21" t="str">
        <f t="shared" si="12"/>
        <v>Mar</v>
      </c>
    </row>
    <row r="72" ht="14.25" customHeight="1">
      <c r="A72" s="2" t="str">
        <f>parametros_carros!$B$29</f>
        <v>Prueba hidráulica</v>
      </c>
      <c r="B72" s="9">
        <f>(parametros_carros!$D$29*('Plan mensual'!D35+IF(parametros_carros!$H$29="Todos",'Plan mensual'!D39,0))+parametros_carros!$E$29*('Plan mensual'!D36+IF(parametros_carros!$H$29="Todos",'Plan mensual'!D40,0))+parametros_carros!$F$29*('Plan mensual'!D37+IF(parametros_carros!$H$29="Todos",'Plan mensual'!D41,0))+parametros_carros!$G$29*('Plan mensual'!D38+IF(parametros_carros!$H$29="Todos",'Plan mensual'!D42,0)))/60</f>
        <v>7.672015</v>
      </c>
      <c r="C72" s="9">
        <f>(parametros_carros!$D$29*('Plan mensual'!E35+IF(parametros_carros!$H$29="Todos",'Plan mensual'!E39,0))+parametros_carros!$E$29*('Plan mensual'!E36+IF(parametros_carros!$H$29="Todos",'Plan mensual'!E40,0))+parametros_carros!$F$29*('Plan mensual'!E37+IF(parametros_carros!$H$29="Todos",'Plan mensual'!E41,0))+parametros_carros!$G$29*('Plan mensual'!E38+IF(parametros_carros!$H$29="Todos",'Plan mensual'!E42,0)))/60</f>
        <v>6.769425</v>
      </c>
      <c r="D72" s="9">
        <f>(parametros_carros!$D$29*('Plan mensual'!F35+IF(parametros_carros!$H$29="Todos",'Plan mensual'!F39,0))+parametros_carros!$E$29*('Plan mensual'!F36+IF(parametros_carros!$H$29="Todos",'Plan mensual'!F40,0))+parametros_carros!$F$29*('Plan mensual'!F37+IF(parametros_carros!$H$29="Todos",'Plan mensual'!F41,0))+parametros_carros!$G$29*('Plan mensual'!F38+IF(parametros_carros!$H$29="Todos",'Plan mensual'!F42,0)))/60</f>
        <v>8.12331</v>
      </c>
      <c r="E72" s="9">
        <f>(parametros_carros!$D$29*('Plan mensual'!G35+IF(parametros_carros!$H$29="Todos",'Plan mensual'!G39,0))+parametros_carros!$E$29*('Plan mensual'!G36+IF(parametros_carros!$H$29="Todos",'Plan mensual'!G40,0))+parametros_carros!$F$29*('Plan mensual'!G37+IF(parametros_carros!$H$29="Todos",'Plan mensual'!G41,0))+parametros_carros!$G$29*('Plan mensual'!G38+IF(parametros_carros!$H$29="Todos",'Plan mensual'!G42,0)))/60</f>
        <v>8.12331</v>
      </c>
      <c r="F72" s="9">
        <f>(parametros_carros!$D$29*('Plan mensual'!H35+IF(parametros_carros!$H$29="Todos",'Plan mensual'!H39,0))+parametros_carros!$E$29*('Plan mensual'!H36+IF(parametros_carros!$H$29="Todos",'Plan mensual'!H40,0))+parametros_carros!$F$29*('Plan mensual'!H37+IF(parametros_carros!$H$29="Todos",'Plan mensual'!H41,0))+parametros_carros!$G$29*('Plan mensual'!H38+IF(parametros_carros!$H$29="Todos",'Plan mensual'!H42,0)))/60</f>
        <v>8.12331</v>
      </c>
      <c r="G72" s="9">
        <f>(parametros_carros!$D$29*('Plan mensual'!I35+IF(parametros_carros!$H$29="Todos",'Plan mensual'!I39,0))+parametros_carros!$E$29*('Plan mensual'!I36+IF(parametros_carros!$H$29="Todos",'Plan mensual'!I40,0))+parametros_carros!$F$29*('Plan mensual'!I37+IF(parametros_carros!$H$29="Todos",'Plan mensual'!I41,0))+parametros_carros!$G$29*('Plan mensual'!I38+IF(parametros_carros!$H$29="Todos",'Plan mensual'!I42,0)))/60</f>
        <v>7.22072</v>
      </c>
      <c r="H72" s="9">
        <f>(parametros_carros!$D$29*('Plan mensual'!J35+IF(parametros_carros!$H$29="Todos",'Plan mensual'!J39,0))+parametros_carros!$E$29*('Plan mensual'!J36+IF(parametros_carros!$H$29="Todos",'Plan mensual'!J40,0))+parametros_carros!$F$29*('Plan mensual'!J37+IF(parametros_carros!$H$29="Todos",'Plan mensual'!J41,0))+parametros_carros!$G$29*('Plan mensual'!J38+IF(parametros_carros!$H$29="Todos",'Plan mensual'!J42,0)))/60</f>
        <v>8.12331</v>
      </c>
      <c r="I72" s="9">
        <f>(parametros_carros!$D$29*('Plan mensual'!K35+IF(parametros_carros!$H$29="Todos",'Plan mensual'!K39,0))+parametros_carros!$E$29*('Plan mensual'!K36+IF(parametros_carros!$H$29="Todos",'Plan mensual'!K40,0))+parametros_carros!$F$29*('Plan mensual'!K37+IF(parametros_carros!$H$29="Todos",'Plan mensual'!K41,0))+parametros_carros!$G$29*('Plan mensual'!K38+IF(parametros_carros!$H$29="Todos",'Plan mensual'!K42,0)))/60</f>
        <v>8.12331</v>
      </c>
      <c r="J72" s="9">
        <f>(parametros_carros!$D$29*('Plan mensual'!L35+IF(parametros_carros!$H$29="Todos",'Plan mensual'!L39,0))+parametros_carros!$E$29*('Plan mensual'!L36+IF(parametros_carros!$H$29="Todos",'Plan mensual'!L40,0))+parametros_carros!$F$29*('Plan mensual'!L37+IF(parametros_carros!$H$29="Todos",'Plan mensual'!L41,0))+parametros_carros!$G$29*('Plan mensual'!L38+IF(parametros_carros!$H$29="Todos",'Plan mensual'!L42,0)))/60</f>
        <v>7.672015</v>
      </c>
      <c r="K72" s="9">
        <f>(parametros_carros!$D$29*('Plan mensual'!M35+IF(parametros_carros!$H$29="Todos",'Plan mensual'!M39,0))+parametros_carros!$E$29*('Plan mensual'!M36+IF(parametros_carros!$H$29="Todos",'Plan mensual'!M40,0))+parametros_carros!$F$29*('Plan mensual'!M37+IF(parametros_carros!$H$29="Todos",'Plan mensual'!M41,0))+parametros_carros!$G$29*('Plan mensual'!M38+IF(parametros_carros!$H$29="Todos",'Plan mensual'!M42,0)))/60</f>
        <v>6.769425</v>
      </c>
      <c r="L72" s="9">
        <f>(parametros_carros!$D$29*('Plan mensual'!N35+IF(parametros_carros!$H$29="Todos",'Plan mensual'!N39,0))+parametros_carros!$E$29*('Plan mensual'!N36+IF(parametros_carros!$H$29="Todos",'Plan mensual'!N40,0))+parametros_carros!$F$29*('Plan mensual'!N37+IF(parametros_carros!$H$29="Todos",'Plan mensual'!N41,0))+parametros_carros!$G$29*('Plan mensual'!N38+IF(parametros_carros!$H$29="Todos",'Plan mensual'!N42,0)))/60</f>
        <v>6.31813</v>
      </c>
      <c r="M72" s="9">
        <f>(parametros_carros!$D$29*('Plan mensual'!O35+IF(parametros_carros!$H$29="Todos",'Plan mensual'!O39,0))+parametros_carros!$E$29*('Plan mensual'!O36+IF(parametros_carros!$H$29="Todos",'Plan mensual'!O40,0))+parametros_carros!$F$29*('Plan mensual'!O37+IF(parametros_carros!$H$29="Todos",'Plan mensual'!O41,0))+parametros_carros!$G$29*('Plan mensual'!O38+IF(parametros_carros!$H$29="Todos",'Plan mensual'!O42,0)))/60</f>
        <v>7.22072</v>
      </c>
      <c r="N72" s="9">
        <f t="shared" si="10"/>
        <v>90.259</v>
      </c>
      <c r="O72" s="9">
        <f t="shared" si="11"/>
        <v>8.12331</v>
      </c>
      <c r="P72" s="32">
        <f>IF(parametros_carros!$B$7=0,0,(O72+parametros_carros!$G$55)/parametros_carros!$B$7)</f>
        <v>0.07637762222</v>
      </c>
      <c r="Q72" s="21" t="str">
        <f t="shared" si="12"/>
        <v>Mar</v>
      </c>
    </row>
    <row r="73" ht="14.25" customHeight="1">
      <c r="A73" s="2" t="str">
        <f>parametros_carros!$B$30</f>
        <v>Secado</v>
      </c>
      <c r="B73" s="9">
        <f>(parametros_carros!$D$30*('Plan mensual'!D35+IF(parametros_carros!$H$30="Todos",'Plan mensual'!D39,0))+parametros_carros!$E$30*('Plan mensual'!D36+IF(parametros_carros!$H$30="Todos",'Plan mensual'!D40,0))+parametros_carros!$F$30*('Plan mensual'!D37+IF(parametros_carros!$H$30="Todos",'Plan mensual'!D41,0))+parametros_carros!$G$30*('Plan mensual'!D38+IF(parametros_carros!$H$30="Todos",'Plan mensual'!D42,0)))/60</f>
        <v>8.599166667</v>
      </c>
      <c r="C73" s="9">
        <f>(parametros_carros!$D$30*('Plan mensual'!E35+IF(parametros_carros!$H$30="Todos",'Plan mensual'!E39,0))+parametros_carros!$E$30*('Plan mensual'!E36+IF(parametros_carros!$H$30="Todos",'Plan mensual'!E40,0))+parametros_carros!$F$30*('Plan mensual'!E37+IF(parametros_carros!$H$30="Todos",'Plan mensual'!E41,0))+parametros_carros!$G$30*('Plan mensual'!E38+IF(parametros_carros!$H$30="Todos",'Plan mensual'!E42,0)))/60</f>
        <v>7.5875</v>
      </c>
      <c r="D73" s="9">
        <f>(parametros_carros!$D$30*('Plan mensual'!F35+IF(parametros_carros!$H$30="Todos",'Plan mensual'!F39,0))+parametros_carros!$E$30*('Plan mensual'!F36+IF(parametros_carros!$H$30="Todos",'Plan mensual'!F40,0))+parametros_carros!$F$30*('Plan mensual'!F37+IF(parametros_carros!$H$30="Todos",'Plan mensual'!F41,0))+parametros_carros!$G$30*('Plan mensual'!F38+IF(parametros_carros!$H$30="Todos",'Plan mensual'!F42,0)))/60</f>
        <v>9.105</v>
      </c>
      <c r="E73" s="9">
        <f>(parametros_carros!$D$30*('Plan mensual'!G35+IF(parametros_carros!$H$30="Todos",'Plan mensual'!G39,0))+parametros_carros!$E$30*('Plan mensual'!G36+IF(parametros_carros!$H$30="Todos",'Plan mensual'!G40,0))+parametros_carros!$F$30*('Plan mensual'!G37+IF(parametros_carros!$H$30="Todos",'Plan mensual'!G41,0))+parametros_carros!$G$30*('Plan mensual'!G38+IF(parametros_carros!$H$30="Todos",'Plan mensual'!G42,0)))/60</f>
        <v>9.105</v>
      </c>
      <c r="F73" s="9">
        <f>(parametros_carros!$D$30*('Plan mensual'!H35+IF(parametros_carros!$H$30="Todos",'Plan mensual'!H39,0))+parametros_carros!$E$30*('Plan mensual'!H36+IF(parametros_carros!$H$30="Todos",'Plan mensual'!H40,0))+parametros_carros!$F$30*('Plan mensual'!H37+IF(parametros_carros!$H$30="Todos",'Plan mensual'!H41,0))+parametros_carros!$G$30*('Plan mensual'!H38+IF(parametros_carros!$H$30="Todos",'Plan mensual'!H42,0)))/60</f>
        <v>9.105</v>
      </c>
      <c r="G73" s="9">
        <f>(parametros_carros!$D$30*('Plan mensual'!I35+IF(parametros_carros!$H$30="Todos",'Plan mensual'!I39,0))+parametros_carros!$E$30*('Plan mensual'!I36+IF(parametros_carros!$H$30="Todos",'Plan mensual'!I40,0))+parametros_carros!$F$30*('Plan mensual'!I37+IF(parametros_carros!$H$30="Todos",'Plan mensual'!I41,0))+parametros_carros!$G$30*('Plan mensual'!I38+IF(parametros_carros!$H$30="Todos",'Plan mensual'!I42,0)))/60</f>
        <v>8.093333333</v>
      </c>
      <c r="H73" s="9">
        <f>(parametros_carros!$D$30*('Plan mensual'!J35+IF(parametros_carros!$H$30="Todos",'Plan mensual'!J39,0))+parametros_carros!$E$30*('Plan mensual'!J36+IF(parametros_carros!$H$30="Todos",'Plan mensual'!J40,0))+parametros_carros!$F$30*('Plan mensual'!J37+IF(parametros_carros!$H$30="Todos",'Plan mensual'!J41,0))+parametros_carros!$G$30*('Plan mensual'!J38+IF(parametros_carros!$H$30="Todos",'Plan mensual'!J42,0)))/60</f>
        <v>9.105</v>
      </c>
      <c r="I73" s="9">
        <f>(parametros_carros!$D$30*('Plan mensual'!K35+IF(parametros_carros!$H$30="Todos",'Plan mensual'!K39,0))+parametros_carros!$E$30*('Plan mensual'!K36+IF(parametros_carros!$H$30="Todos",'Plan mensual'!K40,0))+parametros_carros!$F$30*('Plan mensual'!K37+IF(parametros_carros!$H$30="Todos",'Plan mensual'!K41,0))+parametros_carros!$G$30*('Plan mensual'!K38+IF(parametros_carros!$H$30="Todos",'Plan mensual'!K42,0)))/60</f>
        <v>9.105</v>
      </c>
      <c r="J73" s="9">
        <f>(parametros_carros!$D$30*('Plan mensual'!L35+IF(parametros_carros!$H$30="Todos",'Plan mensual'!L39,0))+parametros_carros!$E$30*('Plan mensual'!L36+IF(parametros_carros!$H$30="Todos",'Plan mensual'!L40,0))+parametros_carros!$F$30*('Plan mensual'!L37+IF(parametros_carros!$H$30="Todos",'Plan mensual'!L41,0))+parametros_carros!$G$30*('Plan mensual'!L38+IF(parametros_carros!$H$30="Todos",'Plan mensual'!L42,0)))/60</f>
        <v>8.599166667</v>
      </c>
      <c r="K73" s="9">
        <f>(parametros_carros!$D$30*('Plan mensual'!M35+IF(parametros_carros!$H$30="Todos",'Plan mensual'!M39,0))+parametros_carros!$E$30*('Plan mensual'!M36+IF(parametros_carros!$H$30="Todos",'Plan mensual'!M40,0))+parametros_carros!$F$30*('Plan mensual'!M37+IF(parametros_carros!$H$30="Todos",'Plan mensual'!M41,0))+parametros_carros!$G$30*('Plan mensual'!M38+IF(parametros_carros!$H$30="Todos",'Plan mensual'!M42,0)))/60</f>
        <v>7.5875</v>
      </c>
      <c r="L73" s="9">
        <f>(parametros_carros!$D$30*('Plan mensual'!N35+IF(parametros_carros!$H$30="Todos",'Plan mensual'!N39,0))+parametros_carros!$E$30*('Plan mensual'!N36+IF(parametros_carros!$H$30="Todos",'Plan mensual'!N40,0))+parametros_carros!$F$30*('Plan mensual'!N37+IF(parametros_carros!$H$30="Todos",'Plan mensual'!N41,0))+parametros_carros!$G$30*('Plan mensual'!N38+IF(parametros_carros!$H$30="Todos",'Plan mensual'!N42,0)))/60</f>
        <v>7.081666667</v>
      </c>
      <c r="M73" s="9">
        <f>(parametros_carros!$D$30*('Plan mensual'!O35+IF(parametros_carros!$H$30="Todos",'Plan mensual'!O39,0))+parametros_carros!$E$30*('Plan mensual'!O36+IF(parametros_carros!$H$30="Todos",'Plan mensual'!O40,0))+parametros_carros!$F$30*('Plan mensual'!O37+IF(parametros_carros!$H$30="Todos",'Plan mensual'!O41,0))+parametros_carros!$G$30*('Plan mensual'!O38+IF(parametros_carros!$H$30="Todos",'Plan mensual'!O42,0)))/60</f>
        <v>8.093333333</v>
      </c>
      <c r="N73" s="9">
        <f t="shared" si="10"/>
        <v>101.1666667</v>
      </c>
      <c r="O73" s="9">
        <f t="shared" si="11"/>
        <v>9.105</v>
      </c>
      <c r="P73" s="32">
        <f>IF(parametros_carros!$B$7=0,0,(O73+parametros_carros!$G$56)/parametros_carros!$B$7)</f>
        <v>0.0607</v>
      </c>
      <c r="Q73" s="21" t="str">
        <f t="shared" si="12"/>
        <v>Mar</v>
      </c>
    </row>
    <row r="74" ht="14.25" customHeight="1">
      <c r="A74" s="2" t="str">
        <f>parametros_carros!$B$31</f>
        <v>Pulmón de despacho y carga a pintura</v>
      </c>
      <c r="B74" s="9">
        <f>(parametros_carros!$D$31*('Plan mensual'!D35+IF(parametros_carros!$H$31="Todos",'Plan mensual'!D39,0))+parametros_carros!$E$31*('Plan mensual'!D36+IF(parametros_carros!$H$31="Todos",'Plan mensual'!D40,0))+parametros_carros!$F$31*('Plan mensual'!D37+IF(parametros_carros!$H$31="Todos",'Plan mensual'!D41,0))+parametros_carros!$G$31*('Plan mensual'!D38+IF(parametros_carros!$H$31="Todos",'Plan mensual'!D42,0)))/60</f>
        <v>1.367225</v>
      </c>
      <c r="C74" s="9">
        <f>(parametros_carros!$D$31*('Plan mensual'!E35+IF(parametros_carros!$H$31="Todos",'Plan mensual'!E39,0))+parametros_carros!$E$31*('Plan mensual'!E36+IF(parametros_carros!$H$31="Todos",'Plan mensual'!E40,0))+parametros_carros!$F$31*('Plan mensual'!E37+IF(parametros_carros!$H$31="Todos",'Plan mensual'!E41,0))+parametros_carros!$G$31*('Plan mensual'!E38+IF(parametros_carros!$H$31="Todos",'Plan mensual'!E42,0)))/60</f>
        <v>1.206375</v>
      </c>
      <c r="D74" s="9">
        <f>(parametros_carros!$D$31*('Plan mensual'!F35+IF(parametros_carros!$H$31="Todos",'Plan mensual'!F39,0))+parametros_carros!$E$31*('Plan mensual'!F36+IF(parametros_carros!$H$31="Todos",'Plan mensual'!F40,0))+parametros_carros!$F$31*('Plan mensual'!F37+IF(parametros_carros!$H$31="Todos",'Plan mensual'!F41,0))+parametros_carros!$G$31*('Plan mensual'!F38+IF(parametros_carros!$H$31="Todos",'Plan mensual'!F42,0)))/60</f>
        <v>1.44765</v>
      </c>
      <c r="E74" s="9">
        <f>(parametros_carros!$D$31*('Plan mensual'!G35+IF(parametros_carros!$H$31="Todos",'Plan mensual'!G39,0))+parametros_carros!$E$31*('Plan mensual'!G36+IF(parametros_carros!$H$31="Todos",'Plan mensual'!G40,0))+parametros_carros!$F$31*('Plan mensual'!G37+IF(parametros_carros!$H$31="Todos",'Plan mensual'!G41,0))+parametros_carros!$G$31*('Plan mensual'!G38+IF(parametros_carros!$H$31="Todos",'Plan mensual'!G42,0)))/60</f>
        <v>1.44765</v>
      </c>
      <c r="F74" s="9">
        <f>(parametros_carros!$D$31*('Plan mensual'!H35+IF(parametros_carros!$H$31="Todos",'Plan mensual'!H39,0))+parametros_carros!$E$31*('Plan mensual'!H36+IF(parametros_carros!$H$31="Todos",'Plan mensual'!H40,0))+parametros_carros!$F$31*('Plan mensual'!H37+IF(parametros_carros!$H$31="Todos",'Plan mensual'!H41,0))+parametros_carros!$G$31*('Plan mensual'!H38+IF(parametros_carros!$H$31="Todos",'Plan mensual'!H42,0)))/60</f>
        <v>1.44765</v>
      </c>
      <c r="G74" s="9">
        <f>(parametros_carros!$D$31*('Plan mensual'!I35+IF(parametros_carros!$H$31="Todos",'Plan mensual'!I39,0))+parametros_carros!$E$31*('Plan mensual'!I36+IF(parametros_carros!$H$31="Todos",'Plan mensual'!I40,0))+parametros_carros!$F$31*('Plan mensual'!I37+IF(parametros_carros!$H$31="Todos",'Plan mensual'!I41,0))+parametros_carros!$G$31*('Plan mensual'!I38+IF(parametros_carros!$H$31="Todos",'Plan mensual'!I42,0)))/60</f>
        <v>1.2868</v>
      </c>
      <c r="H74" s="9">
        <f>(parametros_carros!$D$31*('Plan mensual'!J35+IF(parametros_carros!$H$31="Todos",'Plan mensual'!J39,0))+parametros_carros!$E$31*('Plan mensual'!J36+IF(parametros_carros!$H$31="Todos",'Plan mensual'!J40,0))+parametros_carros!$F$31*('Plan mensual'!J37+IF(parametros_carros!$H$31="Todos",'Plan mensual'!J41,0))+parametros_carros!$G$31*('Plan mensual'!J38+IF(parametros_carros!$H$31="Todos",'Plan mensual'!J42,0)))/60</f>
        <v>1.44765</v>
      </c>
      <c r="I74" s="9">
        <f>(parametros_carros!$D$31*('Plan mensual'!K35+IF(parametros_carros!$H$31="Todos",'Plan mensual'!K39,0))+parametros_carros!$E$31*('Plan mensual'!K36+IF(parametros_carros!$H$31="Todos",'Plan mensual'!K40,0))+parametros_carros!$F$31*('Plan mensual'!K37+IF(parametros_carros!$H$31="Todos",'Plan mensual'!K41,0))+parametros_carros!$G$31*('Plan mensual'!K38+IF(parametros_carros!$H$31="Todos",'Plan mensual'!K42,0)))/60</f>
        <v>1.44765</v>
      </c>
      <c r="J74" s="9">
        <f>(parametros_carros!$D$31*('Plan mensual'!L35+IF(parametros_carros!$H$31="Todos",'Plan mensual'!L39,0))+parametros_carros!$E$31*('Plan mensual'!L36+IF(parametros_carros!$H$31="Todos",'Plan mensual'!L40,0))+parametros_carros!$F$31*('Plan mensual'!L37+IF(parametros_carros!$H$31="Todos",'Plan mensual'!L41,0))+parametros_carros!$G$31*('Plan mensual'!L38+IF(parametros_carros!$H$31="Todos",'Plan mensual'!L42,0)))/60</f>
        <v>1.367225</v>
      </c>
      <c r="K74" s="9">
        <f>(parametros_carros!$D$31*('Plan mensual'!M35+IF(parametros_carros!$H$31="Todos",'Plan mensual'!M39,0))+parametros_carros!$E$31*('Plan mensual'!M36+IF(parametros_carros!$H$31="Todos",'Plan mensual'!M40,0))+parametros_carros!$F$31*('Plan mensual'!M37+IF(parametros_carros!$H$31="Todos",'Plan mensual'!M41,0))+parametros_carros!$G$31*('Plan mensual'!M38+IF(parametros_carros!$H$31="Todos",'Plan mensual'!M42,0)))/60</f>
        <v>1.206375</v>
      </c>
      <c r="L74" s="9">
        <f>(parametros_carros!$D$31*('Plan mensual'!N35+IF(parametros_carros!$H$31="Todos",'Plan mensual'!N39,0))+parametros_carros!$E$31*('Plan mensual'!N36+IF(parametros_carros!$H$31="Todos",'Plan mensual'!N40,0))+parametros_carros!$F$31*('Plan mensual'!N37+IF(parametros_carros!$H$31="Todos",'Plan mensual'!N41,0))+parametros_carros!$G$31*('Plan mensual'!N38+IF(parametros_carros!$H$31="Todos",'Plan mensual'!N42,0)))/60</f>
        <v>1.12595</v>
      </c>
      <c r="M74" s="9">
        <f>(parametros_carros!$D$31*('Plan mensual'!O35+IF(parametros_carros!$H$31="Todos",'Plan mensual'!O39,0))+parametros_carros!$E$31*('Plan mensual'!O36+IF(parametros_carros!$H$31="Todos",'Plan mensual'!O40,0))+parametros_carros!$F$31*('Plan mensual'!O37+IF(parametros_carros!$H$31="Todos",'Plan mensual'!O41,0))+parametros_carros!$G$31*('Plan mensual'!O38+IF(parametros_carros!$H$31="Todos",'Plan mensual'!O42,0)))/60</f>
        <v>1.2868</v>
      </c>
      <c r="N74" s="9">
        <f t="shared" si="10"/>
        <v>16.085</v>
      </c>
      <c r="O74" s="9">
        <f t="shared" si="11"/>
        <v>1.44765</v>
      </c>
      <c r="P74" s="32">
        <f>IF(parametros_carros!$B$7=0,0,(O74+parametros_carros!$G$57)/parametros_carros!$B$7)</f>
        <v>0.01853988889</v>
      </c>
      <c r="Q74" s="21" t="str">
        <f t="shared" si="12"/>
        <v>Mar</v>
      </c>
    </row>
    <row r="75" ht="14.25" customHeight="1">
      <c r="A75" s="2" t="str">
        <f>parametros_carros!$B$32</f>
        <v>Recepción de pintados y cambio de juego</v>
      </c>
      <c r="B75" s="9">
        <f>(parametros_carros!$D$32*('Plan mensual'!D35+IF(parametros_carros!$H$32="Todos",'Plan mensual'!D39,0))+parametros_carros!$E$32*('Plan mensual'!D36+IF(parametros_carros!$H$32="Todos",'Plan mensual'!D40,0))+parametros_carros!$F$32*('Plan mensual'!D37+IF(parametros_carros!$H$32="Todos",'Plan mensual'!D41,0))+parametros_carros!$G$32*('Plan mensual'!D38+IF(parametros_carros!$H$32="Todos",'Plan mensual'!D42,0)))/60</f>
        <v>2.6743125</v>
      </c>
      <c r="C75" s="9">
        <f>(parametros_carros!$D$32*('Plan mensual'!E35+IF(parametros_carros!$H$32="Todos",'Plan mensual'!E39,0))+parametros_carros!$E$32*('Plan mensual'!E36+IF(parametros_carros!$H$32="Todos",'Plan mensual'!E40,0))+parametros_carros!$F$32*('Plan mensual'!E37+IF(parametros_carros!$H$32="Todos",'Plan mensual'!E41,0))+parametros_carros!$G$32*('Plan mensual'!E38+IF(parametros_carros!$H$32="Todos",'Plan mensual'!E42,0)))/60</f>
        <v>2.3596875</v>
      </c>
      <c r="D75" s="9">
        <f>(parametros_carros!$D$32*('Plan mensual'!F35+IF(parametros_carros!$H$32="Todos",'Plan mensual'!F39,0))+parametros_carros!$E$32*('Plan mensual'!F36+IF(parametros_carros!$H$32="Todos",'Plan mensual'!F40,0))+parametros_carros!$F$32*('Plan mensual'!F37+IF(parametros_carros!$H$32="Todos",'Plan mensual'!F41,0))+parametros_carros!$G$32*('Plan mensual'!F38+IF(parametros_carros!$H$32="Todos",'Plan mensual'!F42,0)))/60</f>
        <v>2.831625</v>
      </c>
      <c r="E75" s="9">
        <f>(parametros_carros!$D$32*('Plan mensual'!G35+IF(parametros_carros!$H$32="Todos",'Plan mensual'!G39,0))+parametros_carros!$E$32*('Plan mensual'!G36+IF(parametros_carros!$H$32="Todos",'Plan mensual'!G40,0))+parametros_carros!$F$32*('Plan mensual'!G37+IF(parametros_carros!$H$32="Todos",'Plan mensual'!G41,0))+parametros_carros!$G$32*('Plan mensual'!G38+IF(parametros_carros!$H$32="Todos",'Plan mensual'!G42,0)))/60</f>
        <v>2.831625</v>
      </c>
      <c r="F75" s="9">
        <f>(parametros_carros!$D$32*('Plan mensual'!H35+IF(parametros_carros!$H$32="Todos",'Plan mensual'!H39,0))+parametros_carros!$E$32*('Plan mensual'!H36+IF(parametros_carros!$H$32="Todos",'Plan mensual'!H40,0))+parametros_carros!$F$32*('Plan mensual'!H37+IF(parametros_carros!$H$32="Todos",'Plan mensual'!H41,0))+parametros_carros!$G$32*('Plan mensual'!H38+IF(parametros_carros!$H$32="Todos",'Plan mensual'!H42,0)))/60</f>
        <v>2.831625</v>
      </c>
      <c r="G75" s="9">
        <f>(parametros_carros!$D$32*('Plan mensual'!I35+IF(parametros_carros!$H$32="Todos",'Plan mensual'!I39,0))+parametros_carros!$E$32*('Plan mensual'!I36+IF(parametros_carros!$H$32="Todos",'Plan mensual'!I40,0))+parametros_carros!$F$32*('Plan mensual'!I37+IF(parametros_carros!$H$32="Todos",'Plan mensual'!I41,0))+parametros_carros!$G$32*('Plan mensual'!I38+IF(parametros_carros!$H$32="Todos",'Plan mensual'!I42,0)))/60</f>
        <v>2.517</v>
      </c>
      <c r="H75" s="9">
        <f>(parametros_carros!$D$32*('Plan mensual'!J35+IF(parametros_carros!$H$32="Todos",'Plan mensual'!J39,0))+parametros_carros!$E$32*('Plan mensual'!J36+IF(parametros_carros!$H$32="Todos",'Plan mensual'!J40,0))+parametros_carros!$F$32*('Plan mensual'!J37+IF(parametros_carros!$H$32="Todos",'Plan mensual'!J41,0))+parametros_carros!$G$32*('Plan mensual'!J38+IF(parametros_carros!$H$32="Todos",'Plan mensual'!J42,0)))/60</f>
        <v>2.831625</v>
      </c>
      <c r="I75" s="9">
        <f>(parametros_carros!$D$32*('Plan mensual'!K35+IF(parametros_carros!$H$32="Todos",'Plan mensual'!K39,0))+parametros_carros!$E$32*('Plan mensual'!K36+IF(parametros_carros!$H$32="Todos",'Plan mensual'!K40,0))+parametros_carros!$F$32*('Plan mensual'!K37+IF(parametros_carros!$H$32="Todos",'Plan mensual'!K41,0))+parametros_carros!$G$32*('Plan mensual'!K38+IF(parametros_carros!$H$32="Todos",'Plan mensual'!K42,0)))/60</f>
        <v>2.831625</v>
      </c>
      <c r="J75" s="9">
        <f>(parametros_carros!$D$32*('Plan mensual'!L35+IF(parametros_carros!$H$32="Todos",'Plan mensual'!L39,0))+parametros_carros!$E$32*('Plan mensual'!L36+IF(parametros_carros!$H$32="Todos",'Plan mensual'!L40,0))+parametros_carros!$F$32*('Plan mensual'!L37+IF(parametros_carros!$H$32="Todos",'Plan mensual'!L41,0))+parametros_carros!$G$32*('Plan mensual'!L38+IF(parametros_carros!$H$32="Todos",'Plan mensual'!L42,0)))/60</f>
        <v>2.6743125</v>
      </c>
      <c r="K75" s="9">
        <f>(parametros_carros!$D$32*('Plan mensual'!M35+IF(parametros_carros!$H$32="Todos",'Plan mensual'!M39,0))+parametros_carros!$E$32*('Plan mensual'!M36+IF(parametros_carros!$H$32="Todos",'Plan mensual'!M40,0))+parametros_carros!$F$32*('Plan mensual'!M37+IF(parametros_carros!$H$32="Todos",'Plan mensual'!M41,0))+parametros_carros!$G$32*('Plan mensual'!M38+IF(parametros_carros!$H$32="Todos",'Plan mensual'!M42,0)))/60</f>
        <v>2.3596875</v>
      </c>
      <c r="L75" s="9">
        <f>(parametros_carros!$D$32*('Plan mensual'!N35+IF(parametros_carros!$H$32="Todos",'Plan mensual'!N39,0))+parametros_carros!$E$32*('Plan mensual'!N36+IF(parametros_carros!$H$32="Todos",'Plan mensual'!N40,0))+parametros_carros!$F$32*('Plan mensual'!N37+IF(parametros_carros!$H$32="Todos",'Plan mensual'!N41,0))+parametros_carros!$G$32*('Plan mensual'!N38+IF(parametros_carros!$H$32="Todos",'Plan mensual'!N42,0)))/60</f>
        <v>2.202375</v>
      </c>
      <c r="M75" s="9">
        <f>(parametros_carros!$D$32*('Plan mensual'!O35+IF(parametros_carros!$H$32="Todos",'Plan mensual'!O39,0))+parametros_carros!$E$32*('Plan mensual'!O36+IF(parametros_carros!$H$32="Todos",'Plan mensual'!O40,0))+parametros_carros!$F$32*('Plan mensual'!O37+IF(parametros_carros!$H$32="Todos",'Plan mensual'!O41,0))+parametros_carros!$G$32*('Plan mensual'!O38+IF(parametros_carros!$H$32="Todos",'Plan mensual'!O42,0)))/60</f>
        <v>2.517</v>
      </c>
      <c r="N75" s="9">
        <f t="shared" si="10"/>
        <v>31.4625</v>
      </c>
      <c r="O75" s="9">
        <f t="shared" si="11"/>
        <v>2.831625</v>
      </c>
      <c r="P75" s="32">
        <f>IF(parametros_carros!$B$7=0,0,(O75+parametros_carros!$G$58)/parametros_carros!$B$7)</f>
        <v>0.02776638889</v>
      </c>
      <c r="Q75" s="21" t="str">
        <f t="shared" si="12"/>
        <v>Mar</v>
      </c>
    </row>
    <row r="76" ht="14.25" customHeight="1">
      <c r="A76" s="2" t="str">
        <f>parametros_carros!$B$33</f>
        <v>Carga de polvo y presurización</v>
      </c>
      <c r="B76" s="9">
        <f>(parametros_carros!$D$33*('Plan mensual'!D35+IF(parametros_carros!$H$33="Todos",'Plan mensual'!D39,0))+parametros_carros!$E$33*('Plan mensual'!D36+IF(parametros_carros!$H$33="Todos",'Plan mensual'!D40,0))+parametros_carros!$F$33*('Plan mensual'!D37+IF(parametros_carros!$H$33="Todos",'Plan mensual'!D41,0))+parametros_carros!$G$33*('Plan mensual'!D38+IF(parametros_carros!$H$33="Todos",'Plan mensual'!D42,0)))/60</f>
        <v>6.46085</v>
      </c>
      <c r="C76" s="9">
        <f>(parametros_carros!$D$33*('Plan mensual'!E35+IF(parametros_carros!$H$33="Todos",'Plan mensual'!E39,0))+parametros_carros!$E$33*('Plan mensual'!E36+IF(parametros_carros!$H$33="Todos",'Plan mensual'!E40,0))+parametros_carros!$F$33*('Plan mensual'!E37+IF(parametros_carros!$H$33="Todos",'Plan mensual'!E41,0))+parametros_carros!$G$33*('Plan mensual'!E38+IF(parametros_carros!$H$33="Todos",'Plan mensual'!E42,0)))/60</f>
        <v>5.70075</v>
      </c>
      <c r="D76" s="9">
        <f>(parametros_carros!$D$33*('Plan mensual'!F35+IF(parametros_carros!$H$33="Todos",'Plan mensual'!F39,0))+parametros_carros!$E$33*('Plan mensual'!F36+IF(parametros_carros!$H$33="Todos",'Plan mensual'!F40,0))+parametros_carros!$F$33*('Plan mensual'!F37+IF(parametros_carros!$H$33="Todos",'Plan mensual'!F41,0))+parametros_carros!$G$33*('Plan mensual'!F38+IF(parametros_carros!$H$33="Todos",'Plan mensual'!F42,0)))/60</f>
        <v>6.8409</v>
      </c>
      <c r="E76" s="9">
        <f>(parametros_carros!$D$33*('Plan mensual'!G35+IF(parametros_carros!$H$33="Todos",'Plan mensual'!G39,0))+parametros_carros!$E$33*('Plan mensual'!G36+IF(parametros_carros!$H$33="Todos",'Plan mensual'!G40,0))+parametros_carros!$F$33*('Plan mensual'!G37+IF(parametros_carros!$H$33="Todos",'Plan mensual'!G41,0))+parametros_carros!$G$33*('Plan mensual'!G38+IF(parametros_carros!$H$33="Todos",'Plan mensual'!G42,0)))/60</f>
        <v>6.8409</v>
      </c>
      <c r="F76" s="9">
        <f>(parametros_carros!$D$33*('Plan mensual'!H35+IF(parametros_carros!$H$33="Todos",'Plan mensual'!H39,0))+parametros_carros!$E$33*('Plan mensual'!H36+IF(parametros_carros!$H$33="Todos",'Plan mensual'!H40,0))+parametros_carros!$F$33*('Plan mensual'!H37+IF(parametros_carros!$H$33="Todos",'Plan mensual'!H41,0))+parametros_carros!$G$33*('Plan mensual'!H38+IF(parametros_carros!$H$33="Todos",'Plan mensual'!H42,0)))/60</f>
        <v>6.8409</v>
      </c>
      <c r="G76" s="9">
        <f>(parametros_carros!$D$33*('Plan mensual'!I35+IF(parametros_carros!$H$33="Todos",'Plan mensual'!I39,0))+parametros_carros!$E$33*('Plan mensual'!I36+IF(parametros_carros!$H$33="Todos",'Plan mensual'!I40,0))+parametros_carros!$F$33*('Plan mensual'!I37+IF(parametros_carros!$H$33="Todos",'Plan mensual'!I41,0))+parametros_carros!$G$33*('Plan mensual'!I38+IF(parametros_carros!$H$33="Todos",'Plan mensual'!I42,0)))/60</f>
        <v>6.0808</v>
      </c>
      <c r="H76" s="9">
        <f>(parametros_carros!$D$33*('Plan mensual'!J35+IF(parametros_carros!$H$33="Todos",'Plan mensual'!J39,0))+parametros_carros!$E$33*('Plan mensual'!J36+IF(parametros_carros!$H$33="Todos",'Plan mensual'!J40,0))+parametros_carros!$F$33*('Plan mensual'!J37+IF(parametros_carros!$H$33="Todos",'Plan mensual'!J41,0))+parametros_carros!$G$33*('Plan mensual'!J38+IF(parametros_carros!$H$33="Todos",'Plan mensual'!J42,0)))/60</f>
        <v>6.8409</v>
      </c>
      <c r="I76" s="9">
        <f>(parametros_carros!$D$33*('Plan mensual'!K35+IF(parametros_carros!$H$33="Todos",'Plan mensual'!K39,0))+parametros_carros!$E$33*('Plan mensual'!K36+IF(parametros_carros!$H$33="Todos",'Plan mensual'!K40,0))+parametros_carros!$F$33*('Plan mensual'!K37+IF(parametros_carros!$H$33="Todos",'Plan mensual'!K41,0))+parametros_carros!$G$33*('Plan mensual'!K38+IF(parametros_carros!$H$33="Todos",'Plan mensual'!K42,0)))/60</f>
        <v>6.8409</v>
      </c>
      <c r="J76" s="9">
        <f>(parametros_carros!$D$33*('Plan mensual'!L35+IF(parametros_carros!$H$33="Todos",'Plan mensual'!L39,0))+parametros_carros!$E$33*('Plan mensual'!L36+IF(parametros_carros!$H$33="Todos",'Plan mensual'!L40,0))+parametros_carros!$F$33*('Plan mensual'!L37+IF(parametros_carros!$H$33="Todos",'Plan mensual'!L41,0))+parametros_carros!$G$33*('Plan mensual'!L38+IF(parametros_carros!$H$33="Todos",'Plan mensual'!L42,0)))/60</f>
        <v>6.46085</v>
      </c>
      <c r="K76" s="9">
        <f>(parametros_carros!$D$33*('Plan mensual'!M35+IF(parametros_carros!$H$33="Todos",'Plan mensual'!M39,0))+parametros_carros!$E$33*('Plan mensual'!M36+IF(parametros_carros!$H$33="Todos",'Plan mensual'!M40,0))+parametros_carros!$F$33*('Plan mensual'!M37+IF(parametros_carros!$H$33="Todos",'Plan mensual'!M41,0))+parametros_carros!$G$33*('Plan mensual'!M38+IF(parametros_carros!$H$33="Todos",'Plan mensual'!M42,0)))/60</f>
        <v>5.70075</v>
      </c>
      <c r="L76" s="9">
        <f>(parametros_carros!$D$33*('Plan mensual'!N35+IF(parametros_carros!$H$33="Todos",'Plan mensual'!N39,0))+parametros_carros!$E$33*('Plan mensual'!N36+IF(parametros_carros!$H$33="Todos",'Plan mensual'!N40,0))+parametros_carros!$F$33*('Plan mensual'!N37+IF(parametros_carros!$H$33="Todos",'Plan mensual'!N41,0))+parametros_carros!$G$33*('Plan mensual'!N38+IF(parametros_carros!$H$33="Todos",'Plan mensual'!N42,0)))/60</f>
        <v>5.3207</v>
      </c>
      <c r="M76" s="9">
        <f>(parametros_carros!$D$33*('Plan mensual'!O35+IF(parametros_carros!$H$33="Todos",'Plan mensual'!O39,0))+parametros_carros!$E$33*('Plan mensual'!O36+IF(parametros_carros!$H$33="Todos",'Plan mensual'!O40,0))+parametros_carros!$F$33*('Plan mensual'!O37+IF(parametros_carros!$H$33="Todos",'Plan mensual'!O41,0))+parametros_carros!$G$33*('Plan mensual'!O38+IF(parametros_carros!$H$33="Todos",'Plan mensual'!O42,0)))/60</f>
        <v>6.0808</v>
      </c>
      <c r="N76" s="9">
        <f t="shared" si="10"/>
        <v>76.01</v>
      </c>
      <c r="O76" s="9">
        <f t="shared" si="11"/>
        <v>6.8409</v>
      </c>
      <c r="P76" s="32">
        <f>IF(parametros_carros!$B$7=0,0,(O76+parametros_carros!$G$59)/parametros_carros!$B$7)</f>
        <v>0.1522726667</v>
      </c>
      <c r="Q76" s="21" t="str">
        <f t="shared" si="12"/>
        <v>Mar</v>
      </c>
    </row>
    <row r="77" ht="14.25" customHeight="1">
      <c r="A77" s="2" t="str">
        <f>parametros_carros!$B$34</f>
        <v>Montaje, manga, precinto y etiquetado</v>
      </c>
      <c r="B77" s="9">
        <f>(parametros_carros!$D$34*('Plan mensual'!D35+IF(parametros_carros!$H$34="Todos",'Plan mensual'!D39,0))+parametros_carros!$E$34*('Plan mensual'!D36+IF(parametros_carros!$H$34="Todos",'Plan mensual'!D40,0))+parametros_carros!$F$34*('Plan mensual'!D37+IF(parametros_carros!$H$34="Todos",'Plan mensual'!D41,0))+parametros_carros!$G$34*('Plan mensual'!D38+IF(parametros_carros!$H$34="Todos",'Plan mensual'!D42,0)))/60</f>
        <v>3.601025</v>
      </c>
      <c r="C77" s="9">
        <f>(parametros_carros!$D$34*('Plan mensual'!E35+IF(parametros_carros!$H$34="Todos",'Plan mensual'!E39,0))+parametros_carros!$E$34*('Plan mensual'!E36+IF(parametros_carros!$H$34="Todos",'Plan mensual'!E40,0))+parametros_carros!$F$34*('Plan mensual'!E37+IF(parametros_carros!$H$34="Todos",'Plan mensual'!E41,0))+parametros_carros!$G$34*('Plan mensual'!E38+IF(parametros_carros!$H$34="Todos",'Plan mensual'!E42,0)))/60</f>
        <v>3.177375</v>
      </c>
      <c r="D77" s="9">
        <f>(parametros_carros!$D$34*('Plan mensual'!F35+IF(parametros_carros!$H$34="Todos",'Plan mensual'!F39,0))+parametros_carros!$E$34*('Plan mensual'!F36+IF(parametros_carros!$H$34="Todos",'Plan mensual'!F40,0))+parametros_carros!$F$34*('Plan mensual'!F37+IF(parametros_carros!$H$34="Todos",'Plan mensual'!F41,0))+parametros_carros!$G$34*('Plan mensual'!F38+IF(parametros_carros!$H$34="Todos",'Plan mensual'!F42,0)))/60</f>
        <v>3.81285</v>
      </c>
      <c r="E77" s="9">
        <f>(parametros_carros!$D$34*('Plan mensual'!G35+IF(parametros_carros!$H$34="Todos",'Plan mensual'!G39,0))+parametros_carros!$E$34*('Plan mensual'!G36+IF(parametros_carros!$H$34="Todos",'Plan mensual'!G40,0))+parametros_carros!$F$34*('Plan mensual'!G37+IF(parametros_carros!$H$34="Todos",'Plan mensual'!G41,0))+parametros_carros!$G$34*('Plan mensual'!G38+IF(parametros_carros!$H$34="Todos",'Plan mensual'!G42,0)))/60</f>
        <v>3.81285</v>
      </c>
      <c r="F77" s="9">
        <f>(parametros_carros!$D$34*('Plan mensual'!H35+IF(parametros_carros!$H$34="Todos",'Plan mensual'!H39,0))+parametros_carros!$E$34*('Plan mensual'!H36+IF(parametros_carros!$H$34="Todos",'Plan mensual'!H40,0))+parametros_carros!$F$34*('Plan mensual'!H37+IF(parametros_carros!$H$34="Todos",'Plan mensual'!H41,0))+parametros_carros!$G$34*('Plan mensual'!H38+IF(parametros_carros!$H$34="Todos",'Plan mensual'!H42,0)))/60</f>
        <v>3.81285</v>
      </c>
      <c r="G77" s="9">
        <f>(parametros_carros!$D$34*('Plan mensual'!I35+IF(parametros_carros!$H$34="Todos",'Plan mensual'!I39,0))+parametros_carros!$E$34*('Plan mensual'!I36+IF(parametros_carros!$H$34="Todos",'Plan mensual'!I40,0))+parametros_carros!$F$34*('Plan mensual'!I37+IF(parametros_carros!$H$34="Todos",'Plan mensual'!I41,0))+parametros_carros!$G$34*('Plan mensual'!I38+IF(parametros_carros!$H$34="Todos",'Plan mensual'!I42,0)))/60</f>
        <v>3.3892</v>
      </c>
      <c r="H77" s="9">
        <f>(parametros_carros!$D$34*('Plan mensual'!J35+IF(parametros_carros!$H$34="Todos",'Plan mensual'!J39,0))+parametros_carros!$E$34*('Plan mensual'!J36+IF(parametros_carros!$H$34="Todos",'Plan mensual'!J40,0))+parametros_carros!$F$34*('Plan mensual'!J37+IF(parametros_carros!$H$34="Todos",'Plan mensual'!J41,0))+parametros_carros!$G$34*('Plan mensual'!J38+IF(parametros_carros!$H$34="Todos",'Plan mensual'!J42,0)))/60</f>
        <v>3.81285</v>
      </c>
      <c r="I77" s="9">
        <f>(parametros_carros!$D$34*('Plan mensual'!K35+IF(parametros_carros!$H$34="Todos",'Plan mensual'!K39,0))+parametros_carros!$E$34*('Plan mensual'!K36+IF(parametros_carros!$H$34="Todos",'Plan mensual'!K40,0))+parametros_carros!$F$34*('Plan mensual'!K37+IF(parametros_carros!$H$34="Todos",'Plan mensual'!K41,0))+parametros_carros!$G$34*('Plan mensual'!K38+IF(parametros_carros!$H$34="Todos",'Plan mensual'!K42,0)))/60</f>
        <v>3.81285</v>
      </c>
      <c r="J77" s="9">
        <f>(parametros_carros!$D$34*('Plan mensual'!L35+IF(parametros_carros!$H$34="Todos",'Plan mensual'!L39,0))+parametros_carros!$E$34*('Plan mensual'!L36+IF(parametros_carros!$H$34="Todos",'Plan mensual'!L40,0))+parametros_carros!$F$34*('Plan mensual'!L37+IF(parametros_carros!$H$34="Todos",'Plan mensual'!L41,0))+parametros_carros!$G$34*('Plan mensual'!L38+IF(parametros_carros!$H$34="Todos",'Plan mensual'!L42,0)))/60</f>
        <v>3.601025</v>
      </c>
      <c r="K77" s="9">
        <f>(parametros_carros!$D$34*('Plan mensual'!M35+IF(parametros_carros!$H$34="Todos",'Plan mensual'!M39,0))+parametros_carros!$E$34*('Plan mensual'!M36+IF(parametros_carros!$H$34="Todos",'Plan mensual'!M40,0))+parametros_carros!$F$34*('Plan mensual'!M37+IF(parametros_carros!$H$34="Todos",'Plan mensual'!M41,0))+parametros_carros!$G$34*('Plan mensual'!M38+IF(parametros_carros!$H$34="Todos",'Plan mensual'!M42,0)))/60</f>
        <v>3.177375</v>
      </c>
      <c r="L77" s="9">
        <f>(parametros_carros!$D$34*('Plan mensual'!N35+IF(parametros_carros!$H$34="Todos",'Plan mensual'!N39,0))+parametros_carros!$E$34*('Plan mensual'!N36+IF(parametros_carros!$H$34="Todos",'Plan mensual'!N40,0))+parametros_carros!$F$34*('Plan mensual'!N37+IF(parametros_carros!$H$34="Todos",'Plan mensual'!N41,0))+parametros_carros!$G$34*('Plan mensual'!N38+IF(parametros_carros!$H$34="Todos",'Plan mensual'!N42,0)))/60</f>
        <v>2.96555</v>
      </c>
      <c r="M77" s="9">
        <f>(parametros_carros!$D$34*('Plan mensual'!O35+IF(parametros_carros!$H$34="Todos",'Plan mensual'!O39,0))+parametros_carros!$E$34*('Plan mensual'!O36+IF(parametros_carros!$H$34="Todos",'Plan mensual'!O40,0))+parametros_carros!$F$34*('Plan mensual'!O37+IF(parametros_carros!$H$34="Todos",'Plan mensual'!O41,0))+parametros_carros!$G$34*('Plan mensual'!O38+IF(parametros_carros!$H$34="Todos",'Plan mensual'!O42,0)))/60</f>
        <v>3.3892</v>
      </c>
      <c r="N77" s="9">
        <f t="shared" si="10"/>
        <v>42.365</v>
      </c>
      <c r="O77" s="9">
        <f t="shared" si="11"/>
        <v>3.81285</v>
      </c>
      <c r="P77" s="32">
        <f>IF(parametros_carros!$B$7=0,0,(O77+parametros_carros!$G$60)/parametros_carros!$B$7)</f>
        <v>0.07208566667</v>
      </c>
      <c r="Q77" s="21" t="str">
        <f t="shared" si="12"/>
        <v>Mar</v>
      </c>
    </row>
    <row r="78" ht="14.25" customHeight="1">
      <c r="A78" s="2" t="str">
        <f>parametros_carros!$B$35</f>
        <v>Calidad: pérdidas, inspección final, liberación y ensayos de lote</v>
      </c>
      <c r="B78" s="9">
        <f>(parametros_carros!$D$35*('Plan mensual'!D35+IF(parametros_carros!$H$35="Todos",'Plan mensual'!D39,0))+parametros_carros!$E$35*('Plan mensual'!D36+IF(parametros_carros!$H$35="Todos",'Plan mensual'!D40,0))+parametros_carros!$F$35*('Plan mensual'!D37+IF(parametros_carros!$H$35="Todos",'Plan mensual'!D41,0))+parametros_carros!$G$35*('Plan mensual'!D38+IF(parametros_carros!$H$35="Todos",'Plan mensual'!D42,0)))/60</f>
        <v>2.727905</v>
      </c>
      <c r="C78" s="9">
        <f>(parametros_carros!$D$35*('Plan mensual'!E35+IF(parametros_carros!$H$35="Todos",'Plan mensual'!E39,0))+parametros_carros!$E$35*('Plan mensual'!E36+IF(parametros_carros!$H$35="Todos",'Plan mensual'!E40,0))+parametros_carros!$F$35*('Plan mensual'!E37+IF(parametros_carros!$H$35="Todos",'Plan mensual'!E41,0))+parametros_carros!$G$35*('Plan mensual'!E38+IF(parametros_carros!$H$35="Todos",'Plan mensual'!E42,0)))/60</f>
        <v>2.406975</v>
      </c>
      <c r="D78" s="9">
        <f>(parametros_carros!$D$35*('Plan mensual'!F35+IF(parametros_carros!$H$35="Todos",'Plan mensual'!F39,0))+parametros_carros!$E$35*('Plan mensual'!F36+IF(parametros_carros!$H$35="Todos",'Plan mensual'!F40,0))+parametros_carros!$F$35*('Plan mensual'!F37+IF(parametros_carros!$H$35="Todos",'Plan mensual'!F41,0))+parametros_carros!$G$35*('Plan mensual'!F38+IF(parametros_carros!$H$35="Todos",'Plan mensual'!F42,0)))/60</f>
        <v>2.88837</v>
      </c>
      <c r="E78" s="9">
        <f>(parametros_carros!$D$35*('Plan mensual'!G35+IF(parametros_carros!$H$35="Todos",'Plan mensual'!G39,0))+parametros_carros!$E$35*('Plan mensual'!G36+IF(parametros_carros!$H$35="Todos",'Plan mensual'!G40,0))+parametros_carros!$F$35*('Plan mensual'!G37+IF(parametros_carros!$H$35="Todos",'Plan mensual'!G41,0))+parametros_carros!$G$35*('Plan mensual'!G38+IF(parametros_carros!$H$35="Todos",'Plan mensual'!G42,0)))/60</f>
        <v>2.88837</v>
      </c>
      <c r="F78" s="9">
        <f>(parametros_carros!$D$35*('Plan mensual'!H35+IF(parametros_carros!$H$35="Todos",'Plan mensual'!H39,0))+parametros_carros!$E$35*('Plan mensual'!H36+IF(parametros_carros!$H$35="Todos",'Plan mensual'!H40,0))+parametros_carros!$F$35*('Plan mensual'!H37+IF(parametros_carros!$H$35="Todos",'Plan mensual'!H41,0))+parametros_carros!$G$35*('Plan mensual'!H38+IF(parametros_carros!$H$35="Todos",'Plan mensual'!H42,0)))/60</f>
        <v>2.88837</v>
      </c>
      <c r="G78" s="9">
        <f>(parametros_carros!$D$35*('Plan mensual'!I35+IF(parametros_carros!$H$35="Todos",'Plan mensual'!I39,0))+parametros_carros!$E$35*('Plan mensual'!I36+IF(parametros_carros!$H$35="Todos",'Plan mensual'!I40,0))+parametros_carros!$F$35*('Plan mensual'!I37+IF(parametros_carros!$H$35="Todos",'Plan mensual'!I41,0))+parametros_carros!$G$35*('Plan mensual'!I38+IF(parametros_carros!$H$35="Todos",'Plan mensual'!I42,0)))/60</f>
        <v>2.56744</v>
      </c>
      <c r="H78" s="9">
        <f>(parametros_carros!$D$35*('Plan mensual'!J35+IF(parametros_carros!$H$35="Todos",'Plan mensual'!J39,0))+parametros_carros!$E$35*('Plan mensual'!J36+IF(parametros_carros!$H$35="Todos",'Plan mensual'!J40,0))+parametros_carros!$F$35*('Plan mensual'!J37+IF(parametros_carros!$H$35="Todos",'Plan mensual'!J41,0))+parametros_carros!$G$35*('Plan mensual'!J38+IF(parametros_carros!$H$35="Todos",'Plan mensual'!J42,0)))/60</f>
        <v>2.88837</v>
      </c>
      <c r="I78" s="9">
        <f>(parametros_carros!$D$35*('Plan mensual'!K35+IF(parametros_carros!$H$35="Todos",'Plan mensual'!K39,0))+parametros_carros!$E$35*('Plan mensual'!K36+IF(parametros_carros!$H$35="Todos",'Plan mensual'!K40,0))+parametros_carros!$F$35*('Plan mensual'!K37+IF(parametros_carros!$H$35="Todos",'Plan mensual'!K41,0))+parametros_carros!$G$35*('Plan mensual'!K38+IF(parametros_carros!$H$35="Todos",'Plan mensual'!K42,0)))/60</f>
        <v>2.88837</v>
      </c>
      <c r="J78" s="9">
        <f>(parametros_carros!$D$35*('Plan mensual'!L35+IF(parametros_carros!$H$35="Todos",'Plan mensual'!L39,0))+parametros_carros!$E$35*('Plan mensual'!L36+IF(parametros_carros!$H$35="Todos",'Plan mensual'!L40,0))+parametros_carros!$F$35*('Plan mensual'!L37+IF(parametros_carros!$H$35="Todos",'Plan mensual'!L41,0))+parametros_carros!$G$35*('Plan mensual'!L38+IF(parametros_carros!$H$35="Todos",'Plan mensual'!L42,0)))/60</f>
        <v>2.727905</v>
      </c>
      <c r="K78" s="9">
        <f>(parametros_carros!$D$35*('Plan mensual'!M35+IF(parametros_carros!$H$35="Todos",'Plan mensual'!M39,0))+parametros_carros!$E$35*('Plan mensual'!M36+IF(parametros_carros!$H$35="Todos",'Plan mensual'!M40,0))+parametros_carros!$F$35*('Plan mensual'!M37+IF(parametros_carros!$H$35="Todos",'Plan mensual'!M41,0))+parametros_carros!$G$35*('Plan mensual'!M38+IF(parametros_carros!$H$35="Todos",'Plan mensual'!M42,0)))/60</f>
        <v>2.406975</v>
      </c>
      <c r="L78" s="9">
        <f>(parametros_carros!$D$35*('Plan mensual'!N35+IF(parametros_carros!$H$35="Todos",'Plan mensual'!N39,0))+parametros_carros!$E$35*('Plan mensual'!N36+IF(parametros_carros!$H$35="Todos",'Plan mensual'!N40,0))+parametros_carros!$F$35*('Plan mensual'!N37+IF(parametros_carros!$H$35="Todos",'Plan mensual'!N41,0))+parametros_carros!$G$35*('Plan mensual'!N38+IF(parametros_carros!$H$35="Todos",'Plan mensual'!N42,0)))/60</f>
        <v>2.24651</v>
      </c>
      <c r="M78" s="9">
        <f>(parametros_carros!$D$35*('Plan mensual'!O35+IF(parametros_carros!$H$35="Todos",'Plan mensual'!O39,0))+parametros_carros!$E$35*('Plan mensual'!O36+IF(parametros_carros!$H$35="Todos",'Plan mensual'!O40,0))+parametros_carros!$F$35*('Plan mensual'!O37+IF(parametros_carros!$H$35="Todos",'Plan mensual'!O41,0))+parametros_carros!$G$35*('Plan mensual'!O38+IF(parametros_carros!$H$35="Todos",'Plan mensual'!O42,0)))/60</f>
        <v>2.56744</v>
      </c>
      <c r="N78" s="9">
        <f t="shared" si="10"/>
        <v>32.093</v>
      </c>
      <c r="O78" s="9">
        <f t="shared" si="11"/>
        <v>2.88837</v>
      </c>
      <c r="P78" s="32">
        <f>IF(parametros_carros!$B$7=0,0,(O78+parametros_carros!$G$61)/parametros_carros!$B$7)</f>
        <v>0.3894780222</v>
      </c>
      <c r="Q78" s="21" t="str">
        <f t="shared" si="12"/>
        <v>Mar</v>
      </c>
    </row>
    <row r="79" ht="14.25" customHeight="1">
      <c r="A79" s="2" t="str">
        <f>parametros_carros!$B$36</f>
        <v>Depósito de producto terminado y despacho</v>
      </c>
      <c r="B79" s="9">
        <f>(parametros_carros!$D$36*('Plan mensual'!D35+IF(parametros_carros!$H$36="Todos",'Plan mensual'!D39,0))+parametros_carros!$E$36*('Plan mensual'!D36+IF(parametros_carros!$H$36="Todos",'Plan mensual'!D40,0))+parametros_carros!$F$36*('Plan mensual'!D37+IF(parametros_carros!$H$36="Todos",'Plan mensual'!D41,0))+parametros_carros!$G$36*('Plan mensual'!D38+IF(parametros_carros!$H$36="Todos",'Plan mensual'!D42,0)))/60</f>
        <v>1.162233333</v>
      </c>
      <c r="C79" s="9">
        <f>(parametros_carros!$D$36*('Plan mensual'!E35+IF(parametros_carros!$H$36="Todos",'Plan mensual'!E39,0))+parametros_carros!$E$36*('Plan mensual'!E36+IF(parametros_carros!$H$36="Todos",'Plan mensual'!E40,0))+parametros_carros!$F$36*('Plan mensual'!E37+IF(parametros_carros!$H$36="Todos",'Plan mensual'!E41,0))+parametros_carros!$G$36*('Plan mensual'!E38+IF(parametros_carros!$H$36="Todos",'Plan mensual'!E42,0)))/60</f>
        <v>1.0255</v>
      </c>
      <c r="D79" s="9">
        <f>(parametros_carros!$D$36*('Plan mensual'!F35+IF(parametros_carros!$H$36="Todos",'Plan mensual'!F39,0))+parametros_carros!$E$36*('Plan mensual'!F36+IF(parametros_carros!$H$36="Todos",'Plan mensual'!F40,0))+parametros_carros!$F$36*('Plan mensual'!F37+IF(parametros_carros!$H$36="Todos",'Plan mensual'!F41,0))+parametros_carros!$G$36*('Plan mensual'!F38+IF(parametros_carros!$H$36="Todos",'Plan mensual'!F42,0)))/60</f>
        <v>1.2306</v>
      </c>
      <c r="E79" s="9">
        <f>(parametros_carros!$D$36*('Plan mensual'!G35+IF(parametros_carros!$H$36="Todos",'Plan mensual'!G39,0))+parametros_carros!$E$36*('Plan mensual'!G36+IF(parametros_carros!$H$36="Todos",'Plan mensual'!G40,0))+parametros_carros!$F$36*('Plan mensual'!G37+IF(parametros_carros!$H$36="Todos",'Plan mensual'!G41,0))+parametros_carros!$G$36*('Plan mensual'!G38+IF(parametros_carros!$H$36="Todos",'Plan mensual'!G42,0)))/60</f>
        <v>1.2306</v>
      </c>
      <c r="F79" s="9">
        <f>(parametros_carros!$D$36*('Plan mensual'!H35+IF(parametros_carros!$H$36="Todos",'Plan mensual'!H39,0))+parametros_carros!$E$36*('Plan mensual'!H36+IF(parametros_carros!$H$36="Todos",'Plan mensual'!H40,0))+parametros_carros!$F$36*('Plan mensual'!H37+IF(parametros_carros!$H$36="Todos",'Plan mensual'!H41,0))+parametros_carros!$G$36*('Plan mensual'!H38+IF(parametros_carros!$H$36="Todos",'Plan mensual'!H42,0)))/60</f>
        <v>1.2306</v>
      </c>
      <c r="G79" s="9">
        <f>(parametros_carros!$D$36*('Plan mensual'!I35+IF(parametros_carros!$H$36="Todos",'Plan mensual'!I39,0))+parametros_carros!$E$36*('Plan mensual'!I36+IF(parametros_carros!$H$36="Todos",'Plan mensual'!I40,0))+parametros_carros!$F$36*('Plan mensual'!I37+IF(parametros_carros!$H$36="Todos",'Plan mensual'!I41,0))+parametros_carros!$G$36*('Plan mensual'!I38+IF(parametros_carros!$H$36="Todos",'Plan mensual'!I42,0)))/60</f>
        <v>1.093866667</v>
      </c>
      <c r="H79" s="9">
        <f>(parametros_carros!$D$36*('Plan mensual'!J35+IF(parametros_carros!$H$36="Todos",'Plan mensual'!J39,0))+parametros_carros!$E$36*('Plan mensual'!J36+IF(parametros_carros!$H$36="Todos",'Plan mensual'!J40,0))+parametros_carros!$F$36*('Plan mensual'!J37+IF(parametros_carros!$H$36="Todos",'Plan mensual'!J41,0))+parametros_carros!$G$36*('Plan mensual'!J38+IF(parametros_carros!$H$36="Todos",'Plan mensual'!J42,0)))/60</f>
        <v>1.2306</v>
      </c>
      <c r="I79" s="9">
        <f>(parametros_carros!$D$36*('Plan mensual'!K35+IF(parametros_carros!$H$36="Todos",'Plan mensual'!K39,0))+parametros_carros!$E$36*('Plan mensual'!K36+IF(parametros_carros!$H$36="Todos",'Plan mensual'!K40,0))+parametros_carros!$F$36*('Plan mensual'!K37+IF(parametros_carros!$H$36="Todos",'Plan mensual'!K41,0))+parametros_carros!$G$36*('Plan mensual'!K38+IF(parametros_carros!$H$36="Todos",'Plan mensual'!K42,0)))/60</f>
        <v>1.2306</v>
      </c>
      <c r="J79" s="9">
        <f>(parametros_carros!$D$36*('Plan mensual'!L35+IF(parametros_carros!$H$36="Todos",'Plan mensual'!L39,0))+parametros_carros!$E$36*('Plan mensual'!L36+IF(parametros_carros!$H$36="Todos",'Plan mensual'!L40,0))+parametros_carros!$F$36*('Plan mensual'!L37+IF(parametros_carros!$H$36="Todos",'Plan mensual'!L41,0))+parametros_carros!$G$36*('Plan mensual'!L38+IF(parametros_carros!$H$36="Todos",'Plan mensual'!L42,0)))/60</f>
        <v>1.162233333</v>
      </c>
      <c r="K79" s="9">
        <f>(parametros_carros!$D$36*('Plan mensual'!M35+IF(parametros_carros!$H$36="Todos",'Plan mensual'!M39,0))+parametros_carros!$E$36*('Plan mensual'!M36+IF(parametros_carros!$H$36="Todos",'Plan mensual'!M40,0))+parametros_carros!$F$36*('Plan mensual'!M37+IF(parametros_carros!$H$36="Todos",'Plan mensual'!M41,0))+parametros_carros!$G$36*('Plan mensual'!M38+IF(parametros_carros!$H$36="Todos",'Plan mensual'!M42,0)))/60</f>
        <v>1.0255</v>
      </c>
      <c r="L79" s="9">
        <f>(parametros_carros!$D$36*('Plan mensual'!N35+IF(parametros_carros!$H$36="Todos",'Plan mensual'!N39,0))+parametros_carros!$E$36*('Plan mensual'!N36+IF(parametros_carros!$H$36="Todos",'Plan mensual'!N40,0))+parametros_carros!$F$36*('Plan mensual'!N37+IF(parametros_carros!$H$36="Todos",'Plan mensual'!N41,0))+parametros_carros!$G$36*('Plan mensual'!N38+IF(parametros_carros!$H$36="Todos",'Plan mensual'!N42,0)))/60</f>
        <v>0.9571333333</v>
      </c>
      <c r="M79" s="9">
        <f>(parametros_carros!$D$36*('Plan mensual'!O35+IF(parametros_carros!$H$36="Todos",'Plan mensual'!O39,0))+parametros_carros!$E$36*('Plan mensual'!O36+IF(parametros_carros!$H$36="Todos",'Plan mensual'!O40,0))+parametros_carros!$F$36*('Plan mensual'!O37+IF(parametros_carros!$H$36="Todos",'Plan mensual'!O41,0))+parametros_carros!$G$36*('Plan mensual'!O38+IF(parametros_carros!$H$36="Todos",'Plan mensual'!O42,0)))/60</f>
        <v>1.093866667</v>
      </c>
      <c r="N79" s="9">
        <f t="shared" si="10"/>
        <v>13.67333333</v>
      </c>
      <c r="O79" s="9">
        <f t="shared" si="11"/>
        <v>1.2306</v>
      </c>
      <c r="P79" s="32">
        <f>IF(parametros_carros!$B$7=0,0,(O79+parametros_carros!$G$62)/parametros_carros!$B$7)</f>
        <v>0.03042622222</v>
      </c>
      <c r="Q79" s="21" t="str">
        <f t="shared" si="12"/>
        <v>Mar</v>
      </c>
    </row>
    <row r="80" ht="14.25" customHeight="1"/>
    <row r="81" ht="45.0" customHeight="1">
      <c r="A81" s="1" t="s">
        <v>456</v>
      </c>
      <c r="B81" s="1" t="s">
        <v>8</v>
      </c>
      <c r="C81" s="1" t="s">
        <v>9</v>
      </c>
      <c r="D81" s="1" t="s">
        <v>11</v>
      </c>
      <c r="E81" s="1" t="s">
        <v>13</v>
      </c>
      <c r="F81" s="1" t="s">
        <v>14</v>
      </c>
      <c r="G81" s="1" t="s">
        <v>15</v>
      </c>
      <c r="H81" s="1" t="s">
        <v>16</v>
      </c>
      <c r="I81" s="1" t="s">
        <v>18</v>
      </c>
      <c r="J81" s="1" t="s">
        <v>19</v>
      </c>
      <c r="K81" s="1" t="s">
        <v>20</v>
      </c>
      <c r="L81" s="1" t="s">
        <v>21</v>
      </c>
      <c r="M81" s="1" t="s">
        <v>22</v>
      </c>
      <c r="N81" s="1" t="s">
        <v>32</v>
      </c>
      <c r="O81" s="1" t="s">
        <v>33</v>
      </c>
      <c r="P81" s="1" t="s">
        <v>34</v>
      </c>
      <c r="Q81" s="1" t="s">
        <v>36</v>
      </c>
    </row>
    <row r="82" ht="14.25" customHeight="1">
      <c r="A82" s="2" t="str">
        <f>parametros_carros!$B$19</f>
        <v>Recepción de materia prima</v>
      </c>
      <c r="B82" s="9">
        <f>(parametros_carros!$D$19*('Plan mensual'!D46+IF(parametros_carros!$H$19="Todos",'Plan mensual'!D50,0))+parametros_carros!$E$19*('Plan mensual'!D47+IF(parametros_carros!$H$19="Todos",'Plan mensual'!D51,0))+parametros_carros!$F$19*('Plan mensual'!D48+IF(parametros_carros!$H$19="Todos",'Plan mensual'!D52,0))+parametros_carros!$G$19*('Plan mensual'!D49+IF(parametros_carros!$H$19="Todos",'Plan mensual'!D53,0)))/60</f>
        <v>2.5151075</v>
      </c>
      <c r="C82" s="9">
        <f>(parametros_carros!$D$19*('Plan mensual'!E46+IF(parametros_carros!$H$19="Todos",'Plan mensual'!E50,0))+parametros_carros!$E$19*('Plan mensual'!E47+IF(parametros_carros!$H$19="Todos",'Plan mensual'!E51,0))+parametros_carros!$F$19*('Plan mensual'!E48+IF(parametros_carros!$H$19="Todos",'Plan mensual'!E52,0))+parametros_carros!$G$19*('Plan mensual'!E49+IF(parametros_carros!$H$19="Todos",'Plan mensual'!E53,0)))/60</f>
        <v>2.2192125</v>
      </c>
      <c r="D82" s="9">
        <f>(parametros_carros!$D$19*('Plan mensual'!F46+IF(parametros_carros!$H$19="Todos",'Plan mensual'!F50,0))+parametros_carros!$E$19*('Plan mensual'!F47+IF(parametros_carros!$H$19="Todos",'Plan mensual'!F51,0))+parametros_carros!$F$19*('Plan mensual'!F48+IF(parametros_carros!$H$19="Todos",'Plan mensual'!F52,0))+parametros_carros!$G$19*('Plan mensual'!F49+IF(parametros_carros!$H$19="Todos",'Plan mensual'!F53,0)))/60</f>
        <v>2.663055</v>
      </c>
      <c r="E82" s="9">
        <f>(parametros_carros!$D$19*('Plan mensual'!G46+IF(parametros_carros!$H$19="Todos",'Plan mensual'!G50,0))+parametros_carros!$E$19*('Plan mensual'!G47+IF(parametros_carros!$H$19="Todos",'Plan mensual'!G51,0))+parametros_carros!$F$19*('Plan mensual'!G48+IF(parametros_carros!$H$19="Todos",'Plan mensual'!G52,0))+parametros_carros!$G$19*('Plan mensual'!G49+IF(parametros_carros!$H$19="Todos",'Plan mensual'!G53,0)))/60</f>
        <v>2.663055</v>
      </c>
      <c r="F82" s="9">
        <f>(parametros_carros!$D$19*('Plan mensual'!H46+IF(parametros_carros!$H$19="Todos",'Plan mensual'!H50,0))+parametros_carros!$E$19*('Plan mensual'!H47+IF(parametros_carros!$H$19="Todos",'Plan mensual'!H51,0))+parametros_carros!$F$19*('Plan mensual'!H48+IF(parametros_carros!$H$19="Todos",'Plan mensual'!H52,0))+parametros_carros!$G$19*('Plan mensual'!H49+IF(parametros_carros!$H$19="Todos",'Plan mensual'!H53,0)))/60</f>
        <v>2.663055</v>
      </c>
      <c r="G82" s="9">
        <f>(parametros_carros!$D$19*('Plan mensual'!I46+IF(parametros_carros!$H$19="Todos",'Plan mensual'!I50,0))+parametros_carros!$E$19*('Plan mensual'!I47+IF(parametros_carros!$H$19="Todos",'Plan mensual'!I51,0))+parametros_carros!$F$19*('Plan mensual'!I48+IF(parametros_carros!$H$19="Todos",'Plan mensual'!I52,0))+parametros_carros!$G$19*('Plan mensual'!I49+IF(parametros_carros!$H$19="Todos",'Plan mensual'!I53,0)))/60</f>
        <v>2.36716</v>
      </c>
      <c r="H82" s="9">
        <f>(parametros_carros!$D$19*('Plan mensual'!J46+IF(parametros_carros!$H$19="Todos",'Plan mensual'!J50,0))+parametros_carros!$E$19*('Plan mensual'!J47+IF(parametros_carros!$H$19="Todos",'Plan mensual'!J51,0))+parametros_carros!$F$19*('Plan mensual'!J48+IF(parametros_carros!$H$19="Todos",'Plan mensual'!J52,0))+parametros_carros!$G$19*('Plan mensual'!J49+IF(parametros_carros!$H$19="Todos",'Plan mensual'!J53,0)))/60</f>
        <v>2.663055</v>
      </c>
      <c r="I82" s="9">
        <f>(parametros_carros!$D$19*('Plan mensual'!K46+IF(parametros_carros!$H$19="Todos",'Plan mensual'!K50,0))+parametros_carros!$E$19*('Plan mensual'!K47+IF(parametros_carros!$H$19="Todos",'Plan mensual'!K51,0))+parametros_carros!$F$19*('Plan mensual'!K48+IF(parametros_carros!$H$19="Todos",'Plan mensual'!K52,0))+parametros_carros!$G$19*('Plan mensual'!K49+IF(parametros_carros!$H$19="Todos",'Plan mensual'!K53,0)))/60</f>
        <v>2.663055</v>
      </c>
      <c r="J82" s="9">
        <f>(parametros_carros!$D$19*('Plan mensual'!L46+IF(parametros_carros!$H$19="Todos",'Plan mensual'!L50,0))+parametros_carros!$E$19*('Plan mensual'!L47+IF(parametros_carros!$H$19="Todos",'Plan mensual'!L51,0))+parametros_carros!$F$19*('Plan mensual'!L48+IF(parametros_carros!$H$19="Todos",'Plan mensual'!L52,0))+parametros_carros!$G$19*('Plan mensual'!L49+IF(parametros_carros!$H$19="Todos",'Plan mensual'!L53,0)))/60</f>
        <v>2.5151075</v>
      </c>
      <c r="K82" s="9">
        <f>(parametros_carros!$D$19*('Plan mensual'!M46+IF(parametros_carros!$H$19="Todos",'Plan mensual'!M50,0))+parametros_carros!$E$19*('Plan mensual'!M47+IF(parametros_carros!$H$19="Todos",'Plan mensual'!M51,0))+parametros_carros!$F$19*('Plan mensual'!M48+IF(parametros_carros!$H$19="Todos",'Plan mensual'!M52,0))+parametros_carros!$G$19*('Plan mensual'!M49+IF(parametros_carros!$H$19="Todos",'Plan mensual'!M53,0)))/60</f>
        <v>2.2192125</v>
      </c>
      <c r="L82" s="9">
        <f>(parametros_carros!$D$19*('Plan mensual'!N46+IF(parametros_carros!$H$19="Todos",'Plan mensual'!N50,0))+parametros_carros!$E$19*('Plan mensual'!N47+IF(parametros_carros!$H$19="Todos",'Plan mensual'!N51,0))+parametros_carros!$F$19*('Plan mensual'!N48+IF(parametros_carros!$H$19="Todos",'Plan mensual'!N52,0))+parametros_carros!$G$19*('Plan mensual'!N49+IF(parametros_carros!$H$19="Todos",'Plan mensual'!N53,0)))/60</f>
        <v>2.071265</v>
      </c>
      <c r="M82" s="9">
        <f>(parametros_carros!$D$19*('Plan mensual'!O46+IF(parametros_carros!$H$19="Todos",'Plan mensual'!O50,0))+parametros_carros!$E$19*('Plan mensual'!O47+IF(parametros_carros!$H$19="Todos",'Plan mensual'!O51,0))+parametros_carros!$F$19*('Plan mensual'!O48+IF(parametros_carros!$H$19="Todos",'Plan mensual'!O52,0))+parametros_carros!$G$19*('Plan mensual'!O49+IF(parametros_carros!$H$19="Todos",'Plan mensual'!O53,0)))/60</f>
        <v>2.36716</v>
      </c>
      <c r="N82" s="9">
        <f t="shared" ref="N82:N99" si="13">SUM(B82:M82)</f>
        <v>29.5895</v>
      </c>
      <c r="O82" s="9">
        <f t="shared" ref="O82:O99" si="14">MAX(B82:M82)</f>
        <v>2.663055</v>
      </c>
      <c r="P82" s="32">
        <f>IF(parametros_carros!$B$7=0,0,(O82+parametros_carros!$G$45)/parametros_carros!$B$7)</f>
        <v>0.06586481111</v>
      </c>
      <c r="Q82" s="21" t="str">
        <f t="shared" ref="Q82:Q99" si="15">IF(O82=0,"-",INDEX($B$81:$M$81,MATCH(O82,B82:M82,0)))</f>
        <v>Mar</v>
      </c>
    </row>
    <row r="83" ht="14.25" customHeight="1">
      <c r="A83" s="2" t="str">
        <f>parametros_carros!$B$20</f>
        <v>Corte de chapa (guillotina)</v>
      </c>
      <c r="B83" s="9">
        <f>(parametros_carros!$D$20*('Plan mensual'!D46+IF(parametros_carros!$H$20="Todos",'Plan mensual'!D50,0))+parametros_carros!$E$20*('Plan mensual'!D47+IF(parametros_carros!$H$20="Todos",'Plan mensual'!D51,0))+parametros_carros!$F$20*('Plan mensual'!D48+IF(parametros_carros!$H$20="Todos",'Plan mensual'!D52,0))+parametros_carros!$G$20*('Plan mensual'!D49+IF(parametros_carros!$H$20="Todos",'Plan mensual'!D53,0)))/60</f>
        <v>5.526955103</v>
      </c>
      <c r="C83" s="9">
        <f>(parametros_carros!$D$20*('Plan mensual'!E46+IF(parametros_carros!$H$20="Todos",'Plan mensual'!E50,0))+parametros_carros!$E$20*('Plan mensual'!E47+IF(parametros_carros!$H$20="Todos",'Plan mensual'!E51,0))+parametros_carros!$F$20*('Plan mensual'!E48+IF(parametros_carros!$H$20="Todos",'Plan mensual'!E52,0))+parametros_carros!$G$20*('Plan mensual'!E49+IF(parametros_carros!$H$20="Todos",'Plan mensual'!E53,0)))/60</f>
        <v>4.876725091</v>
      </c>
      <c r="D83" s="9">
        <f>(parametros_carros!$D$20*('Plan mensual'!F46+IF(parametros_carros!$H$20="Todos",'Plan mensual'!F50,0))+parametros_carros!$E$20*('Plan mensual'!F47+IF(parametros_carros!$H$20="Todos",'Plan mensual'!F51,0))+parametros_carros!$F$20*('Plan mensual'!F48+IF(parametros_carros!$H$20="Todos",'Plan mensual'!F52,0))+parametros_carros!$G$20*('Plan mensual'!F49+IF(parametros_carros!$H$20="Todos",'Plan mensual'!F53,0)))/60</f>
        <v>5.852070109</v>
      </c>
      <c r="E83" s="9">
        <f>(parametros_carros!$D$20*('Plan mensual'!G46+IF(parametros_carros!$H$20="Todos",'Plan mensual'!G50,0))+parametros_carros!$E$20*('Plan mensual'!G47+IF(parametros_carros!$H$20="Todos",'Plan mensual'!G51,0))+parametros_carros!$F$20*('Plan mensual'!G48+IF(parametros_carros!$H$20="Todos",'Plan mensual'!G52,0))+parametros_carros!$G$20*('Plan mensual'!G49+IF(parametros_carros!$H$20="Todos",'Plan mensual'!G53,0)))/60</f>
        <v>5.852070109</v>
      </c>
      <c r="F83" s="9">
        <f>(parametros_carros!$D$20*('Plan mensual'!H46+IF(parametros_carros!$H$20="Todos",'Plan mensual'!H50,0))+parametros_carros!$E$20*('Plan mensual'!H47+IF(parametros_carros!$H$20="Todos",'Plan mensual'!H51,0))+parametros_carros!$F$20*('Plan mensual'!H48+IF(parametros_carros!$H$20="Todos",'Plan mensual'!H52,0))+parametros_carros!$G$20*('Plan mensual'!H49+IF(parametros_carros!$H$20="Todos",'Plan mensual'!H53,0)))/60</f>
        <v>5.852070109</v>
      </c>
      <c r="G83" s="9">
        <f>(parametros_carros!$D$20*('Plan mensual'!I46+IF(parametros_carros!$H$20="Todos",'Plan mensual'!I50,0))+parametros_carros!$E$20*('Plan mensual'!I47+IF(parametros_carros!$H$20="Todos",'Plan mensual'!I51,0))+parametros_carros!$F$20*('Plan mensual'!I48+IF(parametros_carros!$H$20="Todos",'Plan mensual'!I52,0))+parametros_carros!$G$20*('Plan mensual'!I49+IF(parametros_carros!$H$20="Todos",'Plan mensual'!I53,0)))/60</f>
        <v>5.201840097</v>
      </c>
      <c r="H83" s="9">
        <f>(parametros_carros!$D$20*('Plan mensual'!J46+IF(parametros_carros!$H$20="Todos",'Plan mensual'!J50,0))+parametros_carros!$E$20*('Plan mensual'!J47+IF(parametros_carros!$H$20="Todos",'Plan mensual'!J51,0))+parametros_carros!$F$20*('Plan mensual'!J48+IF(parametros_carros!$H$20="Todos",'Plan mensual'!J52,0))+parametros_carros!$G$20*('Plan mensual'!J49+IF(parametros_carros!$H$20="Todos",'Plan mensual'!J53,0)))/60</f>
        <v>5.852070109</v>
      </c>
      <c r="I83" s="9">
        <f>(parametros_carros!$D$20*('Plan mensual'!K46+IF(parametros_carros!$H$20="Todos",'Plan mensual'!K50,0))+parametros_carros!$E$20*('Plan mensual'!K47+IF(parametros_carros!$H$20="Todos",'Plan mensual'!K51,0))+parametros_carros!$F$20*('Plan mensual'!K48+IF(parametros_carros!$H$20="Todos",'Plan mensual'!K52,0))+parametros_carros!$G$20*('Plan mensual'!K49+IF(parametros_carros!$H$20="Todos",'Plan mensual'!K53,0)))/60</f>
        <v>5.852070109</v>
      </c>
      <c r="J83" s="9">
        <f>(parametros_carros!$D$20*('Plan mensual'!L46+IF(parametros_carros!$H$20="Todos",'Plan mensual'!L50,0))+parametros_carros!$E$20*('Plan mensual'!L47+IF(parametros_carros!$H$20="Todos",'Plan mensual'!L51,0))+parametros_carros!$F$20*('Plan mensual'!L48+IF(parametros_carros!$H$20="Todos",'Plan mensual'!L52,0))+parametros_carros!$G$20*('Plan mensual'!L49+IF(parametros_carros!$H$20="Todos",'Plan mensual'!L53,0)))/60</f>
        <v>5.526955103</v>
      </c>
      <c r="K83" s="9">
        <f>(parametros_carros!$D$20*('Plan mensual'!M46+IF(parametros_carros!$H$20="Todos",'Plan mensual'!M50,0))+parametros_carros!$E$20*('Plan mensual'!M47+IF(parametros_carros!$H$20="Todos",'Plan mensual'!M51,0))+parametros_carros!$F$20*('Plan mensual'!M48+IF(parametros_carros!$H$20="Todos",'Plan mensual'!M52,0))+parametros_carros!$G$20*('Plan mensual'!M49+IF(parametros_carros!$H$20="Todos",'Plan mensual'!M53,0)))/60</f>
        <v>4.876725091</v>
      </c>
      <c r="L83" s="9">
        <f>(parametros_carros!$D$20*('Plan mensual'!N46+IF(parametros_carros!$H$20="Todos",'Plan mensual'!N50,0))+parametros_carros!$E$20*('Plan mensual'!N47+IF(parametros_carros!$H$20="Todos",'Plan mensual'!N51,0))+parametros_carros!$F$20*('Plan mensual'!N48+IF(parametros_carros!$H$20="Todos",'Plan mensual'!N52,0))+parametros_carros!$G$20*('Plan mensual'!N49+IF(parametros_carros!$H$20="Todos",'Plan mensual'!N53,0)))/60</f>
        <v>4.551610085</v>
      </c>
      <c r="M83" s="9">
        <f>(parametros_carros!$D$20*('Plan mensual'!O46+IF(parametros_carros!$H$20="Todos",'Plan mensual'!O50,0))+parametros_carros!$E$20*('Plan mensual'!O47+IF(parametros_carros!$H$20="Todos",'Plan mensual'!O51,0))+parametros_carros!$F$20*('Plan mensual'!O48+IF(parametros_carros!$H$20="Todos",'Plan mensual'!O52,0))+parametros_carros!$G$20*('Plan mensual'!O49+IF(parametros_carros!$H$20="Todos",'Plan mensual'!O53,0)))/60</f>
        <v>5.201840097</v>
      </c>
      <c r="N83" s="9">
        <f t="shared" si="13"/>
        <v>65.02300121</v>
      </c>
      <c r="O83" s="9">
        <f t="shared" si="14"/>
        <v>5.852070109</v>
      </c>
      <c r="P83" s="32">
        <f>IF(parametros_carros!$B$7=0,0,(O83+parametros_carros!$G$46)/parametros_carros!$B$7)</f>
        <v>0.1012360229</v>
      </c>
      <c r="Q83" s="21" t="str">
        <f t="shared" si="15"/>
        <v>Mar</v>
      </c>
    </row>
    <row r="84" ht="14.25" customHeight="1">
      <c r="A84" s="2" t="str">
        <f>parametros_carros!$B$21</f>
        <v>Marcado del cuerpo</v>
      </c>
      <c r="B84" s="9">
        <f>(parametros_carros!$D$21*('Plan mensual'!D46+IF(parametros_carros!$H$21="Todos",'Plan mensual'!D50,0))+parametros_carros!$E$21*('Plan mensual'!D47+IF(parametros_carros!$H$21="Todos",'Plan mensual'!D51,0))+parametros_carros!$F$21*('Plan mensual'!D48+IF(parametros_carros!$H$21="Todos",'Plan mensual'!D52,0))+parametros_carros!$G$21*('Plan mensual'!D49+IF(parametros_carros!$H$21="Todos",'Plan mensual'!D53,0)))/60</f>
        <v>2.201075</v>
      </c>
      <c r="C84" s="9">
        <f>(parametros_carros!$D$21*('Plan mensual'!E46+IF(parametros_carros!$H$21="Todos",'Plan mensual'!E50,0))+parametros_carros!$E$21*('Plan mensual'!E47+IF(parametros_carros!$H$21="Todos",'Plan mensual'!E51,0))+parametros_carros!$F$21*('Plan mensual'!E48+IF(parametros_carros!$H$21="Todos",'Plan mensual'!E52,0))+parametros_carros!$G$21*('Plan mensual'!E49+IF(parametros_carros!$H$21="Todos",'Plan mensual'!E53,0)))/60</f>
        <v>1.942125</v>
      </c>
      <c r="D84" s="9">
        <f>(parametros_carros!$D$21*('Plan mensual'!F46+IF(parametros_carros!$H$21="Todos",'Plan mensual'!F50,0))+parametros_carros!$E$21*('Plan mensual'!F47+IF(parametros_carros!$H$21="Todos",'Plan mensual'!F51,0))+parametros_carros!$F$21*('Plan mensual'!F48+IF(parametros_carros!$H$21="Todos",'Plan mensual'!F52,0))+parametros_carros!$G$21*('Plan mensual'!F49+IF(parametros_carros!$H$21="Todos",'Plan mensual'!F53,0)))/60</f>
        <v>2.33055</v>
      </c>
      <c r="E84" s="9">
        <f>(parametros_carros!$D$21*('Plan mensual'!G46+IF(parametros_carros!$H$21="Todos",'Plan mensual'!G50,0))+parametros_carros!$E$21*('Plan mensual'!G47+IF(parametros_carros!$H$21="Todos",'Plan mensual'!G51,0))+parametros_carros!$F$21*('Plan mensual'!G48+IF(parametros_carros!$H$21="Todos",'Plan mensual'!G52,0))+parametros_carros!$G$21*('Plan mensual'!G49+IF(parametros_carros!$H$21="Todos",'Plan mensual'!G53,0)))/60</f>
        <v>2.33055</v>
      </c>
      <c r="F84" s="9">
        <f>(parametros_carros!$D$21*('Plan mensual'!H46+IF(parametros_carros!$H$21="Todos",'Plan mensual'!H50,0))+parametros_carros!$E$21*('Plan mensual'!H47+IF(parametros_carros!$H$21="Todos",'Plan mensual'!H51,0))+parametros_carros!$F$21*('Plan mensual'!H48+IF(parametros_carros!$H$21="Todos",'Plan mensual'!H52,0))+parametros_carros!$G$21*('Plan mensual'!H49+IF(parametros_carros!$H$21="Todos",'Plan mensual'!H53,0)))/60</f>
        <v>2.33055</v>
      </c>
      <c r="G84" s="9">
        <f>(parametros_carros!$D$21*('Plan mensual'!I46+IF(parametros_carros!$H$21="Todos",'Plan mensual'!I50,0))+parametros_carros!$E$21*('Plan mensual'!I47+IF(parametros_carros!$H$21="Todos",'Plan mensual'!I51,0))+parametros_carros!$F$21*('Plan mensual'!I48+IF(parametros_carros!$H$21="Todos",'Plan mensual'!I52,0))+parametros_carros!$G$21*('Plan mensual'!I49+IF(parametros_carros!$H$21="Todos",'Plan mensual'!I53,0)))/60</f>
        <v>2.0716</v>
      </c>
      <c r="H84" s="9">
        <f>(parametros_carros!$D$21*('Plan mensual'!J46+IF(parametros_carros!$H$21="Todos",'Plan mensual'!J50,0))+parametros_carros!$E$21*('Plan mensual'!J47+IF(parametros_carros!$H$21="Todos",'Plan mensual'!J51,0))+parametros_carros!$F$21*('Plan mensual'!J48+IF(parametros_carros!$H$21="Todos",'Plan mensual'!J52,0))+parametros_carros!$G$21*('Plan mensual'!J49+IF(parametros_carros!$H$21="Todos",'Plan mensual'!J53,0)))/60</f>
        <v>2.33055</v>
      </c>
      <c r="I84" s="9">
        <f>(parametros_carros!$D$21*('Plan mensual'!K46+IF(parametros_carros!$H$21="Todos",'Plan mensual'!K50,0))+parametros_carros!$E$21*('Plan mensual'!K47+IF(parametros_carros!$H$21="Todos",'Plan mensual'!K51,0))+parametros_carros!$F$21*('Plan mensual'!K48+IF(parametros_carros!$H$21="Todos",'Plan mensual'!K52,0))+parametros_carros!$G$21*('Plan mensual'!K49+IF(parametros_carros!$H$21="Todos",'Plan mensual'!K53,0)))/60</f>
        <v>2.33055</v>
      </c>
      <c r="J84" s="9">
        <f>(parametros_carros!$D$21*('Plan mensual'!L46+IF(parametros_carros!$H$21="Todos",'Plan mensual'!L50,0))+parametros_carros!$E$21*('Plan mensual'!L47+IF(parametros_carros!$H$21="Todos",'Plan mensual'!L51,0))+parametros_carros!$F$21*('Plan mensual'!L48+IF(parametros_carros!$H$21="Todos",'Plan mensual'!L52,0))+parametros_carros!$G$21*('Plan mensual'!L49+IF(parametros_carros!$H$21="Todos",'Plan mensual'!L53,0)))/60</f>
        <v>2.201075</v>
      </c>
      <c r="K84" s="9">
        <f>(parametros_carros!$D$21*('Plan mensual'!M46+IF(parametros_carros!$H$21="Todos",'Plan mensual'!M50,0))+parametros_carros!$E$21*('Plan mensual'!M47+IF(parametros_carros!$H$21="Todos",'Plan mensual'!M51,0))+parametros_carros!$F$21*('Plan mensual'!M48+IF(parametros_carros!$H$21="Todos",'Plan mensual'!M52,0))+parametros_carros!$G$21*('Plan mensual'!M49+IF(parametros_carros!$H$21="Todos",'Plan mensual'!M53,0)))/60</f>
        <v>1.942125</v>
      </c>
      <c r="L84" s="9">
        <f>(parametros_carros!$D$21*('Plan mensual'!N46+IF(parametros_carros!$H$21="Todos",'Plan mensual'!N50,0))+parametros_carros!$E$21*('Plan mensual'!N47+IF(parametros_carros!$H$21="Todos",'Plan mensual'!N51,0))+parametros_carros!$F$21*('Plan mensual'!N48+IF(parametros_carros!$H$21="Todos",'Plan mensual'!N52,0))+parametros_carros!$G$21*('Plan mensual'!N49+IF(parametros_carros!$H$21="Todos",'Plan mensual'!N53,0)))/60</f>
        <v>1.81265</v>
      </c>
      <c r="M84" s="9">
        <f>(parametros_carros!$D$21*('Plan mensual'!O46+IF(parametros_carros!$H$21="Todos",'Plan mensual'!O50,0))+parametros_carros!$E$21*('Plan mensual'!O47+IF(parametros_carros!$H$21="Todos",'Plan mensual'!O51,0))+parametros_carros!$F$21*('Plan mensual'!O48+IF(parametros_carros!$H$21="Todos",'Plan mensual'!O52,0))+parametros_carros!$G$21*('Plan mensual'!O49+IF(parametros_carros!$H$21="Todos",'Plan mensual'!O53,0)))/60</f>
        <v>2.0716</v>
      </c>
      <c r="N84" s="9">
        <f t="shared" si="13"/>
        <v>25.895</v>
      </c>
      <c r="O84" s="9">
        <f t="shared" si="14"/>
        <v>2.33055</v>
      </c>
      <c r="P84" s="32">
        <f>IF(parametros_carros!$B$7=0,0,(O84+parametros_carros!$G$47)/parametros_carros!$B$7)</f>
        <v>0.02775922222</v>
      </c>
      <c r="Q84" s="21" t="str">
        <f t="shared" si="15"/>
        <v>Mar</v>
      </c>
    </row>
    <row r="85" ht="14.25" customHeight="1">
      <c r="A85" s="2" t="str">
        <f>parametros_carros!$B$22</f>
        <v>Cilindrado</v>
      </c>
      <c r="B85" s="9">
        <f>(parametros_carros!$D$22*('Plan mensual'!D46+IF(parametros_carros!$H$22="Todos",'Plan mensual'!D50,0))+parametros_carros!$E$22*('Plan mensual'!D47+IF(parametros_carros!$H$22="Todos",'Plan mensual'!D51,0))+parametros_carros!$F$22*('Plan mensual'!D48+IF(parametros_carros!$H$22="Todos",'Plan mensual'!D52,0))+parametros_carros!$G$22*('Plan mensual'!D49+IF(parametros_carros!$H$22="Todos",'Plan mensual'!D53,0)))/60</f>
        <v>4.710348913</v>
      </c>
      <c r="C85" s="9">
        <f>(parametros_carros!$D$22*('Plan mensual'!E46+IF(parametros_carros!$H$22="Todos",'Plan mensual'!E50,0))+parametros_carros!$E$22*('Plan mensual'!E47+IF(parametros_carros!$H$22="Todos",'Plan mensual'!E51,0))+parametros_carros!$F$22*('Plan mensual'!E48+IF(parametros_carros!$H$22="Todos",'Plan mensual'!E52,0))+parametros_carros!$G$22*('Plan mensual'!E49+IF(parametros_carros!$H$22="Todos",'Plan mensual'!E53,0)))/60</f>
        <v>4.156190217</v>
      </c>
      <c r="D85" s="9">
        <f>(parametros_carros!$D$22*('Plan mensual'!F46+IF(parametros_carros!$H$22="Todos",'Plan mensual'!F50,0))+parametros_carros!$E$22*('Plan mensual'!F47+IF(parametros_carros!$H$22="Todos",'Plan mensual'!F51,0))+parametros_carros!$F$22*('Plan mensual'!F48+IF(parametros_carros!$H$22="Todos",'Plan mensual'!F52,0))+parametros_carros!$G$22*('Plan mensual'!F49+IF(parametros_carros!$H$22="Todos",'Plan mensual'!F53,0)))/60</f>
        <v>4.987428261</v>
      </c>
      <c r="E85" s="9">
        <f>(parametros_carros!$D$22*('Plan mensual'!G46+IF(parametros_carros!$H$22="Todos",'Plan mensual'!G50,0))+parametros_carros!$E$22*('Plan mensual'!G47+IF(parametros_carros!$H$22="Todos",'Plan mensual'!G51,0))+parametros_carros!$F$22*('Plan mensual'!G48+IF(parametros_carros!$H$22="Todos",'Plan mensual'!G52,0))+parametros_carros!$G$22*('Plan mensual'!G49+IF(parametros_carros!$H$22="Todos",'Plan mensual'!G53,0)))/60</f>
        <v>4.987428261</v>
      </c>
      <c r="F85" s="9">
        <f>(parametros_carros!$D$22*('Plan mensual'!H46+IF(parametros_carros!$H$22="Todos",'Plan mensual'!H50,0))+parametros_carros!$E$22*('Plan mensual'!H47+IF(parametros_carros!$H$22="Todos",'Plan mensual'!H51,0))+parametros_carros!$F$22*('Plan mensual'!H48+IF(parametros_carros!$H$22="Todos",'Plan mensual'!H52,0))+parametros_carros!$G$22*('Plan mensual'!H49+IF(parametros_carros!$H$22="Todos",'Plan mensual'!H53,0)))/60</f>
        <v>4.987428261</v>
      </c>
      <c r="G85" s="9">
        <f>(parametros_carros!$D$22*('Plan mensual'!I46+IF(parametros_carros!$H$22="Todos",'Plan mensual'!I50,0))+parametros_carros!$E$22*('Plan mensual'!I47+IF(parametros_carros!$H$22="Todos",'Plan mensual'!I51,0))+parametros_carros!$F$22*('Plan mensual'!I48+IF(parametros_carros!$H$22="Todos",'Plan mensual'!I52,0))+parametros_carros!$G$22*('Plan mensual'!I49+IF(parametros_carros!$H$22="Todos",'Plan mensual'!I53,0)))/60</f>
        <v>4.433269565</v>
      </c>
      <c r="H85" s="9">
        <f>(parametros_carros!$D$22*('Plan mensual'!J46+IF(parametros_carros!$H$22="Todos",'Plan mensual'!J50,0))+parametros_carros!$E$22*('Plan mensual'!J47+IF(parametros_carros!$H$22="Todos",'Plan mensual'!J51,0))+parametros_carros!$F$22*('Plan mensual'!J48+IF(parametros_carros!$H$22="Todos",'Plan mensual'!J52,0))+parametros_carros!$G$22*('Plan mensual'!J49+IF(parametros_carros!$H$22="Todos",'Plan mensual'!J53,0)))/60</f>
        <v>4.987428261</v>
      </c>
      <c r="I85" s="9">
        <f>(parametros_carros!$D$22*('Plan mensual'!K46+IF(parametros_carros!$H$22="Todos",'Plan mensual'!K50,0))+parametros_carros!$E$22*('Plan mensual'!K47+IF(parametros_carros!$H$22="Todos",'Plan mensual'!K51,0))+parametros_carros!$F$22*('Plan mensual'!K48+IF(parametros_carros!$H$22="Todos",'Plan mensual'!K52,0))+parametros_carros!$G$22*('Plan mensual'!K49+IF(parametros_carros!$H$22="Todos",'Plan mensual'!K53,0)))/60</f>
        <v>4.987428261</v>
      </c>
      <c r="J85" s="9">
        <f>(parametros_carros!$D$22*('Plan mensual'!L46+IF(parametros_carros!$H$22="Todos",'Plan mensual'!L50,0))+parametros_carros!$E$22*('Plan mensual'!L47+IF(parametros_carros!$H$22="Todos",'Plan mensual'!L51,0))+parametros_carros!$F$22*('Plan mensual'!L48+IF(parametros_carros!$H$22="Todos",'Plan mensual'!L52,0))+parametros_carros!$G$22*('Plan mensual'!L49+IF(parametros_carros!$H$22="Todos",'Plan mensual'!L53,0)))/60</f>
        <v>4.710348913</v>
      </c>
      <c r="K85" s="9">
        <f>(parametros_carros!$D$22*('Plan mensual'!M46+IF(parametros_carros!$H$22="Todos",'Plan mensual'!M50,0))+parametros_carros!$E$22*('Plan mensual'!M47+IF(parametros_carros!$H$22="Todos",'Plan mensual'!M51,0))+parametros_carros!$F$22*('Plan mensual'!M48+IF(parametros_carros!$H$22="Todos",'Plan mensual'!M52,0))+parametros_carros!$G$22*('Plan mensual'!M49+IF(parametros_carros!$H$22="Todos",'Plan mensual'!M53,0)))/60</f>
        <v>4.156190217</v>
      </c>
      <c r="L85" s="9">
        <f>(parametros_carros!$D$22*('Plan mensual'!N46+IF(parametros_carros!$H$22="Todos",'Plan mensual'!N50,0))+parametros_carros!$E$22*('Plan mensual'!N47+IF(parametros_carros!$H$22="Todos",'Plan mensual'!N51,0))+parametros_carros!$F$22*('Plan mensual'!N48+IF(parametros_carros!$H$22="Todos",'Plan mensual'!N52,0))+parametros_carros!$G$22*('Plan mensual'!N49+IF(parametros_carros!$H$22="Todos",'Plan mensual'!N53,0)))/60</f>
        <v>3.87911087</v>
      </c>
      <c r="M85" s="9">
        <f>(parametros_carros!$D$22*('Plan mensual'!O46+IF(parametros_carros!$H$22="Todos",'Plan mensual'!O50,0))+parametros_carros!$E$22*('Plan mensual'!O47+IF(parametros_carros!$H$22="Todos",'Plan mensual'!O51,0))+parametros_carros!$F$22*('Plan mensual'!O48+IF(parametros_carros!$H$22="Todos",'Plan mensual'!O52,0))+parametros_carros!$G$22*('Plan mensual'!O49+IF(parametros_carros!$H$22="Todos",'Plan mensual'!O53,0)))/60</f>
        <v>4.433269565</v>
      </c>
      <c r="N85" s="9">
        <f t="shared" si="13"/>
        <v>55.41586957</v>
      </c>
      <c r="O85" s="9">
        <f t="shared" si="14"/>
        <v>4.987428261</v>
      </c>
      <c r="P85" s="32">
        <f>IF(parametros_carros!$B$7=0,0,(O85+parametros_carros!$G$48)/parametros_carros!$B$7)</f>
        <v>0.07324952174</v>
      </c>
      <c r="Q85" s="21" t="str">
        <f t="shared" si="15"/>
        <v>Mar</v>
      </c>
    </row>
    <row r="86" ht="14.25" customHeight="1">
      <c r="A86" s="2" t="str">
        <f>parametros_carros!$B$23</f>
        <v>Punteo del cuerpo</v>
      </c>
      <c r="B86" s="9">
        <f>(parametros_carros!$D$23*('Plan mensual'!D46+IF(parametros_carros!$H$23="Todos",'Plan mensual'!D50,0))+parametros_carros!$E$23*('Plan mensual'!D47+IF(parametros_carros!$H$23="Todos",'Plan mensual'!D51,0))+parametros_carros!$F$23*('Plan mensual'!D48+IF(parametros_carros!$H$23="Todos",'Plan mensual'!D52,0))+parametros_carros!$G$23*('Plan mensual'!D49+IF(parametros_carros!$H$23="Todos",'Plan mensual'!D53,0)))/60</f>
        <v>6.98169058</v>
      </c>
      <c r="C86" s="9">
        <f>(parametros_carros!$D$23*('Plan mensual'!E46+IF(parametros_carros!$H$23="Todos",'Plan mensual'!E50,0))+parametros_carros!$E$23*('Plan mensual'!E47+IF(parametros_carros!$H$23="Todos",'Plan mensual'!E51,0))+parametros_carros!$F$23*('Plan mensual'!E48+IF(parametros_carros!$H$23="Todos",'Plan mensual'!E52,0))+parametros_carros!$G$23*('Plan mensual'!E49+IF(parametros_carros!$H$23="Todos",'Plan mensual'!E53,0)))/60</f>
        <v>6.160315217</v>
      </c>
      <c r="D86" s="9">
        <f>(parametros_carros!$D$23*('Plan mensual'!F46+IF(parametros_carros!$H$23="Todos",'Plan mensual'!F50,0))+parametros_carros!$E$23*('Plan mensual'!F47+IF(parametros_carros!$H$23="Todos",'Plan mensual'!F51,0))+parametros_carros!$F$23*('Plan mensual'!F48+IF(parametros_carros!$H$23="Todos",'Plan mensual'!F52,0))+parametros_carros!$G$23*('Plan mensual'!F49+IF(parametros_carros!$H$23="Todos",'Plan mensual'!F53,0)))/60</f>
        <v>7.392378261</v>
      </c>
      <c r="E86" s="9">
        <f>(parametros_carros!$D$23*('Plan mensual'!G46+IF(parametros_carros!$H$23="Todos",'Plan mensual'!G50,0))+parametros_carros!$E$23*('Plan mensual'!G47+IF(parametros_carros!$H$23="Todos",'Plan mensual'!G51,0))+parametros_carros!$F$23*('Plan mensual'!G48+IF(parametros_carros!$H$23="Todos",'Plan mensual'!G52,0))+parametros_carros!$G$23*('Plan mensual'!G49+IF(parametros_carros!$H$23="Todos",'Plan mensual'!G53,0)))/60</f>
        <v>7.392378261</v>
      </c>
      <c r="F86" s="9">
        <f>(parametros_carros!$D$23*('Plan mensual'!H46+IF(parametros_carros!$H$23="Todos",'Plan mensual'!H50,0))+parametros_carros!$E$23*('Plan mensual'!H47+IF(parametros_carros!$H$23="Todos",'Plan mensual'!H51,0))+parametros_carros!$F$23*('Plan mensual'!H48+IF(parametros_carros!$H$23="Todos",'Plan mensual'!H52,0))+parametros_carros!$G$23*('Plan mensual'!H49+IF(parametros_carros!$H$23="Todos",'Plan mensual'!H53,0)))/60</f>
        <v>7.392378261</v>
      </c>
      <c r="G86" s="9">
        <f>(parametros_carros!$D$23*('Plan mensual'!I46+IF(parametros_carros!$H$23="Todos",'Plan mensual'!I50,0))+parametros_carros!$E$23*('Plan mensual'!I47+IF(parametros_carros!$H$23="Todos",'Plan mensual'!I51,0))+parametros_carros!$F$23*('Plan mensual'!I48+IF(parametros_carros!$H$23="Todos",'Plan mensual'!I52,0))+parametros_carros!$G$23*('Plan mensual'!I49+IF(parametros_carros!$H$23="Todos",'Plan mensual'!I53,0)))/60</f>
        <v>6.571002899</v>
      </c>
      <c r="H86" s="9">
        <f>(parametros_carros!$D$23*('Plan mensual'!J46+IF(parametros_carros!$H$23="Todos",'Plan mensual'!J50,0))+parametros_carros!$E$23*('Plan mensual'!J47+IF(parametros_carros!$H$23="Todos",'Plan mensual'!J51,0))+parametros_carros!$F$23*('Plan mensual'!J48+IF(parametros_carros!$H$23="Todos",'Plan mensual'!J52,0))+parametros_carros!$G$23*('Plan mensual'!J49+IF(parametros_carros!$H$23="Todos",'Plan mensual'!J53,0)))/60</f>
        <v>7.392378261</v>
      </c>
      <c r="I86" s="9">
        <f>(parametros_carros!$D$23*('Plan mensual'!K46+IF(parametros_carros!$H$23="Todos",'Plan mensual'!K50,0))+parametros_carros!$E$23*('Plan mensual'!K47+IF(parametros_carros!$H$23="Todos",'Plan mensual'!K51,0))+parametros_carros!$F$23*('Plan mensual'!K48+IF(parametros_carros!$H$23="Todos",'Plan mensual'!K52,0))+parametros_carros!$G$23*('Plan mensual'!K49+IF(parametros_carros!$H$23="Todos",'Plan mensual'!K53,0)))/60</f>
        <v>7.392378261</v>
      </c>
      <c r="J86" s="9">
        <f>(parametros_carros!$D$23*('Plan mensual'!L46+IF(parametros_carros!$H$23="Todos",'Plan mensual'!L50,0))+parametros_carros!$E$23*('Plan mensual'!L47+IF(parametros_carros!$H$23="Todos",'Plan mensual'!L51,0))+parametros_carros!$F$23*('Plan mensual'!L48+IF(parametros_carros!$H$23="Todos",'Plan mensual'!L52,0))+parametros_carros!$G$23*('Plan mensual'!L49+IF(parametros_carros!$H$23="Todos",'Plan mensual'!L53,0)))/60</f>
        <v>6.98169058</v>
      </c>
      <c r="K86" s="9">
        <f>(parametros_carros!$D$23*('Plan mensual'!M46+IF(parametros_carros!$H$23="Todos",'Plan mensual'!M50,0))+parametros_carros!$E$23*('Plan mensual'!M47+IF(parametros_carros!$H$23="Todos",'Plan mensual'!M51,0))+parametros_carros!$F$23*('Plan mensual'!M48+IF(parametros_carros!$H$23="Todos",'Plan mensual'!M52,0))+parametros_carros!$G$23*('Plan mensual'!M49+IF(parametros_carros!$H$23="Todos",'Plan mensual'!M53,0)))/60</f>
        <v>6.160315217</v>
      </c>
      <c r="L86" s="9">
        <f>(parametros_carros!$D$23*('Plan mensual'!N46+IF(parametros_carros!$H$23="Todos",'Plan mensual'!N50,0))+parametros_carros!$E$23*('Plan mensual'!N47+IF(parametros_carros!$H$23="Todos",'Plan mensual'!N51,0))+parametros_carros!$F$23*('Plan mensual'!N48+IF(parametros_carros!$H$23="Todos",'Plan mensual'!N52,0))+parametros_carros!$G$23*('Plan mensual'!N49+IF(parametros_carros!$H$23="Todos",'Plan mensual'!N53,0)))/60</f>
        <v>5.749627536</v>
      </c>
      <c r="M86" s="9">
        <f>(parametros_carros!$D$23*('Plan mensual'!O46+IF(parametros_carros!$H$23="Todos",'Plan mensual'!O50,0))+parametros_carros!$E$23*('Plan mensual'!O47+IF(parametros_carros!$H$23="Todos",'Plan mensual'!O51,0))+parametros_carros!$F$23*('Plan mensual'!O48+IF(parametros_carros!$H$23="Todos",'Plan mensual'!O52,0))+parametros_carros!$G$23*('Plan mensual'!O49+IF(parametros_carros!$H$23="Todos",'Plan mensual'!O53,0)))/60</f>
        <v>6.571002899</v>
      </c>
      <c r="N86" s="9">
        <f t="shared" si="13"/>
        <v>82.13753623</v>
      </c>
      <c r="O86" s="9">
        <f t="shared" si="14"/>
        <v>7.392378261</v>
      </c>
      <c r="P86" s="32">
        <f>IF(parametros_carros!$B$7=0,0,(O86+parametros_carros!$G$49)/parametros_carros!$B$7)</f>
        <v>0.06039363285</v>
      </c>
      <c r="Q86" s="21" t="str">
        <f t="shared" si="15"/>
        <v>Mar</v>
      </c>
    </row>
    <row r="87" ht="14.25" customHeight="1">
      <c r="A87" s="2" t="str">
        <f>parametros_carros!$B$24</f>
        <v>Soldadura longitudinal</v>
      </c>
      <c r="B87" s="9">
        <f>(parametros_carros!$D$24*('Plan mensual'!D46+IF(parametros_carros!$H$24="Todos",'Plan mensual'!D50,0))+parametros_carros!$E$24*('Plan mensual'!D47+IF(parametros_carros!$H$24="Todos",'Plan mensual'!D51,0))+parametros_carros!$F$24*('Plan mensual'!D48+IF(parametros_carros!$H$24="Todos",'Plan mensual'!D52,0))+parametros_carros!$G$24*('Plan mensual'!D49+IF(parametros_carros!$H$24="Todos",'Plan mensual'!D53,0)))/60</f>
        <v>4.798958333</v>
      </c>
      <c r="C87" s="9">
        <f>(parametros_carros!$D$24*('Plan mensual'!E46+IF(parametros_carros!$H$24="Todos",'Plan mensual'!E50,0))+parametros_carros!$E$24*('Plan mensual'!E47+IF(parametros_carros!$H$24="Todos",'Plan mensual'!E51,0))+parametros_carros!$F$24*('Plan mensual'!E48+IF(parametros_carros!$H$24="Todos",'Plan mensual'!E52,0))+parametros_carros!$G$24*('Plan mensual'!E49+IF(parametros_carros!$H$24="Todos",'Plan mensual'!E53,0)))/60</f>
        <v>4.234375</v>
      </c>
      <c r="D87" s="9">
        <f>(parametros_carros!$D$24*('Plan mensual'!F46+IF(parametros_carros!$H$24="Todos",'Plan mensual'!F50,0))+parametros_carros!$E$24*('Plan mensual'!F47+IF(parametros_carros!$H$24="Todos",'Plan mensual'!F51,0))+parametros_carros!$F$24*('Plan mensual'!F48+IF(parametros_carros!$H$24="Todos",'Plan mensual'!F52,0))+parametros_carros!$G$24*('Plan mensual'!F49+IF(parametros_carros!$H$24="Todos",'Plan mensual'!F53,0)))/60</f>
        <v>5.08125</v>
      </c>
      <c r="E87" s="9">
        <f>(parametros_carros!$D$24*('Plan mensual'!G46+IF(parametros_carros!$H$24="Todos",'Plan mensual'!G50,0))+parametros_carros!$E$24*('Plan mensual'!G47+IF(parametros_carros!$H$24="Todos",'Plan mensual'!G51,0))+parametros_carros!$F$24*('Plan mensual'!G48+IF(parametros_carros!$H$24="Todos",'Plan mensual'!G52,0))+parametros_carros!$G$24*('Plan mensual'!G49+IF(parametros_carros!$H$24="Todos",'Plan mensual'!G53,0)))/60</f>
        <v>5.08125</v>
      </c>
      <c r="F87" s="9">
        <f>(parametros_carros!$D$24*('Plan mensual'!H46+IF(parametros_carros!$H$24="Todos",'Plan mensual'!H50,0))+parametros_carros!$E$24*('Plan mensual'!H47+IF(parametros_carros!$H$24="Todos",'Plan mensual'!H51,0))+parametros_carros!$F$24*('Plan mensual'!H48+IF(parametros_carros!$H$24="Todos",'Plan mensual'!H52,0))+parametros_carros!$G$24*('Plan mensual'!H49+IF(parametros_carros!$H$24="Todos",'Plan mensual'!H53,0)))/60</f>
        <v>5.08125</v>
      </c>
      <c r="G87" s="9">
        <f>(parametros_carros!$D$24*('Plan mensual'!I46+IF(parametros_carros!$H$24="Todos",'Plan mensual'!I50,0))+parametros_carros!$E$24*('Plan mensual'!I47+IF(parametros_carros!$H$24="Todos",'Plan mensual'!I51,0))+parametros_carros!$F$24*('Plan mensual'!I48+IF(parametros_carros!$H$24="Todos",'Plan mensual'!I52,0))+parametros_carros!$G$24*('Plan mensual'!I49+IF(parametros_carros!$H$24="Todos",'Plan mensual'!I53,0)))/60</f>
        <v>4.516666667</v>
      </c>
      <c r="H87" s="9">
        <f>(parametros_carros!$D$24*('Plan mensual'!J46+IF(parametros_carros!$H$24="Todos",'Plan mensual'!J50,0))+parametros_carros!$E$24*('Plan mensual'!J47+IF(parametros_carros!$H$24="Todos",'Plan mensual'!J51,0))+parametros_carros!$F$24*('Plan mensual'!J48+IF(parametros_carros!$H$24="Todos",'Plan mensual'!J52,0))+parametros_carros!$G$24*('Plan mensual'!J49+IF(parametros_carros!$H$24="Todos",'Plan mensual'!J53,0)))/60</f>
        <v>5.08125</v>
      </c>
      <c r="I87" s="9">
        <f>(parametros_carros!$D$24*('Plan mensual'!K46+IF(parametros_carros!$H$24="Todos",'Plan mensual'!K50,0))+parametros_carros!$E$24*('Plan mensual'!K47+IF(parametros_carros!$H$24="Todos",'Plan mensual'!K51,0))+parametros_carros!$F$24*('Plan mensual'!K48+IF(parametros_carros!$H$24="Todos",'Plan mensual'!K52,0))+parametros_carros!$G$24*('Plan mensual'!K49+IF(parametros_carros!$H$24="Todos",'Plan mensual'!K53,0)))/60</f>
        <v>5.08125</v>
      </c>
      <c r="J87" s="9">
        <f>(parametros_carros!$D$24*('Plan mensual'!L46+IF(parametros_carros!$H$24="Todos",'Plan mensual'!L50,0))+parametros_carros!$E$24*('Plan mensual'!L47+IF(parametros_carros!$H$24="Todos",'Plan mensual'!L51,0))+parametros_carros!$F$24*('Plan mensual'!L48+IF(parametros_carros!$H$24="Todos",'Plan mensual'!L52,0))+parametros_carros!$G$24*('Plan mensual'!L49+IF(parametros_carros!$H$24="Todos",'Plan mensual'!L53,0)))/60</f>
        <v>4.798958333</v>
      </c>
      <c r="K87" s="9">
        <f>(parametros_carros!$D$24*('Plan mensual'!M46+IF(parametros_carros!$H$24="Todos",'Plan mensual'!M50,0))+parametros_carros!$E$24*('Plan mensual'!M47+IF(parametros_carros!$H$24="Todos",'Plan mensual'!M51,0))+parametros_carros!$F$24*('Plan mensual'!M48+IF(parametros_carros!$H$24="Todos",'Plan mensual'!M52,0))+parametros_carros!$G$24*('Plan mensual'!M49+IF(parametros_carros!$H$24="Todos",'Plan mensual'!M53,0)))/60</f>
        <v>4.234375</v>
      </c>
      <c r="L87" s="9">
        <f>(parametros_carros!$D$24*('Plan mensual'!N46+IF(parametros_carros!$H$24="Todos",'Plan mensual'!N50,0))+parametros_carros!$E$24*('Plan mensual'!N47+IF(parametros_carros!$H$24="Todos",'Plan mensual'!N51,0))+parametros_carros!$F$24*('Plan mensual'!N48+IF(parametros_carros!$H$24="Todos",'Plan mensual'!N52,0))+parametros_carros!$G$24*('Plan mensual'!N49+IF(parametros_carros!$H$24="Todos",'Plan mensual'!N53,0)))/60</f>
        <v>3.952083333</v>
      </c>
      <c r="M87" s="9">
        <f>(parametros_carros!$D$24*('Plan mensual'!O46+IF(parametros_carros!$H$24="Todos",'Plan mensual'!O50,0))+parametros_carros!$E$24*('Plan mensual'!O47+IF(parametros_carros!$H$24="Todos",'Plan mensual'!O51,0))+parametros_carros!$F$24*('Plan mensual'!O48+IF(parametros_carros!$H$24="Todos",'Plan mensual'!O52,0))+parametros_carros!$G$24*('Plan mensual'!O49+IF(parametros_carros!$H$24="Todos",'Plan mensual'!O53,0)))/60</f>
        <v>4.516666667</v>
      </c>
      <c r="N87" s="9">
        <f t="shared" si="13"/>
        <v>56.45833333</v>
      </c>
      <c r="O87" s="9">
        <f t="shared" si="14"/>
        <v>5.08125</v>
      </c>
      <c r="P87" s="32">
        <f>IF(parametros_carros!$B$7=0,0,(O87+parametros_carros!$G$50)/parametros_carros!$B$7)</f>
        <v>0.05165277778</v>
      </c>
      <c r="Q87" s="21" t="str">
        <f t="shared" si="15"/>
        <v>Mar</v>
      </c>
    </row>
    <row r="88" ht="14.25" customHeight="1">
      <c r="A88" s="2" t="str">
        <f>parametros_carros!$B$25</f>
        <v>Soldadura de cupla en la cúpula</v>
      </c>
      <c r="B88" s="9">
        <f>(parametros_carros!$D$25*('Plan mensual'!D46+IF(parametros_carros!$H$25="Todos",'Plan mensual'!D50,0))+parametros_carros!$E$25*('Plan mensual'!D47+IF(parametros_carros!$H$25="Todos",'Plan mensual'!D51,0))+parametros_carros!$F$25*('Plan mensual'!D48+IF(parametros_carros!$H$25="Todos",'Plan mensual'!D52,0))+parametros_carros!$G$25*('Plan mensual'!D49+IF(parametros_carros!$H$25="Todos",'Plan mensual'!D53,0)))/60</f>
        <v>4.740733333</v>
      </c>
      <c r="C88" s="9">
        <f>(parametros_carros!$D$25*('Plan mensual'!E46+IF(parametros_carros!$H$25="Todos",'Plan mensual'!E50,0))+parametros_carros!$E$25*('Plan mensual'!E47+IF(parametros_carros!$H$25="Todos",'Plan mensual'!E51,0))+parametros_carros!$F$25*('Plan mensual'!E48+IF(parametros_carros!$H$25="Todos",'Plan mensual'!E52,0))+parametros_carros!$G$25*('Plan mensual'!E49+IF(parametros_carros!$H$25="Todos",'Plan mensual'!E53,0)))/60</f>
        <v>4.183</v>
      </c>
      <c r="D88" s="9">
        <f>(parametros_carros!$D$25*('Plan mensual'!F46+IF(parametros_carros!$H$25="Todos",'Plan mensual'!F50,0))+parametros_carros!$E$25*('Plan mensual'!F47+IF(parametros_carros!$H$25="Todos",'Plan mensual'!F51,0))+parametros_carros!$F$25*('Plan mensual'!F48+IF(parametros_carros!$H$25="Todos",'Plan mensual'!F52,0))+parametros_carros!$G$25*('Plan mensual'!F49+IF(parametros_carros!$H$25="Todos",'Plan mensual'!F53,0)))/60</f>
        <v>5.0196</v>
      </c>
      <c r="E88" s="9">
        <f>(parametros_carros!$D$25*('Plan mensual'!G46+IF(parametros_carros!$H$25="Todos",'Plan mensual'!G50,0))+parametros_carros!$E$25*('Plan mensual'!G47+IF(parametros_carros!$H$25="Todos",'Plan mensual'!G51,0))+parametros_carros!$F$25*('Plan mensual'!G48+IF(parametros_carros!$H$25="Todos",'Plan mensual'!G52,0))+parametros_carros!$G$25*('Plan mensual'!G49+IF(parametros_carros!$H$25="Todos",'Plan mensual'!G53,0)))/60</f>
        <v>5.0196</v>
      </c>
      <c r="F88" s="9">
        <f>(parametros_carros!$D$25*('Plan mensual'!H46+IF(parametros_carros!$H$25="Todos",'Plan mensual'!H50,0))+parametros_carros!$E$25*('Plan mensual'!H47+IF(parametros_carros!$H$25="Todos",'Plan mensual'!H51,0))+parametros_carros!$F$25*('Plan mensual'!H48+IF(parametros_carros!$H$25="Todos",'Plan mensual'!H52,0))+parametros_carros!$G$25*('Plan mensual'!H49+IF(parametros_carros!$H$25="Todos",'Plan mensual'!H53,0)))/60</f>
        <v>5.0196</v>
      </c>
      <c r="G88" s="9">
        <f>(parametros_carros!$D$25*('Plan mensual'!I46+IF(parametros_carros!$H$25="Todos",'Plan mensual'!I50,0))+parametros_carros!$E$25*('Plan mensual'!I47+IF(parametros_carros!$H$25="Todos",'Plan mensual'!I51,0))+parametros_carros!$F$25*('Plan mensual'!I48+IF(parametros_carros!$H$25="Todos",'Plan mensual'!I52,0))+parametros_carros!$G$25*('Plan mensual'!I49+IF(parametros_carros!$H$25="Todos",'Plan mensual'!I53,0)))/60</f>
        <v>4.461866667</v>
      </c>
      <c r="H88" s="9">
        <f>(parametros_carros!$D$25*('Plan mensual'!J46+IF(parametros_carros!$H$25="Todos",'Plan mensual'!J50,0))+parametros_carros!$E$25*('Plan mensual'!J47+IF(parametros_carros!$H$25="Todos",'Plan mensual'!J51,0))+parametros_carros!$F$25*('Plan mensual'!J48+IF(parametros_carros!$H$25="Todos",'Plan mensual'!J52,0))+parametros_carros!$G$25*('Plan mensual'!J49+IF(parametros_carros!$H$25="Todos",'Plan mensual'!J53,0)))/60</f>
        <v>5.0196</v>
      </c>
      <c r="I88" s="9">
        <f>(parametros_carros!$D$25*('Plan mensual'!K46+IF(parametros_carros!$H$25="Todos",'Plan mensual'!K50,0))+parametros_carros!$E$25*('Plan mensual'!K47+IF(parametros_carros!$H$25="Todos",'Plan mensual'!K51,0))+parametros_carros!$F$25*('Plan mensual'!K48+IF(parametros_carros!$H$25="Todos",'Plan mensual'!K52,0))+parametros_carros!$G$25*('Plan mensual'!K49+IF(parametros_carros!$H$25="Todos",'Plan mensual'!K53,0)))/60</f>
        <v>5.0196</v>
      </c>
      <c r="J88" s="9">
        <f>(parametros_carros!$D$25*('Plan mensual'!L46+IF(parametros_carros!$H$25="Todos",'Plan mensual'!L50,0))+parametros_carros!$E$25*('Plan mensual'!L47+IF(parametros_carros!$H$25="Todos",'Plan mensual'!L51,0))+parametros_carros!$F$25*('Plan mensual'!L48+IF(parametros_carros!$H$25="Todos",'Plan mensual'!L52,0))+parametros_carros!$G$25*('Plan mensual'!L49+IF(parametros_carros!$H$25="Todos",'Plan mensual'!L53,0)))/60</f>
        <v>4.740733333</v>
      </c>
      <c r="K88" s="9">
        <f>(parametros_carros!$D$25*('Plan mensual'!M46+IF(parametros_carros!$H$25="Todos",'Plan mensual'!M50,0))+parametros_carros!$E$25*('Plan mensual'!M47+IF(parametros_carros!$H$25="Todos",'Plan mensual'!M51,0))+parametros_carros!$F$25*('Plan mensual'!M48+IF(parametros_carros!$H$25="Todos",'Plan mensual'!M52,0))+parametros_carros!$G$25*('Plan mensual'!M49+IF(parametros_carros!$H$25="Todos",'Plan mensual'!M53,0)))/60</f>
        <v>4.183</v>
      </c>
      <c r="L88" s="9">
        <f>(parametros_carros!$D$25*('Plan mensual'!N46+IF(parametros_carros!$H$25="Todos",'Plan mensual'!N50,0))+parametros_carros!$E$25*('Plan mensual'!N47+IF(parametros_carros!$H$25="Todos",'Plan mensual'!N51,0))+parametros_carros!$F$25*('Plan mensual'!N48+IF(parametros_carros!$H$25="Todos",'Plan mensual'!N52,0))+parametros_carros!$G$25*('Plan mensual'!N49+IF(parametros_carros!$H$25="Todos",'Plan mensual'!N53,0)))/60</f>
        <v>3.904133333</v>
      </c>
      <c r="M88" s="9">
        <f>(parametros_carros!$D$25*('Plan mensual'!O46+IF(parametros_carros!$H$25="Todos",'Plan mensual'!O50,0))+parametros_carros!$E$25*('Plan mensual'!O47+IF(parametros_carros!$H$25="Todos",'Plan mensual'!O51,0))+parametros_carros!$F$25*('Plan mensual'!O48+IF(parametros_carros!$H$25="Todos",'Plan mensual'!O52,0))+parametros_carros!$G$25*('Plan mensual'!O49+IF(parametros_carros!$H$25="Todos",'Plan mensual'!O53,0)))/60</f>
        <v>4.461866667</v>
      </c>
      <c r="N88" s="9">
        <f t="shared" si="13"/>
        <v>55.77333333</v>
      </c>
      <c r="O88" s="9">
        <f t="shared" si="14"/>
        <v>5.0196</v>
      </c>
      <c r="P88" s="32">
        <f>IF(parametros_carros!$B$7=0,0,(O88+parametros_carros!$G$51)/parametros_carros!$B$7)</f>
        <v>0.053464</v>
      </c>
      <c r="Q88" s="21" t="str">
        <f t="shared" si="15"/>
        <v>Mar</v>
      </c>
    </row>
    <row r="89" ht="14.25" customHeight="1">
      <c r="A89" s="2" t="str">
        <f>parametros_carros!$B$26</f>
        <v>Armado y soldadura circunferencial</v>
      </c>
      <c r="B89" s="9">
        <f>(parametros_carros!$D$26*('Plan mensual'!D46+IF(parametros_carros!$H$26="Todos",'Plan mensual'!D50,0))+parametros_carros!$E$26*('Plan mensual'!D47+IF(parametros_carros!$H$26="Todos",'Plan mensual'!D51,0))+parametros_carros!$F$26*('Plan mensual'!D48+IF(parametros_carros!$H$26="Todos",'Plan mensual'!D52,0))+parametros_carros!$G$26*('Plan mensual'!D49+IF(parametros_carros!$H$26="Todos",'Plan mensual'!D53,0)))/60</f>
        <v>22.4196</v>
      </c>
      <c r="C89" s="9">
        <f>(parametros_carros!$D$26*('Plan mensual'!E46+IF(parametros_carros!$H$26="Todos",'Plan mensual'!E50,0))+parametros_carros!$E$26*('Plan mensual'!E47+IF(parametros_carros!$H$26="Todos",'Plan mensual'!E51,0))+parametros_carros!$F$26*('Plan mensual'!E48+IF(parametros_carros!$H$26="Todos",'Plan mensual'!E52,0))+parametros_carros!$G$26*('Plan mensual'!E49+IF(parametros_carros!$H$26="Todos",'Plan mensual'!E53,0)))/60</f>
        <v>19.782</v>
      </c>
      <c r="D89" s="9">
        <f>(parametros_carros!$D$26*('Plan mensual'!F46+IF(parametros_carros!$H$26="Todos",'Plan mensual'!F50,0))+parametros_carros!$E$26*('Plan mensual'!F47+IF(parametros_carros!$H$26="Todos",'Plan mensual'!F51,0))+parametros_carros!$F$26*('Plan mensual'!F48+IF(parametros_carros!$H$26="Todos",'Plan mensual'!F52,0))+parametros_carros!$G$26*('Plan mensual'!F49+IF(parametros_carros!$H$26="Todos",'Plan mensual'!F53,0)))/60</f>
        <v>23.7384</v>
      </c>
      <c r="E89" s="9">
        <f>(parametros_carros!$D$26*('Plan mensual'!G46+IF(parametros_carros!$H$26="Todos",'Plan mensual'!G50,0))+parametros_carros!$E$26*('Plan mensual'!G47+IF(parametros_carros!$H$26="Todos",'Plan mensual'!G51,0))+parametros_carros!$F$26*('Plan mensual'!G48+IF(parametros_carros!$H$26="Todos",'Plan mensual'!G52,0))+parametros_carros!$G$26*('Plan mensual'!G49+IF(parametros_carros!$H$26="Todos",'Plan mensual'!G53,0)))/60</f>
        <v>23.7384</v>
      </c>
      <c r="F89" s="9">
        <f>(parametros_carros!$D$26*('Plan mensual'!H46+IF(parametros_carros!$H$26="Todos",'Plan mensual'!H50,0))+parametros_carros!$E$26*('Plan mensual'!H47+IF(parametros_carros!$H$26="Todos",'Plan mensual'!H51,0))+parametros_carros!$F$26*('Plan mensual'!H48+IF(parametros_carros!$H$26="Todos",'Plan mensual'!H52,0))+parametros_carros!$G$26*('Plan mensual'!H49+IF(parametros_carros!$H$26="Todos",'Plan mensual'!H53,0)))/60</f>
        <v>23.7384</v>
      </c>
      <c r="G89" s="9">
        <f>(parametros_carros!$D$26*('Plan mensual'!I46+IF(parametros_carros!$H$26="Todos",'Plan mensual'!I50,0))+parametros_carros!$E$26*('Plan mensual'!I47+IF(parametros_carros!$H$26="Todos",'Plan mensual'!I51,0))+parametros_carros!$F$26*('Plan mensual'!I48+IF(parametros_carros!$H$26="Todos",'Plan mensual'!I52,0))+parametros_carros!$G$26*('Plan mensual'!I49+IF(parametros_carros!$H$26="Todos",'Plan mensual'!I53,0)))/60</f>
        <v>21.1008</v>
      </c>
      <c r="H89" s="9">
        <f>(parametros_carros!$D$26*('Plan mensual'!J46+IF(parametros_carros!$H$26="Todos",'Plan mensual'!J50,0))+parametros_carros!$E$26*('Plan mensual'!J47+IF(parametros_carros!$H$26="Todos",'Plan mensual'!J51,0))+parametros_carros!$F$26*('Plan mensual'!J48+IF(parametros_carros!$H$26="Todos",'Plan mensual'!J52,0))+parametros_carros!$G$26*('Plan mensual'!J49+IF(parametros_carros!$H$26="Todos",'Plan mensual'!J53,0)))/60</f>
        <v>23.7384</v>
      </c>
      <c r="I89" s="9">
        <f>(parametros_carros!$D$26*('Plan mensual'!K46+IF(parametros_carros!$H$26="Todos",'Plan mensual'!K50,0))+parametros_carros!$E$26*('Plan mensual'!K47+IF(parametros_carros!$H$26="Todos",'Plan mensual'!K51,0))+parametros_carros!$F$26*('Plan mensual'!K48+IF(parametros_carros!$H$26="Todos",'Plan mensual'!K52,0))+parametros_carros!$G$26*('Plan mensual'!K49+IF(parametros_carros!$H$26="Todos",'Plan mensual'!K53,0)))/60</f>
        <v>23.7384</v>
      </c>
      <c r="J89" s="9">
        <f>(parametros_carros!$D$26*('Plan mensual'!L46+IF(parametros_carros!$H$26="Todos",'Plan mensual'!L50,0))+parametros_carros!$E$26*('Plan mensual'!L47+IF(parametros_carros!$H$26="Todos",'Plan mensual'!L51,0))+parametros_carros!$F$26*('Plan mensual'!L48+IF(parametros_carros!$H$26="Todos",'Plan mensual'!L52,0))+parametros_carros!$G$26*('Plan mensual'!L49+IF(parametros_carros!$H$26="Todos",'Plan mensual'!L53,0)))/60</f>
        <v>22.4196</v>
      </c>
      <c r="K89" s="9">
        <f>(parametros_carros!$D$26*('Plan mensual'!M46+IF(parametros_carros!$H$26="Todos",'Plan mensual'!M50,0))+parametros_carros!$E$26*('Plan mensual'!M47+IF(parametros_carros!$H$26="Todos",'Plan mensual'!M51,0))+parametros_carros!$F$26*('Plan mensual'!M48+IF(parametros_carros!$H$26="Todos",'Plan mensual'!M52,0))+parametros_carros!$G$26*('Plan mensual'!M49+IF(parametros_carros!$H$26="Todos",'Plan mensual'!M53,0)))/60</f>
        <v>19.782</v>
      </c>
      <c r="L89" s="9">
        <f>(parametros_carros!$D$26*('Plan mensual'!N46+IF(parametros_carros!$H$26="Todos",'Plan mensual'!N50,0))+parametros_carros!$E$26*('Plan mensual'!N47+IF(parametros_carros!$H$26="Todos",'Plan mensual'!N51,0))+parametros_carros!$F$26*('Plan mensual'!N48+IF(parametros_carros!$H$26="Todos",'Plan mensual'!N52,0))+parametros_carros!$G$26*('Plan mensual'!N49+IF(parametros_carros!$H$26="Todos",'Plan mensual'!N53,0)))/60</f>
        <v>18.4632</v>
      </c>
      <c r="M89" s="9">
        <f>(parametros_carros!$D$26*('Plan mensual'!O46+IF(parametros_carros!$H$26="Todos",'Plan mensual'!O50,0))+parametros_carros!$E$26*('Plan mensual'!O47+IF(parametros_carros!$H$26="Todos",'Plan mensual'!O51,0))+parametros_carros!$F$26*('Plan mensual'!O48+IF(parametros_carros!$H$26="Todos",'Plan mensual'!O52,0))+parametros_carros!$G$26*('Plan mensual'!O49+IF(parametros_carros!$H$26="Todos",'Plan mensual'!O53,0)))/60</f>
        <v>21.1008</v>
      </c>
      <c r="N89" s="9">
        <f t="shared" si="13"/>
        <v>263.76</v>
      </c>
      <c r="O89" s="9">
        <f t="shared" si="14"/>
        <v>23.7384</v>
      </c>
      <c r="P89" s="32">
        <f>IF(parametros_carros!$B$7=0,0,(O89+parametros_carros!$G$52)/parametros_carros!$B$7)</f>
        <v>0.178256</v>
      </c>
      <c r="Q89" s="21" t="str">
        <f t="shared" si="15"/>
        <v>Mar</v>
      </c>
    </row>
    <row r="90" ht="14.25" customHeight="1">
      <c r="A90" s="2" t="str">
        <f>parametros_carros!$B$27</f>
        <v>Soldadura de accesorios</v>
      </c>
      <c r="B90" s="9">
        <f>(parametros_carros!$D$27*('Plan mensual'!D46+IF(parametros_carros!$H$27="Todos",'Plan mensual'!D50,0))+parametros_carros!$E$27*('Plan mensual'!D47+IF(parametros_carros!$H$27="Todos",'Plan mensual'!D51,0))+parametros_carros!$F$27*('Plan mensual'!D48+IF(parametros_carros!$H$27="Todos",'Plan mensual'!D52,0))+parametros_carros!$G$27*('Plan mensual'!D49+IF(parametros_carros!$H$27="Todos",'Plan mensual'!D53,0)))/60</f>
        <v>22.84360833</v>
      </c>
      <c r="C90" s="9">
        <f>(parametros_carros!$D$27*('Plan mensual'!E46+IF(parametros_carros!$H$27="Todos",'Plan mensual'!E50,0))+parametros_carros!$E$27*('Plan mensual'!E47+IF(parametros_carros!$H$27="Todos",'Plan mensual'!E51,0))+parametros_carros!$F$27*('Plan mensual'!E48+IF(parametros_carros!$H$27="Todos",'Plan mensual'!E52,0))+parametros_carros!$G$27*('Plan mensual'!E49+IF(parametros_carros!$H$27="Todos",'Plan mensual'!E53,0)))/60</f>
        <v>20.156125</v>
      </c>
      <c r="D90" s="9">
        <f>(parametros_carros!$D$27*('Plan mensual'!F46+IF(parametros_carros!$H$27="Todos",'Plan mensual'!F50,0))+parametros_carros!$E$27*('Plan mensual'!F47+IF(parametros_carros!$H$27="Todos",'Plan mensual'!F51,0))+parametros_carros!$F$27*('Plan mensual'!F48+IF(parametros_carros!$H$27="Todos",'Plan mensual'!F52,0))+parametros_carros!$G$27*('Plan mensual'!F49+IF(parametros_carros!$H$27="Todos",'Plan mensual'!F53,0)))/60</f>
        <v>24.18735</v>
      </c>
      <c r="E90" s="9">
        <f>(parametros_carros!$D$27*('Plan mensual'!G46+IF(parametros_carros!$H$27="Todos",'Plan mensual'!G50,0))+parametros_carros!$E$27*('Plan mensual'!G47+IF(parametros_carros!$H$27="Todos",'Plan mensual'!G51,0))+parametros_carros!$F$27*('Plan mensual'!G48+IF(parametros_carros!$H$27="Todos",'Plan mensual'!G52,0))+parametros_carros!$G$27*('Plan mensual'!G49+IF(parametros_carros!$H$27="Todos",'Plan mensual'!G53,0)))/60</f>
        <v>24.18735</v>
      </c>
      <c r="F90" s="9">
        <f>(parametros_carros!$D$27*('Plan mensual'!H46+IF(parametros_carros!$H$27="Todos",'Plan mensual'!H50,0))+parametros_carros!$E$27*('Plan mensual'!H47+IF(parametros_carros!$H$27="Todos",'Plan mensual'!H51,0))+parametros_carros!$F$27*('Plan mensual'!H48+IF(parametros_carros!$H$27="Todos",'Plan mensual'!H52,0))+parametros_carros!$G$27*('Plan mensual'!H49+IF(parametros_carros!$H$27="Todos",'Plan mensual'!H53,0)))/60</f>
        <v>24.18735</v>
      </c>
      <c r="G90" s="9">
        <f>(parametros_carros!$D$27*('Plan mensual'!I46+IF(parametros_carros!$H$27="Todos",'Plan mensual'!I50,0))+parametros_carros!$E$27*('Plan mensual'!I47+IF(parametros_carros!$H$27="Todos",'Plan mensual'!I51,0))+parametros_carros!$F$27*('Plan mensual'!I48+IF(parametros_carros!$H$27="Todos",'Plan mensual'!I52,0))+parametros_carros!$G$27*('Plan mensual'!I49+IF(parametros_carros!$H$27="Todos",'Plan mensual'!I53,0)))/60</f>
        <v>21.49986667</v>
      </c>
      <c r="H90" s="9">
        <f>(parametros_carros!$D$27*('Plan mensual'!J46+IF(parametros_carros!$H$27="Todos",'Plan mensual'!J50,0))+parametros_carros!$E$27*('Plan mensual'!J47+IF(parametros_carros!$H$27="Todos",'Plan mensual'!J51,0))+parametros_carros!$F$27*('Plan mensual'!J48+IF(parametros_carros!$H$27="Todos",'Plan mensual'!J52,0))+parametros_carros!$G$27*('Plan mensual'!J49+IF(parametros_carros!$H$27="Todos",'Plan mensual'!J53,0)))/60</f>
        <v>24.18735</v>
      </c>
      <c r="I90" s="9">
        <f>(parametros_carros!$D$27*('Plan mensual'!K46+IF(parametros_carros!$H$27="Todos",'Plan mensual'!K50,0))+parametros_carros!$E$27*('Plan mensual'!K47+IF(parametros_carros!$H$27="Todos",'Plan mensual'!K51,0))+parametros_carros!$F$27*('Plan mensual'!K48+IF(parametros_carros!$H$27="Todos",'Plan mensual'!K52,0))+parametros_carros!$G$27*('Plan mensual'!K49+IF(parametros_carros!$H$27="Todos",'Plan mensual'!K53,0)))/60</f>
        <v>24.18735</v>
      </c>
      <c r="J90" s="9">
        <f>(parametros_carros!$D$27*('Plan mensual'!L46+IF(parametros_carros!$H$27="Todos",'Plan mensual'!L50,0))+parametros_carros!$E$27*('Plan mensual'!L47+IF(parametros_carros!$H$27="Todos",'Plan mensual'!L51,0))+parametros_carros!$F$27*('Plan mensual'!L48+IF(parametros_carros!$H$27="Todos",'Plan mensual'!L52,0))+parametros_carros!$G$27*('Plan mensual'!L49+IF(parametros_carros!$H$27="Todos",'Plan mensual'!L53,0)))/60</f>
        <v>22.84360833</v>
      </c>
      <c r="K90" s="9">
        <f>(parametros_carros!$D$27*('Plan mensual'!M46+IF(parametros_carros!$H$27="Todos",'Plan mensual'!M50,0))+parametros_carros!$E$27*('Plan mensual'!M47+IF(parametros_carros!$H$27="Todos",'Plan mensual'!M51,0))+parametros_carros!$F$27*('Plan mensual'!M48+IF(parametros_carros!$H$27="Todos",'Plan mensual'!M52,0))+parametros_carros!$G$27*('Plan mensual'!M49+IF(parametros_carros!$H$27="Todos",'Plan mensual'!M53,0)))/60</f>
        <v>20.156125</v>
      </c>
      <c r="L90" s="9">
        <f>(parametros_carros!$D$27*('Plan mensual'!N46+IF(parametros_carros!$H$27="Todos",'Plan mensual'!N50,0))+parametros_carros!$E$27*('Plan mensual'!N47+IF(parametros_carros!$H$27="Todos",'Plan mensual'!N51,0))+parametros_carros!$F$27*('Plan mensual'!N48+IF(parametros_carros!$H$27="Todos",'Plan mensual'!N52,0))+parametros_carros!$G$27*('Plan mensual'!N49+IF(parametros_carros!$H$27="Todos",'Plan mensual'!N53,0)))/60</f>
        <v>18.81238333</v>
      </c>
      <c r="M90" s="9">
        <f>(parametros_carros!$D$27*('Plan mensual'!O46+IF(parametros_carros!$H$27="Todos",'Plan mensual'!O50,0))+parametros_carros!$E$27*('Plan mensual'!O47+IF(parametros_carros!$H$27="Todos",'Plan mensual'!O51,0))+parametros_carros!$F$27*('Plan mensual'!O48+IF(parametros_carros!$H$27="Todos",'Plan mensual'!O52,0))+parametros_carros!$G$27*('Plan mensual'!O49+IF(parametros_carros!$H$27="Todos",'Plan mensual'!O53,0)))/60</f>
        <v>21.49986667</v>
      </c>
      <c r="N90" s="9">
        <f t="shared" si="13"/>
        <v>268.7483333</v>
      </c>
      <c r="O90" s="9">
        <f t="shared" si="14"/>
        <v>24.18735</v>
      </c>
      <c r="P90" s="32">
        <f>IF(parametros_carros!$B$7=0,0,(O90+parametros_carros!$G$53)/parametros_carros!$B$7)</f>
        <v>0.181249</v>
      </c>
      <c r="Q90" s="21" t="str">
        <f t="shared" si="15"/>
        <v>Mar</v>
      </c>
    </row>
    <row r="91" ht="14.25" customHeight="1">
      <c r="A91" s="2" t="str">
        <f>parametros_carros!$B$28</f>
        <v>Fabricación de accesorios</v>
      </c>
      <c r="B91" s="9">
        <f>(parametros_carros!$D$28*('Plan mensual'!D46+IF(parametros_carros!$H$28="Todos",'Plan mensual'!D50,0))+parametros_carros!$E$28*('Plan mensual'!D47+IF(parametros_carros!$H$28="Todos",'Plan mensual'!D51,0))+parametros_carros!$F$28*('Plan mensual'!D48+IF(parametros_carros!$H$28="Todos",'Plan mensual'!D52,0))+parametros_carros!$G$28*('Plan mensual'!D49+IF(parametros_carros!$H$28="Todos",'Plan mensual'!D53,0)))/60</f>
        <v>15.521</v>
      </c>
      <c r="C91" s="9">
        <f>(parametros_carros!$D$28*('Plan mensual'!E46+IF(parametros_carros!$H$28="Todos",'Plan mensual'!E50,0))+parametros_carros!$E$28*('Plan mensual'!E47+IF(parametros_carros!$H$28="Todos",'Plan mensual'!E51,0))+parametros_carros!$F$28*('Plan mensual'!E48+IF(parametros_carros!$H$28="Todos",'Plan mensual'!E52,0))+parametros_carros!$G$28*('Plan mensual'!E49+IF(parametros_carros!$H$28="Todos",'Plan mensual'!E53,0)))/60</f>
        <v>13.695</v>
      </c>
      <c r="D91" s="9">
        <f>(parametros_carros!$D$28*('Plan mensual'!F46+IF(parametros_carros!$H$28="Todos",'Plan mensual'!F50,0))+parametros_carros!$E$28*('Plan mensual'!F47+IF(parametros_carros!$H$28="Todos",'Plan mensual'!F51,0))+parametros_carros!$F$28*('Plan mensual'!F48+IF(parametros_carros!$H$28="Todos",'Plan mensual'!F52,0))+parametros_carros!$G$28*('Plan mensual'!F49+IF(parametros_carros!$H$28="Todos",'Plan mensual'!F53,0)))/60</f>
        <v>16.434</v>
      </c>
      <c r="E91" s="9">
        <f>(parametros_carros!$D$28*('Plan mensual'!G46+IF(parametros_carros!$H$28="Todos",'Plan mensual'!G50,0))+parametros_carros!$E$28*('Plan mensual'!G47+IF(parametros_carros!$H$28="Todos",'Plan mensual'!G51,0))+parametros_carros!$F$28*('Plan mensual'!G48+IF(parametros_carros!$H$28="Todos",'Plan mensual'!G52,0))+parametros_carros!$G$28*('Plan mensual'!G49+IF(parametros_carros!$H$28="Todos",'Plan mensual'!G53,0)))/60</f>
        <v>16.434</v>
      </c>
      <c r="F91" s="9">
        <f>(parametros_carros!$D$28*('Plan mensual'!H46+IF(parametros_carros!$H$28="Todos",'Plan mensual'!H50,0))+parametros_carros!$E$28*('Plan mensual'!H47+IF(parametros_carros!$H$28="Todos",'Plan mensual'!H51,0))+parametros_carros!$F$28*('Plan mensual'!H48+IF(parametros_carros!$H$28="Todos",'Plan mensual'!H52,0))+parametros_carros!$G$28*('Plan mensual'!H49+IF(parametros_carros!$H$28="Todos",'Plan mensual'!H53,0)))/60</f>
        <v>16.434</v>
      </c>
      <c r="G91" s="9">
        <f>(parametros_carros!$D$28*('Plan mensual'!I46+IF(parametros_carros!$H$28="Todos",'Plan mensual'!I50,0))+parametros_carros!$E$28*('Plan mensual'!I47+IF(parametros_carros!$H$28="Todos",'Plan mensual'!I51,0))+parametros_carros!$F$28*('Plan mensual'!I48+IF(parametros_carros!$H$28="Todos",'Plan mensual'!I52,0))+parametros_carros!$G$28*('Plan mensual'!I49+IF(parametros_carros!$H$28="Todos",'Plan mensual'!I53,0)))/60</f>
        <v>14.608</v>
      </c>
      <c r="H91" s="9">
        <f>(parametros_carros!$D$28*('Plan mensual'!J46+IF(parametros_carros!$H$28="Todos",'Plan mensual'!J50,0))+parametros_carros!$E$28*('Plan mensual'!J47+IF(parametros_carros!$H$28="Todos",'Plan mensual'!J51,0))+parametros_carros!$F$28*('Plan mensual'!J48+IF(parametros_carros!$H$28="Todos",'Plan mensual'!J52,0))+parametros_carros!$G$28*('Plan mensual'!J49+IF(parametros_carros!$H$28="Todos",'Plan mensual'!J53,0)))/60</f>
        <v>16.434</v>
      </c>
      <c r="I91" s="9">
        <f>(parametros_carros!$D$28*('Plan mensual'!K46+IF(parametros_carros!$H$28="Todos",'Plan mensual'!K50,0))+parametros_carros!$E$28*('Plan mensual'!K47+IF(parametros_carros!$H$28="Todos",'Plan mensual'!K51,0))+parametros_carros!$F$28*('Plan mensual'!K48+IF(parametros_carros!$H$28="Todos",'Plan mensual'!K52,0))+parametros_carros!$G$28*('Plan mensual'!K49+IF(parametros_carros!$H$28="Todos",'Plan mensual'!K53,0)))/60</f>
        <v>16.434</v>
      </c>
      <c r="J91" s="9">
        <f>(parametros_carros!$D$28*('Plan mensual'!L46+IF(parametros_carros!$H$28="Todos",'Plan mensual'!L50,0))+parametros_carros!$E$28*('Plan mensual'!L47+IF(parametros_carros!$H$28="Todos",'Plan mensual'!L51,0))+parametros_carros!$F$28*('Plan mensual'!L48+IF(parametros_carros!$H$28="Todos",'Plan mensual'!L52,0))+parametros_carros!$G$28*('Plan mensual'!L49+IF(parametros_carros!$H$28="Todos",'Plan mensual'!L53,0)))/60</f>
        <v>15.521</v>
      </c>
      <c r="K91" s="9">
        <f>(parametros_carros!$D$28*('Plan mensual'!M46+IF(parametros_carros!$H$28="Todos",'Plan mensual'!M50,0))+parametros_carros!$E$28*('Plan mensual'!M47+IF(parametros_carros!$H$28="Todos",'Plan mensual'!M51,0))+parametros_carros!$F$28*('Plan mensual'!M48+IF(parametros_carros!$H$28="Todos",'Plan mensual'!M52,0))+parametros_carros!$G$28*('Plan mensual'!M49+IF(parametros_carros!$H$28="Todos",'Plan mensual'!M53,0)))/60</f>
        <v>13.695</v>
      </c>
      <c r="L91" s="9">
        <f>(parametros_carros!$D$28*('Plan mensual'!N46+IF(parametros_carros!$H$28="Todos",'Plan mensual'!N50,0))+parametros_carros!$E$28*('Plan mensual'!N47+IF(parametros_carros!$H$28="Todos",'Plan mensual'!N51,0))+parametros_carros!$F$28*('Plan mensual'!N48+IF(parametros_carros!$H$28="Todos",'Plan mensual'!N52,0))+parametros_carros!$G$28*('Plan mensual'!N49+IF(parametros_carros!$H$28="Todos",'Plan mensual'!N53,0)))/60</f>
        <v>12.782</v>
      </c>
      <c r="M91" s="9">
        <f>(parametros_carros!$D$28*('Plan mensual'!O46+IF(parametros_carros!$H$28="Todos",'Plan mensual'!O50,0))+parametros_carros!$E$28*('Plan mensual'!O47+IF(parametros_carros!$H$28="Todos",'Plan mensual'!O51,0))+parametros_carros!$F$28*('Plan mensual'!O48+IF(parametros_carros!$H$28="Todos",'Plan mensual'!O52,0))+parametros_carros!$G$28*('Plan mensual'!O49+IF(parametros_carros!$H$28="Todos",'Plan mensual'!O53,0)))/60</f>
        <v>14.608</v>
      </c>
      <c r="N91" s="9">
        <f t="shared" si="13"/>
        <v>182.6</v>
      </c>
      <c r="O91" s="9">
        <f t="shared" si="14"/>
        <v>16.434</v>
      </c>
      <c r="P91" s="32">
        <f>IF(parametros_carros!$B$7=0,0,(O91+parametros_carros!$G$54)/parametros_carros!$B$7)</f>
        <v>0.1428933333</v>
      </c>
      <c r="Q91" s="21" t="str">
        <f t="shared" si="15"/>
        <v>Mar</v>
      </c>
    </row>
    <row r="92" ht="14.25" customHeight="1">
      <c r="A92" s="2" t="str">
        <f>parametros_carros!$B$29</f>
        <v>Prueba hidráulica</v>
      </c>
      <c r="B92" s="9">
        <f>(parametros_carros!$D$29*('Plan mensual'!D46+IF(parametros_carros!$H$29="Todos",'Plan mensual'!D50,0))+parametros_carros!$E$29*('Plan mensual'!D47+IF(parametros_carros!$H$29="Todos",'Plan mensual'!D51,0))+parametros_carros!$F$29*('Plan mensual'!D48+IF(parametros_carros!$H$29="Todos",'Plan mensual'!D52,0))+parametros_carros!$G$29*('Plan mensual'!D49+IF(parametros_carros!$H$29="Todos",'Plan mensual'!D53,0)))/60</f>
        <v>12.67078</v>
      </c>
      <c r="C92" s="9">
        <f>(parametros_carros!$D$29*('Plan mensual'!E46+IF(parametros_carros!$H$29="Todos",'Plan mensual'!E50,0))+parametros_carros!$E$29*('Plan mensual'!E47+IF(parametros_carros!$H$29="Todos",'Plan mensual'!E51,0))+parametros_carros!$F$29*('Plan mensual'!E48+IF(parametros_carros!$H$29="Todos",'Plan mensual'!E52,0))+parametros_carros!$G$29*('Plan mensual'!E49+IF(parametros_carros!$H$29="Todos",'Plan mensual'!E53,0)))/60</f>
        <v>11.1801</v>
      </c>
      <c r="D92" s="9">
        <f>(parametros_carros!$D$29*('Plan mensual'!F46+IF(parametros_carros!$H$29="Todos",'Plan mensual'!F50,0))+parametros_carros!$E$29*('Plan mensual'!F47+IF(parametros_carros!$H$29="Todos",'Plan mensual'!F51,0))+parametros_carros!$F$29*('Plan mensual'!F48+IF(parametros_carros!$H$29="Todos",'Plan mensual'!F52,0))+parametros_carros!$G$29*('Plan mensual'!F49+IF(parametros_carros!$H$29="Todos",'Plan mensual'!F53,0)))/60</f>
        <v>13.41612</v>
      </c>
      <c r="E92" s="9">
        <f>(parametros_carros!$D$29*('Plan mensual'!G46+IF(parametros_carros!$H$29="Todos",'Plan mensual'!G50,0))+parametros_carros!$E$29*('Plan mensual'!G47+IF(parametros_carros!$H$29="Todos",'Plan mensual'!G51,0))+parametros_carros!$F$29*('Plan mensual'!G48+IF(parametros_carros!$H$29="Todos",'Plan mensual'!G52,0))+parametros_carros!$G$29*('Plan mensual'!G49+IF(parametros_carros!$H$29="Todos",'Plan mensual'!G53,0)))/60</f>
        <v>13.41612</v>
      </c>
      <c r="F92" s="9">
        <f>(parametros_carros!$D$29*('Plan mensual'!H46+IF(parametros_carros!$H$29="Todos",'Plan mensual'!H50,0))+parametros_carros!$E$29*('Plan mensual'!H47+IF(parametros_carros!$H$29="Todos",'Plan mensual'!H51,0))+parametros_carros!$F$29*('Plan mensual'!H48+IF(parametros_carros!$H$29="Todos",'Plan mensual'!H52,0))+parametros_carros!$G$29*('Plan mensual'!H49+IF(parametros_carros!$H$29="Todos",'Plan mensual'!H53,0)))/60</f>
        <v>13.41612</v>
      </c>
      <c r="G92" s="9">
        <f>(parametros_carros!$D$29*('Plan mensual'!I46+IF(parametros_carros!$H$29="Todos",'Plan mensual'!I50,0))+parametros_carros!$E$29*('Plan mensual'!I47+IF(parametros_carros!$H$29="Todos",'Plan mensual'!I51,0))+parametros_carros!$F$29*('Plan mensual'!I48+IF(parametros_carros!$H$29="Todos",'Plan mensual'!I52,0))+parametros_carros!$G$29*('Plan mensual'!I49+IF(parametros_carros!$H$29="Todos",'Plan mensual'!I53,0)))/60</f>
        <v>11.92544</v>
      </c>
      <c r="H92" s="9">
        <f>(parametros_carros!$D$29*('Plan mensual'!J46+IF(parametros_carros!$H$29="Todos",'Plan mensual'!J50,0))+parametros_carros!$E$29*('Plan mensual'!J47+IF(parametros_carros!$H$29="Todos",'Plan mensual'!J51,0))+parametros_carros!$F$29*('Plan mensual'!J48+IF(parametros_carros!$H$29="Todos",'Plan mensual'!J52,0))+parametros_carros!$G$29*('Plan mensual'!J49+IF(parametros_carros!$H$29="Todos",'Plan mensual'!J53,0)))/60</f>
        <v>13.41612</v>
      </c>
      <c r="I92" s="9">
        <f>(parametros_carros!$D$29*('Plan mensual'!K46+IF(parametros_carros!$H$29="Todos",'Plan mensual'!K50,0))+parametros_carros!$E$29*('Plan mensual'!K47+IF(parametros_carros!$H$29="Todos",'Plan mensual'!K51,0))+parametros_carros!$F$29*('Plan mensual'!K48+IF(parametros_carros!$H$29="Todos",'Plan mensual'!K52,0))+parametros_carros!$G$29*('Plan mensual'!K49+IF(parametros_carros!$H$29="Todos",'Plan mensual'!K53,0)))/60</f>
        <v>13.41612</v>
      </c>
      <c r="J92" s="9">
        <f>(parametros_carros!$D$29*('Plan mensual'!L46+IF(parametros_carros!$H$29="Todos",'Plan mensual'!L50,0))+parametros_carros!$E$29*('Plan mensual'!L47+IF(parametros_carros!$H$29="Todos",'Plan mensual'!L51,0))+parametros_carros!$F$29*('Plan mensual'!L48+IF(parametros_carros!$H$29="Todos",'Plan mensual'!L52,0))+parametros_carros!$G$29*('Plan mensual'!L49+IF(parametros_carros!$H$29="Todos",'Plan mensual'!L53,0)))/60</f>
        <v>12.67078</v>
      </c>
      <c r="K92" s="9">
        <f>(parametros_carros!$D$29*('Plan mensual'!M46+IF(parametros_carros!$H$29="Todos",'Plan mensual'!M50,0))+parametros_carros!$E$29*('Plan mensual'!M47+IF(parametros_carros!$H$29="Todos",'Plan mensual'!M51,0))+parametros_carros!$F$29*('Plan mensual'!M48+IF(parametros_carros!$H$29="Todos",'Plan mensual'!M52,0))+parametros_carros!$G$29*('Plan mensual'!M49+IF(parametros_carros!$H$29="Todos",'Plan mensual'!M53,0)))/60</f>
        <v>11.1801</v>
      </c>
      <c r="L92" s="9">
        <f>(parametros_carros!$D$29*('Plan mensual'!N46+IF(parametros_carros!$H$29="Todos",'Plan mensual'!N50,0))+parametros_carros!$E$29*('Plan mensual'!N47+IF(parametros_carros!$H$29="Todos",'Plan mensual'!N51,0))+parametros_carros!$F$29*('Plan mensual'!N48+IF(parametros_carros!$H$29="Todos",'Plan mensual'!N52,0))+parametros_carros!$G$29*('Plan mensual'!N49+IF(parametros_carros!$H$29="Todos",'Plan mensual'!N53,0)))/60</f>
        <v>10.43476</v>
      </c>
      <c r="M92" s="9">
        <f>(parametros_carros!$D$29*('Plan mensual'!O46+IF(parametros_carros!$H$29="Todos",'Plan mensual'!O50,0))+parametros_carros!$E$29*('Plan mensual'!O47+IF(parametros_carros!$H$29="Todos",'Plan mensual'!O51,0))+parametros_carros!$F$29*('Plan mensual'!O48+IF(parametros_carros!$H$29="Todos",'Plan mensual'!O52,0))+parametros_carros!$G$29*('Plan mensual'!O49+IF(parametros_carros!$H$29="Todos",'Plan mensual'!O53,0)))/60</f>
        <v>11.92544</v>
      </c>
      <c r="N92" s="9">
        <f t="shared" si="13"/>
        <v>149.068</v>
      </c>
      <c r="O92" s="9">
        <f t="shared" si="14"/>
        <v>13.41612</v>
      </c>
      <c r="P92" s="32">
        <f>IF(parametros_carros!$B$7=0,0,(O92+parametros_carros!$G$55)/parametros_carros!$B$7)</f>
        <v>0.1116630222</v>
      </c>
      <c r="Q92" s="21" t="str">
        <f t="shared" si="15"/>
        <v>Mar</v>
      </c>
    </row>
    <row r="93" ht="14.25" customHeight="1">
      <c r="A93" s="2" t="str">
        <f>parametros_carros!$B$30</f>
        <v>Secado</v>
      </c>
      <c r="B93" s="9">
        <f>(parametros_carros!$D$30*('Plan mensual'!D46+IF(parametros_carros!$H$30="Todos",'Plan mensual'!D50,0))+parametros_carros!$E$30*('Plan mensual'!D47+IF(parametros_carros!$H$30="Todos",'Plan mensual'!D51,0))+parametros_carros!$F$30*('Plan mensual'!D48+IF(parametros_carros!$H$30="Todos",'Plan mensual'!D52,0))+parametros_carros!$G$30*('Plan mensual'!D49+IF(parametros_carros!$H$30="Todos",'Plan mensual'!D53,0)))/60</f>
        <v>14.195</v>
      </c>
      <c r="C93" s="9">
        <f>(parametros_carros!$D$30*('Plan mensual'!E46+IF(parametros_carros!$H$30="Todos",'Plan mensual'!E50,0))+parametros_carros!$E$30*('Plan mensual'!E47+IF(parametros_carros!$H$30="Todos",'Plan mensual'!E51,0))+parametros_carros!$F$30*('Plan mensual'!E48+IF(parametros_carros!$H$30="Todos",'Plan mensual'!E52,0))+parametros_carros!$G$30*('Plan mensual'!E49+IF(parametros_carros!$H$30="Todos",'Plan mensual'!E53,0)))/60</f>
        <v>12.525</v>
      </c>
      <c r="D93" s="9">
        <f>(parametros_carros!$D$30*('Plan mensual'!F46+IF(parametros_carros!$H$30="Todos",'Plan mensual'!F50,0))+parametros_carros!$E$30*('Plan mensual'!F47+IF(parametros_carros!$H$30="Todos",'Plan mensual'!F51,0))+parametros_carros!$F$30*('Plan mensual'!F48+IF(parametros_carros!$H$30="Todos",'Plan mensual'!F52,0))+parametros_carros!$G$30*('Plan mensual'!F49+IF(parametros_carros!$H$30="Todos",'Plan mensual'!F53,0)))/60</f>
        <v>15.03</v>
      </c>
      <c r="E93" s="9">
        <f>(parametros_carros!$D$30*('Plan mensual'!G46+IF(parametros_carros!$H$30="Todos",'Plan mensual'!G50,0))+parametros_carros!$E$30*('Plan mensual'!G47+IF(parametros_carros!$H$30="Todos",'Plan mensual'!G51,0))+parametros_carros!$F$30*('Plan mensual'!G48+IF(parametros_carros!$H$30="Todos",'Plan mensual'!G52,0))+parametros_carros!$G$30*('Plan mensual'!G49+IF(parametros_carros!$H$30="Todos",'Plan mensual'!G53,0)))/60</f>
        <v>15.03</v>
      </c>
      <c r="F93" s="9">
        <f>(parametros_carros!$D$30*('Plan mensual'!H46+IF(parametros_carros!$H$30="Todos",'Plan mensual'!H50,0))+parametros_carros!$E$30*('Plan mensual'!H47+IF(parametros_carros!$H$30="Todos",'Plan mensual'!H51,0))+parametros_carros!$F$30*('Plan mensual'!H48+IF(parametros_carros!$H$30="Todos",'Plan mensual'!H52,0))+parametros_carros!$G$30*('Plan mensual'!H49+IF(parametros_carros!$H$30="Todos",'Plan mensual'!H53,0)))/60</f>
        <v>15.03</v>
      </c>
      <c r="G93" s="9">
        <f>(parametros_carros!$D$30*('Plan mensual'!I46+IF(parametros_carros!$H$30="Todos",'Plan mensual'!I50,0))+parametros_carros!$E$30*('Plan mensual'!I47+IF(parametros_carros!$H$30="Todos",'Plan mensual'!I51,0))+parametros_carros!$F$30*('Plan mensual'!I48+IF(parametros_carros!$H$30="Todos",'Plan mensual'!I52,0))+parametros_carros!$G$30*('Plan mensual'!I49+IF(parametros_carros!$H$30="Todos",'Plan mensual'!I53,0)))/60</f>
        <v>13.36</v>
      </c>
      <c r="H93" s="9">
        <f>(parametros_carros!$D$30*('Plan mensual'!J46+IF(parametros_carros!$H$30="Todos",'Plan mensual'!J50,0))+parametros_carros!$E$30*('Plan mensual'!J47+IF(parametros_carros!$H$30="Todos",'Plan mensual'!J51,0))+parametros_carros!$F$30*('Plan mensual'!J48+IF(parametros_carros!$H$30="Todos",'Plan mensual'!J52,0))+parametros_carros!$G$30*('Plan mensual'!J49+IF(parametros_carros!$H$30="Todos",'Plan mensual'!J53,0)))/60</f>
        <v>15.03</v>
      </c>
      <c r="I93" s="9">
        <f>(parametros_carros!$D$30*('Plan mensual'!K46+IF(parametros_carros!$H$30="Todos",'Plan mensual'!K50,0))+parametros_carros!$E$30*('Plan mensual'!K47+IF(parametros_carros!$H$30="Todos",'Plan mensual'!K51,0))+parametros_carros!$F$30*('Plan mensual'!K48+IF(parametros_carros!$H$30="Todos",'Plan mensual'!K52,0))+parametros_carros!$G$30*('Plan mensual'!K49+IF(parametros_carros!$H$30="Todos",'Plan mensual'!K53,0)))/60</f>
        <v>15.03</v>
      </c>
      <c r="J93" s="9">
        <f>(parametros_carros!$D$30*('Plan mensual'!L46+IF(parametros_carros!$H$30="Todos",'Plan mensual'!L50,0))+parametros_carros!$E$30*('Plan mensual'!L47+IF(parametros_carros!$H$30="Todos",'Plan mensual'!L51,0))+parametros_carros!$F$30*('Plan mensual'!L48+IF(parametros_carros!$H$30="Todos",'Plan mensual'!L52,0))+parametros_carros!$G$30*('Plan mensual'!L49+IF(parametros_carros!$H$30="Todos",'Plan mensual'!L53,0)))/60</f>
        <v>14.195</v>
      </c>
      <c r="K93" s="9">
        <f>(parametros_carros!$D$30*('Plan mensual'!M46+IF(parametros_carros!$H$30="Todos",'Plan mensual'!M50,0))+parametros_carros!$E$30*('Plan mensual'!M47+IF(parametros_carros!$H$30="Todos",'Plan mensual'!M51,0))+parametros_carros!$F$30*('Plan mensual'!M48+IF(parametros_carros!$H$30="Todos",'Plan mensual'!M52,0))+parametros_carros!$G$30*('Plan mensual'!M49+IF(parametros_carros!$H$30="Todos",'Plan mensual'!M53,0)))/60</f>
        <v>12.525</v>
      </c>
      <c r="L93" s="9">
        <f>(parametros_carros!$D$30*('Plan mensual'!N46+IF(parametros_carros!$H$30="Todos",'Plan mensual'!N50,0))+parametros_carros!$E$30*('Plan mensual'!N47+IF(parametros_carros!$H$30="Todos",'Plan mensual'!N51,0))+parametros_carros!$F$30*('Plan mensual'!N48+IF(parametros_carros!$H$30="Todos",'Plan mensual'!N52,0))+parametros_carros!$G$30*('Plan mensual'!N49+IF(parametros_carros!$H$30="Todos",'Plan mensual'!N53,0)))/60</f>
        <v>11.69</v>
      </c>
      <c r="M93" s="9">
        <f>(parametros_carros!$D$30*('Plan mensual'!O46+IF(parametros_carros!$H$30="Todos",'Plan mensual'!O50,0))+parametros_carros!$E$30*('Plan mensual'!O47+IF(parametros_carros!$H$30="Todos",'Plan mensual'!O51,0))+parametros_carros!$F$30*('Plan mensual'!O48+IF(parametros_carros!$H$30="Todos",'Plan mensual'!O52,0))+parametros_carros!$G$30*('Plan mensual'!O49+IF(parametros_carros!$H$30="Todos",'Plan mensual'!O53,0)))/60</f>
        <v>13.36</v>
      </c>
      <c r="N93" s="9">
        <f t="shared" si="13"/>
        <v>167</v>
      </c>
      <c r="O93" s="9">
        <f t="shared" si="14"/>
        <v>15.03</v>
      </c>
      <c r="P93" s="32">
        <f>IF(parametros_carros!$B$7=0,0,(O93+parametros_carros!$G$56)/parametros_carros!$B$7)</f>
        <v>0.1002</v>
      </c>
      <c r="Q93" s="21" t="str">
        <f t="shared" si="15"/>
        <v>Mar</v>
      </c>
    </row>
    <row r="94" ht="14.25" customHeight="1">
      <c r="A94" s="2" t="str">
        <f>parametros_carros!$B$31</f>
        <v>Pulmón de despacho y carga a pintura</v>
      </c>
      <c r="B94" s="9">
        <f>(parametros_carros!$D$31*('Plan mensual'!D46+IF(parametros_carros!$H$31="Todos",'Plan mensual'!D50,0))+parametros_carros!$E$31*('Plan mensual'!D47+IF(parametros_carros!$H$31="Todos",'Plan mensual'!D51,0))+parametros_carros!$F$31*('Plan mensual'!D48+IF(parametros_carros!$H$31="Todos",'Plan mensual'!D52,0))+parametros_carros!$G$31*('Plan mensual'!D49+IF(parametros_carros!$H$31="Todos",'Plan mensual'!D53,0)))/60</f>
        <v>2.2573875</v>
      </c>
      <c r="C94" s="9">
        <f>(parametros_carros!$D$31*('Plan mensual'!E46+IF(parametros_carros!$H$31="Todos",'Plan mensual'!E50,0))+parametros_carros!$E$31*('Plan mensual'!E47+IF(parametros_carros!$H$31="Todos",'Plan mensual'!E51,0))+parametros_carros!$F$31*('Plan mensual'!E48+IF(parametros_carros!$H$31="Todos",'Plan mensual'!E52,0))+parametros_carros!$G$31*('Plan mensual'!E49+IF(parametros_carros!$H$31="Todos",'Plan mensual'!E53,0)))/60</f>
        <v>1.9918125</v>
      </c>
      <c r="D94" s="9">
        <f>(parametros_carros!$D$31*('Plan mensual'!F46+IF(parametros_carros!$H$31="Todos",'Plan mensual'!F50,0))+parametros_carros!$E$31*('Plan mensual'!F47+IF(parametros_carros!$H$31="Todos",'Plan mensual'!F51,0))+parametros_carros!$F$31*('Plan mensual'!F48+IF(parametros_carros!$H$31="Todos",'Plan mensual'!F52,0))+parametros_carros!$G$31*('Plan mensual'!F49+IF(parametros_carros!$H$31="Todos",'Plan mensual'!F53,0)))/60</f>
        <v>2.390175</v>
      </c>
      <c r="E94" s="9">
        <f>(parametros_carros!$D$31*('Plan mensual'!G46+IF(parametros_carros!$H$31="Todos",'Plan mensual'!G50,0))+parametros_carros!$E$31*('Plan mensual'!G47+IF(parametros_carros!$H$31="Todos",'Plan mensual'!G51,0))+parametros_carros!$F$31*('Plan mensual'!G48+IF(parametros_carros!$H$31="Todos",'Plan mensual'!G52,0))+parametros_carros!$G$31*('Plan mensual'!G49+IF(parametros_carros!$H$31="Todos",'Plan mensual'!G53,0)))/60</f>
        <v>2.390175</v>
      </c>
      <c r="F94" s="9">
        <f>(parametros_carros!$D$31*('Plan mensual'!H46+IF(parametros_carros!$H$31="Todos",'Plan mensual'!H50,0))+parametros_carros!$E$31*('Plan mensual'!H47+IF(parametros_carros!$H$31="Todos",'Plan mensual'!H51,0))+parametros_carros!$F$31*('Plan mensual'!H48+IF(parametros_carros!$H$31="Todos",'Plan mensual'!H52,0))+parametros_carros!$G$31*('Plan mensual'!H49+IF(parametros_carros!$H$31="Todos",'Plan mensual'!H53,0)))/60</f>
        <v>2.390175</v>
      </c>
      <c r="G94" s="9">
        <f>(parametros_carros!$D$31*('Plan mensual'!I46+IF(parametros_carros!$H$31="Todos",'Plan mensual'!I50,0))+parametros_carros!$E$31*('Plan mensual'!I47+IF(parametros_carros!$H$31="Todos",'Plan mensual'!I51,0))+parametros_carros!$F$31*('Plan mensual'!I48+IF(parametros_carros!$H$31="Todos",'Plan mensual'!I52,0))+parametros_carros!$G$31*('Plan mensual'!I49+IF(parametros_carros!$H$31="Todos",'Plan mensual'!I53,0)))/60</f>
        <v>2.1246</v>
      </c>
      <c r="H94" s="9">
        <f>(parametros_carros!$D$31*('Plan mensual'!J46+IF(parametros_carros!$H$31="Todos",'Plan mensual'!J50,0))+parametros_carros!$E$31*('Plan mensual'!J47+IF(parametros_carros!$H$31="Todos",'Plan mensual'!J51,0))+parametros_carros!$F$31*('Plan mensual'!J48+IF(parametros_carros!$H$31="Todos",'Plan mensual'!J52,0))+parametros_carros!$G$31*('Plan mensual'!J49+IF(parametros_carros!$H$31="Todos",'Plan mensual'!J53,0)))/60</f>
        <v>2.390175</v>
      </c>
      <c r="I94" s="9">
        <f>(parametros_carros!$D$31*('Plan mensual'!K46+IF(parametros_carros!$H$31="Todos",'Plan mensual'!K50,0))+parametros_carros!$E$31*('Plan mensual'!K47+IF(parametros_carros!$H$31="Todos",'Plan mensual'!K51,0))+parametros_carros!$F$31*('Plan mensual'!K48+IF(parametros_carros!$H$31="Todos",'Plan mensual'!K52,0))+parametros_carros!$G$31*('Plan mensual'!K49+IF(parametros_carros!$H$31="Todos",'Plan mensual'!K53,0)))/60</f>
        <v>2.390175</v>
      </c>
      <c r="J94" s="9">
        <f>(parametros_carros!$D$31*('Plan mensual'!L46+IF(parametros_carros!$H$31="Todos",'Plan mensual'!L50,0))+parametros_carros!$E$31*('Plan mensual'!L47+IF(parametros_carros!$H$31="Todos",'Plan mensual'!L51,0))+parametros_carros!$F$31*('Plan mensual'!L48+IF(parametros_carros!$H$31="Todos",'Plan mensual'!L52,0))+parametros_carros!$G$31*('Plan mensual'!L49+IF(parametros_carros!$H$31="Todos",'Plan mensual'!L53,0)))/60</f>
        <v>2.2573875</v>
      </c>
      <c r="K94" s="9">
        <f>(parametros_carros!$D$31*('Plan mensual'!M46+IF(parametros_carros!$H$31="Todos",'Plan mensual'!M50,0))+parametros_carros!$E$31*('Plan mensual'!M47+IF(parametros_carros!$H$31="Todos",'Plan mensual'!M51,0))+parametros_carros!$F$31*('Plan mensual'!M48+IF(parametros_carros!$H$31="Todos",'Plan mensual'!M52,0))+parametros_carros!$G$31*('Plan mensual'!M49+IF(parametros_carros!$H$31="Todos",'Plan mensual'!M53,0)))/60</f>
        <v>1.9918125</v>
      </c>
      <c r="L94" s="9">
        <f>(parametros_carros!$D$31*('Plan mensual'!N46+IF(parametros_carros!$H$31="Todos",'Plan mensual'!N50,0))+parametros_carros!$E$31*('Plan mensual'!N47+IF(parametros_carros!$H$31="Todos",'Plan mensual'!N51,0))+parametros_carros!$F$31*('Plan mensual'!N48+IF(parametros_carros!$H$31="Todos",'Plan mensual'!N52,0))+parametros_carros!$G$31*('Plan mensual'!N49+IF(parametros_carros!$H$31="Todos",'Plan mensual'!N53,0)))/60</f>
        <v>1.859025</v>
      </c>
      <c r="M94" s="9">
        <f>(parametros_carros!$D$31*('Plan mensual'!O46+IF(parametros_carros!$H$31="Todos",'Plan mensual'!O50,0))+parametros_carros!$E$31*('Plan mensual'!O47+IF(parametros_carros!$H$31="Todos",'Plan mensual'!O51,0))+parametros_carros!$F$31*('Plan mensual'!O48+IF(parametros_carros!$H$31="Todos",'Plan mensual'!O52,0))+parametros_carros!$G$31*('Plan mensual'!O49+IF(parametros_carros!$H$31="Todos",'Plan mensual'!O53,0)))/60</f>
        <v>2.1246</v>
      </c>
      <c r="N94" s="9">
        <f t="shared" si="13"/>
        <v>26.5575</v>
      </c>
      <c r="O94" s="9">
        <f t="shared" si="14"/>
        <v>2.390175</v>
      </c>
      <c r="P94" s="32">
        <f>IF(parametros_carros!$B$7=0,0,(O94+parametros_carros!$G$57)/parametros_carros!$B$7)</f>
        <v>0.02482338889</v>
      </c>
      <c r="Q94" s="21" t="str">
        <f t="shared" si="15"/>
        <v>Mar</v>
      </c>
    </row>
    <row r="95" ht="14.25" customHeight="1">
      <c r="A95" s="2" t="str">
        <f>parametros_carros!$B$32</f>
        <v>Recepción de pintados y cambio de juego</v>
      </c>
      <c r="B95" s="9">
        <f>(parametros_carros!$D$32*('Plan mensual'!D46+IF(parametros_carros!$H$32="Todos",'Plan mensual'!D50,0))+parametros_carros!$E$32*('Plan mensual'!D47+IF(parametros_carros!$H$32="Todos",'Plan mensual'!D51,0))+parametros_carros!$F$32*('Plan mensual'!D48+IF(parametros_carros!$H$32="Todos",'Plan mensual'!D52,0))+parametros_carros!$G$32*('Plan mensual'!D49+IF(parametros_carros!$H$32="Todos",'Plan mensual'!D53,0)))/60</f>
        <v>4.416175</v>
      </c>
      <c r="C95" s="9">
        <f>(parametros_carros!$D$32*('Plan mensual'!E46+IF(parametros_carros!$H$32="Todos",'Plan mensual'!E50,0))+parametros_carros!$E$32*('Plan mensual'!E47+IF(parametros_carros!$H$32="Todos",'Plan mensual'!E51,0))+parametros_carros!$F$32*('Plan mensual'!E48+IF(parametros_carros!$H$32="Todos",'Plan mensual'!E52,0))+parametros_carros!$G$32*('Plan mensual'!E49+IF(parametros_carros!$H$32="Todos",'Plan mensual'!E53,0)))/60</f>
        <v>3.896625</v>
      </c>
      <c r="D95" s="9">
        <f>(parametros_carros!$D$32*('Plan mensual'!F46+IF(parametros_carros!$H$32="Todos",'Plan mensual'!F50,0))+parametros_carros!$E$32*('Plan mensual'!F47+IF(parametros_carros!$H$32="Todos",'Plan mensual'!F51,0))+parametros_carros!$F$32*('Plan mensual'!F48+IF(parametros_carros!$H$32="Todos",'Plan mensual'!F52,0))+parametros_carros!$G$32*('Plan mensual'!F49+IF(parametros_carros!$H$32="Todos",'Plan mensual'!F53,0)))/60</f>
        <v>4.67595</v>
      </c>
      <c r="E95" s="9">
        <f>(parametros_carros!$D$32*('Plan mensual'!G46+IF(parametros_carros!$H$32="Todos",'Plan mensual'!G50,0))+parametros_carros!$E$32*('Plan mensual'!G47+IF(parametros_carros!$H$32="Todos",'Plan mensual'!G51,0))+parametros_carros!$F$32*('Plan mensual'!G48+IF(parametros_carros!$H$32="Todos",'Plan mensual'!G52,0))+parametros_carros!$G$32*('Plan mensual'!G49+IF(parametros_carros!$H$32="Todos",'Plan mensual'!G53,0)))/60</f>
        <v>4.67595</v>
      </c>
      <c r="F95" s="9">
        <f>(parametros_carros!$D$32*('Plan mensual'!H46+IF(parametros_carros!$H$32="Todos",'Plan mensual'!H50,0))+parametros_carros!$E$32*('Plan mensual'!H47+IF(parametros_carros!$H$32="Todos",'Plan mensual'!H51,0))+parametros_carros!$F$32*('Plan mensual'!H48+IF(parametros_carros!$H$32="Todos",'Plan mensual'!H52,0))+parametros_carros!$G$32*('Plan mensual'!H49+IF(parametros_carros!$H$32="Todos",'Plan mensual'!H53,0)))/60</f>
        <v>4.67595</v>
      </c>
      <c r="G95" s="9">
        <f>(parametros_carros!$D$32*('Plan mensual'!I46+IF(parametros_carros!$H$32="Todos",'Plan mensual'!I50,0))+parametros_carros!$E$32*('Plan mensual'!I47+IF(parametros_carros!$H$32="Todos",'Plan mensual'!I51,0))+parametros_carros!$F$32*('Plan mensual'!I48+IF(parametros_carros!$H$32="Todos",'Plan mensual'!I52,0))+parametros_carros!$G$32*('Plan mensual'!I49+IF(parametros_carros!$H$32="Todos",'Plan mensual'!I53,0)))/60</f>
        <v>4.1564</v>
      </c>
      <c r="H95" s="9">
        <f>(parametros_carros!$D$32*('Plan mensual'!J46+IF(parametros_carros!$H$32="Todos",'Plan mensual'!J50,0))+parametros_carros!$E$32*('Plan mensual'!J47+IF(parametros_carros!$H$32="Todos",'Plan mensual'!J51,0))+parametros_carros!$F$32*('Plan mensual'!J48+IF(parametros_carros!$H$32="Todos",'Plan mensual'!J52,0))+parametros_carros!$G$32*('Plan mensual'!J49+IF(parametros_carros!$H$32="Todos",'Plan mensual'!J53,0)))/60</f>
        <v>4.67595</v>
      </c>
      <c r="I95" s="9">
        <f>(parametros_carros!$D$32*('Plan mensual'!K46+IF(parametros_carros!$H$32="Todos",'Plan mensual'!K50,0))+parametros_carros!$E$32*('Plan mensual'!K47+IF(parametros_carros!$H$32="Todos",'Plan mensual'!K51,0))+parametros_carros!$F$32*('Plan mensual'!K48+IF(parametros_carros!$H$32="Todos",'Plan mensual'!K52,0))+parametros_carros!$G$32*('Plan mensual'!K49+IF(parametros_carros!$H$32="Todos",'Plan mensual'!K53,0)))/60</f>
        <v>4.67595</v>
      </c>
      <c r="J95" s="9">
        <f>(parametros_carros!$D$32*('Plan mensual'!L46+IF(parametros_carros!$H$32="Todos",'Plan mensual'!L50,0))+parametros_carros!$E$32*('Plan mensual'!L47+IF(parametros_carros!$H$32="Todos",'Plan mensual'!L51,0))+parametros_carros!$F$32*('Plan mensual'!L48+IF(parametros_carros!$H$32="Todos",'Plan mensual'!L52,0))+parametros_carros!$G$32*('Plan mensual'!L49+IF(parametros_carros!$H$32="Todos",'Plan mensual'!L53,0)))/60</f>
        <v>4.416175</v>
      </c>
      <c r="K95" s="9">
        <f>(parametros_carros!$D$32*('Plan mensual'!M46+IF(parametros_carros!$H$32="Todos",'Plan mensual'!M50,0))+parametros_carros!$E$32*('Plan mensual'!M47+IF(parametros_carros!$H$32="Todos",'Plan mensual'!M51,0))+parametros_carros!$F$32*('Plan mensual'!M48+IF(parametros_carros!$H$32="Todos",'Plan mensual'!M52,0))+parametros_carros!$G$32*('Plan mensual'!M49+IF(parametros_carros!$H$32="Todos",'Plan mensual'!M53,0)))/60</f>
        <v>3.896625</v>
      </c>
      <c r="L95" s="9">
        <f>(parametros_carros!$D$32*('Plan mensual'!N46+IF(parametros_carros!$H$32="Todos",'Plan mensual'!N50,0))+parametros_carros!$E$32*('Plan mensual'!N47+IF(parametros_carros!$H$32="Todos",'Plan mensual'!N51,0))+parametros_carros!$F$32*('Plan mensual'!N48+IF(parametros_carros!$H$32="Todos",'Plan mensual'!N52,0))+parametros_carros!$G$32*('Plan mensual'!N49+IF(parametros_carros!$H$32="Todos",'Plan mensual'!N53,0)))/60</f>
        <v>3.63685</v>
      </c>
      <c r="M95" s="9">
        <f>(parametros_carros!$D$32*('Plan mensual'!O46+IF(parametros_carros!$H$32="Todos",'Plan mensual'!O50,0))+parametros_carros!$E$32*('Plan mensual'!O47+IF(parametros_carros!$H$32="Todos",'Plan mensual'!O51,0))+parametros_carros!$F$32*('Plan mensual'!O48+IF(parametros_carros!$H$32="Todos",'Plan mensual'!O52,0))+parametros_carros!$G$32*('Plan mensual'!O49+IF(parametros_carros!$H$32="Todos",'Plan mensual'!O53,0)))/60</f>
        <v>4.1564</v>
      </c>
      <c r="N95" s="9">
        <f t="shared" si="13"/>
        <v>51.955</v>
      </c>
      <c r="O95" s="9">
        <f t="shared" si="14"/>
        <v>4.67595</v>
      </c>
      <c r="P95" s="32">
        <f>IF(parametros_carros!$B$7=0,0,(O95+parametros_carros!$G$58)/parametros_carros!$B$7)</f>
        <v>0.04006188889</v>
      </c>
      <c r="Q95" s="21" t="str">
        <f t="shared" si="15"/>
        <v>Mar</v>
      </c>
    </row>
    <row r="96" ht="14.25" customHeight="1">
      <c r="A96" s="2" t="str">
        <f>parametros_carros!$B$33</f>
        <v>Carga de polvo y presurización</v>
      </c>
      <c r="B96" s="9">
        <f>(parametros_carros!$D$33*('Plan mensual'!D46+IF(parametros_carros!$H$33="Todos",'Plan mensual'!D50,0))+parametros_carros!$E$33*('Plan mensual'!D47+IF(parametros_carros!$H$33="Todos",'Plan mensual'!D51,0))+parametros_carros!$F$33*('Plan mensual'!D48+IF(parametros_carros!$H$33="Todos",'Plan mensual'!D52,0))+parametros_carros!$G$33*('Plan mensual'!D49+IF(parametros_carros!$H$33="Todos",'Plan mensual'!D53,0)))/60</f>
        <v>9.997275</v>
      </c>
      <c r="C96" s="9">
        <f>(parametros_carros!$D$33*('Plan mensual'!E46+IF(parametros_carros!$H$33="Todos",'Plan mensual'!E50,0))+parametros_carros!$E$33*('Plan mensual'!E47+IF(parametros_carros!$H$33="Todos",'Plan mensual'!E51,0))+parametros_carros!$F$33*('Plan mensual'!E48+IF(parametros_carros!$H$33="Todos",'Plan mensual'!E52,0))+parametros_carros!$G$33*('Plan mensual'!E49+IF(parametros_carros!$H$33="Todos",'Plan mensual'!E53,0)))/60</f>
        <v>8.821125</v>
      </c>
      <c r="D96" s="9">
        <f>(parametros_carros!$D$33*('Plan mensual'!F46+IF(parametros_carros!$H$33="Todos",'Plan mensual'!F50,0))+parametros_carros!$E$33*('Plan mensual'!F47+IF(parametros_carros!$H$33="Todos",'Plan mensual'!F51,0))+parametros_carros!$F$33*('Plan mensual'!F48+IF(parametros_carros!$H$33="Todos",'Plan mensual'!F52,0))+parametros_carros!$G$33*('Plan mensual'!F49+IF(parametros_carros!$H$33="Todos",'Plan mensual'!F53,0)))/60</f>
        <v>10.58535</v>
      </c>
      <c r="E96" s="9">
        <f>(parametros_carros!$D$33*('Plan mensual'!G46+IF(parametros_carros!$H$33="Todos",'Plan mensual'!G50,0))+parametros_carros!$E$33*('Plan mensual'!G47+IF(parametros_carros!$H$33="Todos",'Plan mensual'!G51,0))+parametros_carros!$F$33*('Plan mensual'!G48+IF(parametros_carros!$H$33="Todos",'Plan mensual'!G52,0))+parametros_carros!$G$33*('Plan mensual'!G49+IF(parametros_carros!$H$33="Todos",'Plan mensual'!G53,0)))/60</f>
        <v>10.58535</v>
      </c>
      <c r="F96" s="9">
        <f>(parametros_carros!$D$33*('Plan mensual'!H46+IF(parametros_carros!$H$33="Todos",'Plan mensual'!H50,0))+parametros_carros!$E$33*('Plan mensual'!H47+IF(parametros_carros!$H$33="Todos",'Plan mensual'!H51,0))+parametros_carros!$F$33*('Plan mensual'!H48+IF(parametros_carros!$H$33="Todos",'Plan mensual'!H52,0))+parametros_carros!$G$33*('Plan mensual'!H49+IF(parametros_carros!$H$33="Todos",'Plan mensual'!H53,0)))/60</f>
        <v>10.58535</v>
      </c>
      <c r="G96" s="9">
        <f>(parametros_carros!$D$33*('Plan mensual'!I46+IF(parametros_carros!$H$33="Todos",'Plan mensual'!I50,0))+parametros_carros!$E$33*('Plan mensual'!I47+IF(parametros_carros!$H$33="Todos",'Plan mensual'!I51,0))+parametros_carros!$F$33*('Plan mensual'!I48+IF(parametros_carros!$H$33="Todos",'Plan mensual'!I52,0))+parametros_carros!$G$33*('Plan mensual'!I49+IF(parametros_carros!$H$33="Todos",'Plan mensual'!I53,0)))/60</f>
        <v>9.4092</v>
      </c>
      <c r="H96" s="9">
        <f>(parametros_carros!$D$33*('Plan mensual'!J46+IF(parametros_carros!$H$33="Todos",'Plan mensual'!J50,0))+parametros_carros!$E$33*('Plan mensual'!J47+IF(parametros_carros!$H$33="Todos",'Plan mensual'!J51,0))+parametros_carros!$F$33*('Plan mensual'!J48+IF(parametros_carros!$H$33="Todos",'Plan mensual'!J52,0))+parametros_carros!$G$33*('Plan mensual'!J49+IF(parametros_carros!$H$33="Todos",'Plan mensual'!J53,0)))/60</f>
        <v>10.58535</v>
      </c>
      <c r="I96" s="9">
        <f>(parametros_carros!$D$33*('Plan mensual'!K46+IF(parametros_carros!$H$33="Todos",'Plan mensual'!K50,0))+parametros_carros!$E$33*('Plan mensual'!K47+IF(parametros_carros!$H$33="Todos",'Plan mensual'!K51,0))+parametros_carros!$F$33*('Plan mensual'!K48+IF(parametros_carros!$H$33="Todos",'Plan mensual'!K52,0))+parametros_carros!$G$33*('Plan mensual'!K49+IF(parametros_carros!$H$33="Todos",'Plan mensual'!K53,0)))/60</f>
        <v>10.58535</v>
      </c>
      <c r="J96" s="9">
        <f>(parametros_carros!$D$33*('Plan mensual'!L46+IF(parametros_carros!$H$33="Todos",'Plan mensual'!L50,0))+parametros_carros!$E$33*('Plan mensual'!L47+IF(parametros_carros!$H$33="Todos",'Plan mensual'!L51,0))+parametros_carros!$F$33*('Plan mensual'!L48+IF(parametros_carros!$H$33="Todos",'Plan mensual'!L52,0))+parametros_carros!$G$33*('Plan mensual'!L49+IF(parametros_carros!$H$33="Todos",'Plan mensual'!L53,0)))/60</f>
        <v>9.997275</v>
      </c>
      <c r="K96" s="9">
        <f>(parametros_carros!$D$33*('Plan mensual'!M46+IF(parametros_carros!$H$33="Todos",'Plan mensual'!M50,0))+parametros_carros!$E$33*('Plan mensual'!M47+IF(parametros_carros!$H$33="Todos",'Plan mensual'!M51,0))+parametros_carros!$F$33*('Plan mensual'!M48+IF(parametros_carros!$H$33="Todos",'Plan mensual'!M52,0))+parametros_carros!$G$33*('Plan mensual'!M49+IF(parametros_carros!$H$33="Todos",'Plan mensual'!M53,0)))/60</f>
        <v>8.821125</v>
      </c>
      <c r="L96" s="9">
        <f>(parametros_carros!$D$33*('Plan mensual'!N46+IF(parametros_carros!$H$33="Todos",'Plan mensual'!N50,0))+parametros_carros!$E$33*('Plan mensual'!N47+IF(parametros_carros!$H$33="Todos",'Plan mensual'!N51,0))+parametros_carros!$F$33*('Plan mensual'!N48+IF(parametros_carros!$H$33="Todos",'Plan mensual'!N52,0))+parametros_carros!$G$33*('Plan mensual'!N49+IF(parametros_carros!$H$33="Todos",'Plan mensual'!N53,0)))/60</f>
        <v>8.23305</v>
      </c>
      <c r="M96" s="9">
        <f>(parametros_carros!$D$33*('Plan mensual'!O46+IF(parametros_carros!$H$33="Todos",'Plan mensual'!O50,0))+parametros_carros!$E$33*('Plan mensual'!O47+IF(parametros_carros!$H$33="Todos",'Plan mensual'!O51,0))+parametros_carros!$F$33*('Plan mensual'!O48+IF(parametros_carros!$H$33="Todos",'Plan mensual'!O52,0))+parametros_carros!$G$33*('Plan mensual'!O49+IF(parametros_carros!$H$33="Todos",'Plan mensual'!O53,0)))/60</f>
        <v>9.4092</v>
      </c>
      <c r="N96" s="9">
        <f t="shared" si="13"/>
        <v>117.615</v>
      </c>
      <c r="O96" s="9">
        <f t="shared" si="14"/>
        <v>10.58535</v>
      </c>
      <c r="P96" s="32">
        <f>IF(parametros_carros!$B$7=0,0,(O96+parametros_carros!$G$59)/parametros_carros!$B$7)</f>
        <v>0.1772356667</v>
      </c>
      <c r="Q96" s="21" t="str">
        <f t="shared" si="15"/>
        <v>Mar</v>
      </c>
    </row>
    <row r="97" ht="14.25" customHeight="1">
      <c r="A97" s="2" t="str">
        <f>parametros_carros!$B$34</f>
        <v>Montaje, manga, precinto y etiquetado</v>
      </c>
      <c r="B97" s="9">
        <f>(parametros_carros!$D$34*('Plan mensual'!D46+IF(parametros_carros!$H$34="Todos",'Plan mensual'!D50,0))+parametros_carros!$E$34*('Plan mensual'!D47+IF(parametros_carros!$H$34="Todos",'Plan mensual'!D51,0))+parametros_carros!$F$34*('Plan mensual'!D48+IF(parametros_carros!$H$34="Todos",'Plan mensual'!D52,0))+parametros_carros!$G$34*('Plan mensual'!D49+IF(parametros_carros!$H$34="Todos",'Plan mensual'!D53,0)))/60</f>
        <v>5.577558333</v>
      </c>
      <c r="C97" s="9">
        <f>(parametros_carros!$D$34*('Plan mensual'!E46+IF(parametros_carros!$H$34="Todos",'Plan mensual'!E50,0))+parametros_carros!$E$34*('Plan mensual'!E47+IF(parametros_carros!$H$34="Todos",'Plan mensual'!E51,0))+parametros_carros!$F$34*('Plan mensual'!E48+IF(parametros_carros!$H$34="Todos",'Plan mensual'!E52,0))+parametros_carros!$G$34*('Plan mensual'!E49+IF(parametros_carros!$H$34="Todos",'Plan mensual'!E53,0)))/60</f>
        <v>4.921375</v>
      </c>
      <c r="D97" s="9">
        <f>(parametros_carros!$D$34*('Plan mensual'!F46+IF(parametros_carros!$H$34="Todos",'Plan mensual'!F50,0))+parametros_carros!$E$34*('Plan mensual'!F47+IF(parametros_carros!$H$34="Todos",'Plan mensual'!F51,0))+parametros_carros!$F$34*('Plan mensual'!F48+IF(parametros_carros!$H$34="Todos",'Plan mensual'!F52,0))+parametros_carros!$G$34*('Plan mensual'!F49+IF(parametros_carros!$H$34="Todos",'Plan mensual'!F53,0)))/60</f>
        <v>5.90565</v>
      </c>
      <c r="E97" s="9">
        <f>(parametros_carros!$D$34*('Plan mensual'!G46+IF(parametros_carros!$H$34="Todos",'Plan mensual'!G50,0))+parametros_carros!$E$34*('Plan mensual'!G47+IF(parametros_carros!$H$34="Todos",'Plan mensual'!G51,0))+parametros_carros!$F$34*('Plan mensual'!G48+IF(parametros_carros!$H$34="Todos",'Plan mensual'!G52,0))+parametros_carros!$G$34*('Plan mensual'!G49+IF(parametros_carros!$H$34="Todos",'Plan mensual'!G53,0)))/60</f>
        <v>5.90565</v>
      </c>
      <c r="F97" s="9">
        <f>(parametros_carros!$D$34*('Plan mensual'!H46+IF(parametros_carros!$H$34="Todos",'Plan mensual'!H50,0))+parametros_carros!$E$34*('Plan mensual'!H47+IF(parametros_carros!$H$34="Todos",'Plan mensual'!H51,0))+parametros_carros!$F$34*('Plan mensual'!H48+IF(parametros_carros!$H$34="Todos",'Plan mensual'!H52,0))+parametros_carros!$G$34*('Plan mensual'!H49+IF(parametros_carros!$H$34="Todos",'Plan mensual'!H53,0)))/60</f>
        <v>5.90565</v>
      </c>
      <c r="G97" s="9">
        <f>(parametros_carros!$D$34*('Plan mensual'!I46+IF(parametros_carros!$H$34="Todos",'Plan mensual'!I50,0))+parametros_carros!$E$34*('Plan mensual'!I47+IF(parametros_carros!$H$34="Todos",'Plan mensual'!I51,0))+parametros_carros!$F$34*('Plan mensual'!I48+IF(parametros_carros!$H$34="Todos",'Plan mensual'!I52,0))+parametros_carros!$G$34*('Plan mensual'!I49+IF(parametros_carros!$H$34="Todos",'Plan mensual'!I53,0)))/60</f>
        <v>5.249466667</v>
      </c>
      <c r="H97" s="9">
        <f>(parametros_carros!$D$34*('Plan mensual'!J46+IF(parametros_carros!$H$34="Todos",'Plan mensual'!J50,0))+parametros_carros!$E$34*('Plan mensual'!J47+IF(parametros_carros!$H$34="Todos",'Plan mensual'!J51,0))+parametros_carros!$F$34*('Plan mensual'!J48+IF(parametros_carros!$H$34="Todos",'Plan mensual'!J52,0))+parametros_carros!$G$34*('Plan mensual'!J49+IF(parametros_carros!$H$34="Todos",'Plan mensual'!J53,0)))/60</f>
        <v>5.90565</v>
      </c>
      <c r="I97" s="9">
        <f>(parametros_carros!$D$34*('Plan mensual'!K46+IF(parametros_carros!$H$34="Todos",'Plan mensual'!K50,0))+parametros_carros!$E$34*('Plan mensual'!K47+IF(parametros_carros!$H$34="Todos",'Plan mensual'!K51,0))+parametros_carros!$F$34*('Plan mensual'!K48+IF(parametros_carros!$H$34="Todos",'Plan mensual'!K52,0))+parametros_carros!$G$34*('Plan mensual'!K49+IF(parametros_carros!$H$34="Todos",'Plan mensual'!K53,0)))/60</f>
        <v>5.90565</v>
      </c>
      <c r="J97" s="9">
        <f>(parametros_carros!$D$34*('Plan mensual'!L46+IF(parametros_carros!$H$34="Todos",'Plan mensual'!L50,0))+parametros_carros!$E$34*('Plan mensual'!L47+IF(parametros_carros!$H$34="Todos",'Plan mensual'!L51,0))+parametros_carros!$F$34*('Plan mensual'!L48+IF(parametros_carros!$H$34="Todos",'Plan mensual'!L52,0))+parametros_carros!$G$34*('Plan mensual'!L49+IF(parametros_carros!$H$34="Todos",'Plan mensual'!L53,0)))/60</f>
        <v>5.577558333</v>
      </c>
      <c r="K97" s="9">
        <f>(parametros_carros!$D$34*('Plan mensual'!M46+IF(parametros_carros!$H$34="Todos",'Plan mensual'!M50,0))+parametros_carros!$E$34*('Plan mensual'!M47+IF(parametros_carros!$H$34="Todos",'Plan mensual'!M51,0))+parametros_carros!$F$34*('Plan mensual'!M48+IF(parametros_carros!$H$34="Todos",'Plan mensual'!M52,0))+parametros_carros!$G$34*('Plan mensual'!M49+IF(parametros_carros!$H$34="Todos",'Plan mensual'!M53,0)))/60</f>
        <v>4.921375</v>
      </c>
      <c r="L97" s="9">
        <f>(parametros_carros!$D$34*('Plan mensual'!N46+IF(parametros_carros!$H$34="Todos",'Plan mensual'!N50,0))+parametros_carros!$E$34*('Plan mensual'!N47+IF(parametros_carros!$H$34="Todos",'Plan mensual'!N51,0))+parametros_carros!$F$34*('Plan mensual'!N48+IF(parametros_carros!$H$34="Todos",'Plan mensual'!N52,0))+parametros_carros!$G$34*('Plan mensual'!N49+IF(parametros_carros!$H$34="Todos",'Plan mensual'!N53,0)))/60</f>
        <v>4.593283333</v>
      </c>
      <c r="M97" s="9">
        <f>(parametros_carros!$D$34*('Plan mensual'!O46+IF(parametros_carros!$H$34="Todos",'Plan mensual'!O50,0))+parametros_carros!$E$34*('Plan mensual'!O47+IF(parametros_carros!$H$34="Todos",'Plan mensual'!O51,0))+parametros_carros!$F$34*('Plan mensual'!O48+IF(parametros_carros!$H$34="Todos",'Plan mensual'!O52,0))+parametros_carros!$G$34*('Plan mensual'!O49+IF(parametros_carros!$H$34="Todos",'Plan mensual'!O53,0)))/60</f>
        <v>5.249466667</v>
      </c>
      <c r="N97" s="9">
        <f t="shared" si="13"/>
        <v>65.61833333</v>
      </c>
      <c r="O97" s="9">
        <f t="shared" si="14"/>
        <v>5.90565</v>
      </c>
      <c r="P97" s="32">
        <f>IF(parametros_carros!$B$7=0,0,(O97+parametros_carros!$G$60)/parametros_carros!$B$7)</f>
        <v>0.08603766667</v>
      </c>
      <c r="Q97" s="21" t="str">
        <f t="shared" si="15"/>
        <v>Mar</v>
      </c>
    </row>
    <row r="98" ht="14.25" customHeight="1">
      <c r="A98" s="2" t="str">
        <f>parametros_carros!$B$35</f>
        <v>Calidad: pérdidas, inspección final, liberación y ensayos de lote</v>
      </c>
      <c r="B98" s="9">
        <f>(parametros_carros!$D$35*('Plan mensual'!D46+IF(parametros_carros!$H$35="Todos",'Plan mensual'!D50,0))+parametros_carros!$E$35*('Plan mensual'!D47+IF(parametros_carros!$H$35="Todos",'Plan mensual'!D51,0))+parametros_carros!$F$35*('Plan mensual'!D48+IF(parametros_carros!$H$35="Todos",'Plan mensual'!D52,0))+parametros_carros!$G$35*('Plan mensual'!D49+IF(parametros_carros!$H$35="Todos",'Plan mensual'!D53,0)))/60</f>
        <v>4.227574167</v>
      </c>
      <c r="C98" s="9">
        <f>(parametros_carros!$D$35*('Plan mensual'!E46+IF(parametros_carros!$H$35="Todos",'Plan mensual'!E50,0))+parametros_carros!$E$35*('Plan mensual'!E47+IF(parametros_carros!$H$35="Todos",'Plan mensual'!E51,0))+parametros_carros!$F$35*('Plan mensual'!E48+IF(parametros_carros!$H$35="Todos",'Plan mensual'!E52,0))+parametros_carros!$G$35*('Plan mensual'!E49+IF(parametros_carros!$H$35="Todos",'Plan mensual'!E53,0)))/60</f>
        <v>3.7302125</v>
      </c>
      <c r="D98" s="9">
        <f>(parametros_carros!$D$35*('Plan mensual'!F46+IF(parametros_carros!$H$35="Todos",'Plan mensual'!F50,0))+parametros_carros!$E$35*('Plan mensual'!F47+IF(parametros_carros!$H$35="Todos",'Plan mensual'!F51,0))+parametros_carros!$F$35*('Plan mensual'!F48+IF(parametros_carros!$H$35="Todos",'Plan mensual'!F52,0))+parametros_carros!$G$35*('Plan mensual'!F49+IF(parametros_carros!$H$35="Todos",'Plan mensual'!F53,0)))/60</f>
        <v>4.476255</v>
      </c>
      <c r="E98" s="9">
        <f>(parametros_carros!$D$35*('Plan mensual'!G46+IF(parametros_carros!$H$35="Todos",'Plan mensual'!G50,0))+parametros_carros!$E$35*('Plan mensual'!G47+IF(parametros_carros!$H$35="Todos",'Plan mensual'!G51,0))+parametros_carros!$F$35*('Plan mensual'!G48+IF(parametros_carros!$H$35="Todos",'Plan mensual'!G52,0))+parametros_carros!$G$35*('Plan mensual'!G49+IF(parametros_carros!$H$35="Todos",'Plan mensual'!G53,0)))/60</f>
        <v>4.476255</v>
      </c>
      <c r="F98" s="9">
        <f>(parametros_carros!$D$35*('Plan mensual'!H46+IF(parametros_carros!$H$35="Todos",'Plan mensual'!H50,0))+parametros_carros!$E$35*('Plan mensual'!H47+IF(parametros_carros!$H$35="Todos",'Plan mensual'!H51,0))+parametros_carros!$F$35*('Plan mensual'!H48+IF(parametros_carros!$H$35="Todos",'Plan mensual'!H52,0))+parametros_carros!$G$35*('Plan mensual'!H49+IF(parametros_carros!$H$35="Todos",'Plan mensual'!H53,0)))/60</f>
        <v>4.476255</v>
      </c>
      <c r="G98" s="9">
        <f>(parametros_carros!$D$35*('Plan mensual'!I46+IF(parametros_carros!$H$35="Todos",'Plan mensual'!I50,0))+parametros_carros!$E$35*('Plan mensual'!I47+IF(parametros_carros!$H$35="Todos",'Plan mensual'!I51,0))+parametros_carros!$F$35*('Plan mensual'!I48+IF(parametros_carros!$H$35="Todos",'Plan mensual'!I52,0))+parametros_carros!$G$35*('Plan mensual'!I49+IF(parametros_carros!$H$35="Todos",'Plan mensual'!I53,0)))/60</f>
        <v>3.978893333</v>
      </c>
      <c r="H98" s="9">
        <f>(parametros_carros!$D$35*('Plan mensual'!J46+IF(parametros_carros!$H$35="Todos",'Plan mensual'!J50,0))+parametros_carros!$E$35*('Plan mensual'!J47+IF(parametros_carros!$H$35="Todos",'Plan mensual'!J51,0))+parametros_carros!$F$35*('Plan mensual'!J48+IF(parametros_carros!$H$35="Todos",'Plan mensual'!J52,0))+parametros_carros!$G$35*('Plan mensual'!J49+IF(parametros_carros!$H$35="Todos",'Plan mensual'!J53,0)))/60</f>
        <v>4.476255</v>
      </c>
      <c r="I98" s="9">
        <f>(parametros_carros!$D$35*('Plan mensual'!K46+IF(parametros_carros!$H$35="Todos",'Plan mensual'!K50,0))+parametros_carros!$E$35*('Plan mensual'!K47+IF(parametros_carros!$H$35="Todos",'Plan mensual'!K51,0))+parametros_carros!$F$35*('Plan mensual'!K48+IF(parametros_carros!$H$35="Todos",'Plan mensual'!K52,0))+parametros_carros!$G$35*('Plan mensual'!K49+IF(parametros_carros!$H$35="Todos",'Plan mensual'!K53,0)))/60</f>
        <v>4.476255</v>
      </c>
      <c r="J98" s="9">
        <f>(parametros_carros!$D$35*('Plan mensual'!L46+IF(parametros_carros!$H$35="Todos",'Plan mensual'!L50,0))+parametros_carros!$E$35*('Plan mensual'!L47+IF(parametros_carros!$H$35="Todos",'Plan mensual'!L51,0))+parametros_carros!$F$35*('Plan mensual'!L48+IF(parametros_carros!$H$35="Todos",'Plan mensual'!L52,0))+parametros_carros!$G$35*('Plan mensual'!L49+IF(parametros_carros!$H$35="Todos",'Plan mensual'!L53,0)))/60</f>
        <v>4.227574167</v>
      </c>
      <c r="K98" s="9">
        <f>(parametros_carros!$D$35*('Plan mensual'!M46+IF(parametros_carros!$H$35="Todos",'Plan mensual'!M50,0))+parametros_carros!$E$35*('Plan mensual'!M47+IF(parametros_carros!$H$35="Todos",'Plan mensual'!M51,0))+parametros_carros!$F$35*('Plan mensual'!M48+IF(parametros_carros!$H$35="Todos",'Plan mensual'!M52,0))+parametros_carros!$G$35*('Plan mensual'!M49+IF(parametros_carros!$H$35="Todos",'Plan mensual'!M53,0)))/60</f>
        <v>3.7302125</v>
      </c>
      <c r="L98" s="9">
        <f>(parametros_carros!$D$35*('Plan mensual'!N46+IF(parametros_carros!$H$35="Todos",'Plan mensual'!N50,0))+parametros_carros!$E$35*('Plan mensual'!N47+IF(parametros_carros!$H$35="Todos",'Plan mensual'!N51,0))+parametros_carros!$F$35*('Plan mensual'!N48+IF(parametros_carros!$H$35="Todos",'Plan mensual'!N52,0))+parametros_carros!$G$35*('Plan mensual'!N49+IF(parametros_carros!$H$35="Todos",'Plan mensual'!N53,0)))/60</f>
        <v>3.481531667</v>
      </c>
      <c r="M98" s="9">
        <f>(parametros_carros!$D$35*('Plan mensual'!O46+IF(parametros_carros!$H$35="Todos",'Plan mensual'!O50,0))+parametros_carros!$E$35*('Plan mensual'!O47+IF(parametros_carros!$H$35="Todos",'Plan mensual'!O51,0))+parametros_carros!$F$35*('Plan mensual'!O48+IF(parametros_carros!$H$35="Todos",'Plan mensual'!O52,0))+parametros_carros!$G$35*('Plan mensual'!O49+IF(parametros_carros!$H$35="Todos",'Plan mensual'!O53,0)))/60</f>
        <v>3.978893333</v>
      </c>
      <c r="N98" s="9">
        <f t="shared" si="13"/>
        <v>49.73616667</v>
      </c>
      <c r="O98" s="9">
        <f t="shared" si="14"/>
        <v>4.476255</v>
      </c>
      <c r="P98" s="32">
        <f>IF(parametros_carros!$B$7=0,0,(O98+parametros_carros!$G$61)/parametros_carros!$B$7)</f>
        <v>0.4000639222</v>
      </c>
      <c r="Q98" s="21" t="str">
        <f t="shared" si="15"/>
        <v>Mar</v>
      </c>
    </row>
    <row r="99" ht="14.25" customHeight="1">
      <c r="A99" s="2" t="str">
        <f>parametros_carros!$B$36</f>
        <v>Depósito de producto terminado y despacho</v>
      </c>
      <c r="B99" s="9">
        <f>(parametros_carros!$D$36*('Plan mensual'!D46+IF(parametros_carros!$H$36="Todos",'Plan mensual'!D50,0))+parametros_carros!$E$36*('Plan mensual'!D47+IF(parametros_carros!$H$36="Todos",'Plan mensual'!D51,0))+parametros_carros!$F$36*('Plan mensual'!D48+IF(parametros_carros!$H$36="Todos",'Plan mensual'!D52,0))+parametros_carros!$G$36*('Plan mensual'!D49+IF(parametros_carros!$H$36="Todos",'Plan mensual'!D53,0)))/60</f>
        <v>1.918733333</v>
      </c>
      <c r="C99" s="9">
        <f>(parametros_carros!$D$36*('Plan mensual'!E46+IF(parametros_carros!$H$36="Todos",'Plan mensual'!E50,0))+parametros_carros!$E$36*('Plan mensual'!E47+IF(parametros_carros!$H$36="Todos",'Plan mensual'!E51,0))+parametros_carros!$F$36*('Plan mensual'!E48+IF(parametros_carros!$H$36="Todos",'Plan mensual'!E52,0))+parametros_carros!$G$36*('Plan mensual'!E49+IF(parametros_carros!$H$36="Todos",'Plan mensual'!E53,0)))/60</f>
        <v>1.693</v>
      </c>
      <c r="D99" s="9">
        <f>(parametros_carros!$D$36*('Plan mensual'!F46+IF(parametros_carros!$H$36="Todos",'Plan mensual'!F50,0))+parametros_carros!$E$36*('Plan mensual'!F47+IF(parametros_carros!$H$36="Todos",'Plan mensual'!F51,0))+parametros_carros!$F$36*('Plan mensual'!F48+IF(parametros_carros!$H$36="Todos",'Plan mensual'!F52,0))+parametros_carros!$G$36*('Plan mensual'!F49+IF(parametros_carros!$H$36="Todos",'Plan mensual'!F53,0)))/60</f>
        <v>2.0316</v>
      </c>
      <c r="E99" s="9">
        <f>(parametros_carros!$D$36*('Plan mensual'!G46+IF(parametros_carros!$H$36="Todos",'Plan mensual'!G50,0))+parametros_carros!$E$36*('Plan mensual'!G47+IF(parametros_carros!$H$36="Todos",'Plan mensual'!G51,0))+parametros_carros!$F$36*('Plan mensual'!G48+IF(parametros_carros!$H$36="Todos",'Plan mensual'!G52,0))+parametros_carros!$G$36*('Plan mensual'!G49+IF(parametros_carros!$H$36="Todos",'Plan mensual'!G53,0)))/60</f>
        <v>2.0316</v>
      </c>
      <c r="F99" s="9">
        <f>(parametros_carros!$D$36*('Plan mensual'!H46+IF(parametros_carros!$H$36="Todos",'Plan mensual'!H50,0))+parametros_carros!$E$36*('Plan mensual'!H47+IF(parametros_carros!$H$36="Todos",'Plan mensual'!H51,0))+parametros_carros!$F$36*('Plan mensual'!H48+IF(parametros_carros!$H$36="Todos",'Plan mensual'!H52,0))+parametros_carros!$G$36*('Plan mensual'!H49+IF(parametros_carros!$H$36="Todos",'Plan mensual'!H53,0)))/60</f>
        <v>2.0316</v>
      </c>
      <c r="G99" s="9">
        <f>(parametros_carros!$D$36*('Plan mensual'!I46+IF(parametros_carros!$H$36="Todos",'Plan mensual'!I50,0))+parametros_carros!$E$36*('Plan mensual'!I47+IF(parametros_carros!$H$36="Todos",'Plan mensual'!I51,0))+parametros_carros!$F$36*('Plan mensual'!I48+IF(parametros_carros!$H$36="Todos",'Plan mensual'!I52,0))+parametros_carros!$G$36*('Plan mensual'!I49+IF(parametros_carros!$H$36="Todos",'Plan mensual'!I53,0)))/60</f>
        <v>1.805866667</v>
      </c>
      <c r="H99" s="9">
        <f>(parametros_carros!$D$36*('Plan mensual'!J46+IF(parametros_carros!$H$36="Todos",'Plan mensual'!J50,0))+parametros_carros!$E$36*('Plan mensual'!J47+IF(parametros_carros!$H$36="Todos",'Plan mensual'!J51,0))+parametros_carros!$F$36*('Plan mensual'!J48+IF(parametros_carros!$H$36="Todos",'Plan mensual'!J52,0))+parametros_carros!$G$36*('Plan mensual'!J49+IF(parametros_carros!$H$36="Todos",'Plan mensual'!J53,0)))/60</f>
        <v>2.0316</v>
      </c>
      <c r="I99" s="9">
        <f>(parametros_carros!$D$36*('Plan mensual'!K46+IF(parametros_carros!$H$36="Todos",'Plan mensual'!K50,0))+parametros_carros!$E$36*('Plan mensual'!K47+IF(parametros_carros!$H$36="Todos",'Plan mensual'!K51,0))+parametros_carros!$F$36*('Plan mensual'!K48+IF(parametros_carros!$H$36="Todos",'Plan mensual'!K52,0))+parametros_carros!$G$36*('Plan mensual'!K49+IF(parametros_carros!$H$36="Todos",'Plan mensual'!K53,0)))/60</f>
        <v>2.0316</v>
      </c>
      <c r="J99" s="9">
        <f>(parametros_carros!$D$36*('Plan mensual'!L46+IF(parametros_carros!$H$36="Todos",'Plan mensual'!L50,0))+parametros_carros!$E$36*('Plan mensual'!L47+IF(parametros_carros!$H$36="Todos",'Plan mensual'!L51,0))+parametros_carros!$F$36*('Plan mensual'!L48+IF(parametros_carros!$H$36="Todos",'Plan mensual'!L52,0))+parametros_carros!$G$36*('Plan mensual'!L49+IF(parametros_carros!$H$36="Todos",'Plan mensual'!L53,0)))/60</f>
        <v>1.918733333</v>
      </c>
      <c r="K99" s="9">
        <f>(parametros_carros!$D$36*('Plan mensual'!M46+IF(parametros_carros!$H$36="Todos",'Plan mensual'!M50,0))+parametros_carros!$E$36*('Plan mensual'!M47+IF(parametros_carros!$H$36="Todos",'Plan mensual'!M51,0))+parametros_carros!$F$36*('Plan mensual'!M48+IF(parametros_carros!$H$36="Todos",'Plan mensual'!M52,0))+parametros_carros!$G$36*('Plan mensual'!M49+IF(parametros_carros!$H$36="Todos",'Plan mensual'!M53,0)))/60</f>
        <v>1.693</v>
      </c>
      <c r="L99" s="9">
        <f>(parametros_carros!$D$36*('Plan mensual'!N46+IF(parametros_carros!$H$36="Todos",'Plan mensual'!N50,0))+parametros_carros!$E$36*('Plan mensual'!N47+IF(parametros_carros!$H$36="Todos",'Plan mensual'!N51,0))+parametros_carros!$F$36*('Plan mensual'!N48+IF(parametros_carros!$H$36="Todos",'Plan mensual'!N52,0))+parametros_carros!$G$36*('Plan mensual'!N49+IF(parametros_carros!$H$36="Todos",'Plan mensual'!N53,0)))/60</f>
        <v>1.580133333</v>
      </c>
      <c r="M99" s="9">
        <f>(parametros_carros!$D$36*('Plan mensual'!O46+IF(parametros_carros!$H$36="Todos",'Plan mensual'!O50,0))+parametros_carros!$E$36*('Plan mensual'!O47+IF(parametros_carros!$H$36="Todos",'Plan mensual'!O51,0))+parametros_carros!$F$36*('Plan mensual'!O48+IF(parametros_carros!$H$36="Todos",'Plan mensual'!O52,0))+parametros_carros!$G$36*('Plan mensual'!O49+IF(parametros_carros!$H$36="Todos",'Plan mensual'!O53,0)))/60</f>
        <v>1.805866667</v>
      </c>
      <c r="N99" s="9">
        <f t="shared" si="13"/>
        <v>22.57333333</v>
      </c>
      <c r="O99" s="9">
        <f t="shared" si="14"/>
        <v>2.0316</v>
      </c>
      <c r="P99" s="32">
        <f>IF(parametros_carros!$B$7=0,0,(O99+parametros_carros!$G$62)/parametros_carros!$B$7)</f>
        <v>0.03576622222</v>
      </c>
      <c r="Q99" s="21" t="str">
        <f t="shared" si="15"/>
        <v>Mar</v>
      </c>
    </row>
    <row r="100" ht="14.25" customHeight="1"/>
    <row r="101" ht="45.0" customHeight="1">
      <c r="A101" s="1" t="s">
        <v>457</v>
      </c>
      <c r="B101" s="1" t="s">
        <v>8</v>
      </c>
      <c r="C101" s="1" t="s">
        <v>9</v>
      </c>
      <c r="D101" s="1" t="s">
        <v>11</v>
      </c>
      <c r="E101" s="1" t="s">
        <v>13</v>
      </c>
      <c r="F101" s="1" t="s">
        <v>14</v>
      </c>
      <c r="G101" s="1" t="s">
        <v>15</v>
      </c>
      <c r="H101" s="1" t="s">
        <v>16</v>
      </c>
      <c r="I101" s="1" t="s">
        <v>18</v>
      </c>
      <c r="J101" s="1" t="s">
        <v>19</v>
      </c>
      <c r="K101" s="1" t="s">
        <v>20</v>
      </c>
      <c r="L101" s="1" t="s">
        <v>21</v>
      </c>
      <c r="M101" s="1" t="s">
        <v>22</v>
      </c>
      <c r="N101" s="1" t="s">
        <v>32</v>
      </c>
      <c r="O101" s="1" t="s">
        <v>33</v>
      </c>
      <c r="P101" s="1" t="s">
        <v>34</v>
      </c>
      <c r="Q101" s="1" t="s">
        <v>36</v>
      </c>
    </row>
    <row r="102" ht="14.25" customHeight="1">
      <c r="A102" s="2" t="str">
        <f>parametros_carros!$B$19</f>
        <v>Recepción de materia prima</v>
      </c>
      <c r="B102" s="9">
        <f>(parametros_carros!$D$19*('Plan mensual'!D57+IF(parametros_carros!$H$19="Todos",'Plan mensual'!D61,0))+parametros_carros!$E$19*('Plan mensual'!D58+IF(parametros_carros!$H$19="Todos",'Plan mensual'!D62,0))+parametros_carros!$F$19*('Plan mensual'!D59+IF(parametros_carros!$H$19="Todos",'Plan mensual'!D63,0))+parametros_carros!$G$19*('Plan mensual'!D60+IF(parametros_carros!$H$19="Todos",'Plan mensual'!D64,0)))/60</f>
        <v>3.502463958</v>
      </c>
      <c r="C102" s="9">
        <f>(parametros_carros!$D$19*('Plan mensual'!E57+IF(parametros_carros!$H$19="Todos",'Plan mensual'!E61,0))+parametros_carros!$E$19*('Plan mensual'!E58+IF(parametros_carros!$H$19="Todos",'Plan mensual'!E62,0))+parametros_carros!$F$19*('Plan mensual'!E59+IF(parametros_carros!$H$19="Todos",'Plan mensual'!E63,0))+parametros_carros!$G$19*('Plan mensual'!E60+IF(parametros_carros!$H$19="Todos",'Plan mensual'!E64,0)))/60</f>
        <v>3.090409375</v>
      </c>
      <c r="D102" s="9">
        <f>(parametros_carros!$D$19*('Plan mensual'!F57+IF(parametros_carros!$H$19="Todos",'Plan mensual'!F61,0))+parametros_carros!$E$19*('Plan mensual'!F58+IF(parametros_carros!$H$19="Todos",'Plan mensual'!F62,0))+parametros_carros!$F$19*('Plan mensual'!F59+IF(parametros_carros!$H$19="Todos",'Plan mensual'!F63,0))+parametros_carros!$G$19*('Plan mensual'!F60+IF(parametros_carros!$H$19="Todos",'Plan mensual'!F64,0)))/60</f>
        <v>3.70849125</v>
      </c>
      <c r="E102" s="9">
        <f>(parametros_carros!$D$19*('Plan mensual'!G57+IF(parametros_carros!$H$19="Todos",'Plan mensual'!G61,0))+parametros_carros!$E$19*('Plan mensual'!G58+IF(parametros_carros!$H$19="Todos",'Plan mensual'!G62,0))+parametros_carros!$F$19*('Plan mensual'!G59+IF(parametros_carros!$H$19="Todos",'Plan mensual'!G63,0))+parametros_carros!$G$19*('Plan mensual'!G60+IF(parametros_carros!$H$19="Todos",'Plan mensual'!G64,0)))/60</f>
        <v>3.70849125</v>
      </c>
      <c r="F102" s="9">
        <f>(parametros_carros!$D$19*('Plan mensual'!H57+IF(parametros_carros!$H$19="Todos",'Plan mensual'!H61,0))+parametros_carros!$E$19*('Plan mensual'!H58+IF(parametros_carros!$H$19="Todos",'Plan mensual'!H62,0))+parametros_carros!$F$19*('Plan mensual'!H59+IF(parametros_carros!$H$19="Todos",'Plan mensual'!H63,0))+parametros_carros!$G$19*('Plan mensual'!H60+IF(parametros_carros!$H$19="Todos",'Plan mensual'!H64,0)))/60</f>
        <v>3.70849125</v>
      </c>
      <c r="G102" s="9">
        <f>(parametros_carros!$D$19*('Plan mensual'!I57+IF(parametros_carros!$H$19="Todos",'Plan mensual'!I61,0))+parametros_carros!$E$19*('Plan mensual'!I58+IF(parametros_carros!$H$19="Todos",'Plan mensual'!I62,0))+parametros_carros!$F$19*('Plan mensual'!I59+IF(parametros_carros!$H$19="Todos",'Plan mensual'!I63,0))+parametros_carros!$G$19*('Plan mensual'!I60+IF(parametros_carros!$H$19="Todos",'Plan mensual'!I64,0)))/60</f>
        <v>3.296436667</v>
      </c>
      <c r="H102" s="9">
        <f>(parametros_carros!$D$19*('Plan mensual'!J57+IF(parametros_carros!$H$19="Todos",'Plan mensual'!J61,0))+parametros_carros!$E$19*('Plan mensual'!J58+IF(parametros_carros!$H$19="Todos",'Plan mensual'!J62,0))+parametros_carros!$F$19*('Plan mensual'!J59+IF(parametros_carros!$H$19="Todos",'Plan mensual'!J63,0))+parametros_carros!$G$19*('Plan mensual'!J60+IF(parametros_carros!$H$19="Todos",'Plan mensual'!J64,0)))/60</f>
        <v>3.70849125</v>
      </c>
      <c r="I102" s="9">
        <f>(parametros_carros!$D$19*('Plan mensual'!K57+IF(parametros_carros!$H$19="Todos",'Plan mensual'!K61,0))+parametros_carros!$E$19*('Plan mensual'!K58+IF(parametros_carros!$H$19="Todos",'Plan mensual'!K62,0))+parametros_carros!$F$19*('Plan mensual'!K59+IF(parametros_carros!$H$19="Todos",'Plan mensual'!K63,0))+parametros_carros!$G$19*('Plan mensual'!K60+IF(parametros_carros!$H$19="Todos",'Plan mensual'!K64,0)))/60</f>
        <v>3.70849125</v>
      </c>
      <c r="J102" s="9">
        <f>(parametros_carros!$D$19*('Plan mensual'!L57+IF(parametros_carros!$H$19="Todos",'Plan mensual'!L61,0))+parametros_carros!$E$19*('Plan mensual'!L58+IF(parametros_carros!$H$19="Todos",'Plan mensual'!L62,0))+parametros_carros!$F$19*('Plan mensual'!L59+IF(parametros_carros!$H$19="Todos",'Plan mensual'!L63,0))+parametros_carros!$G$19*('Plan mensual'!L60+IF(parametros_carros!$H$19="Todos",'Plan mensual'!L64,0)))/60</f>
        <v>3.502463958</v>
      </c>
      <c r="K102" s="9">
        <f>(parametros_carros!$D$19*('Plan mensual'!M57+IF(parametros_carros!$H$19="Todos",'Plan mensual'!M61,0))+parametros_carros!$E$19*('Plan mensual'!M58+IF(parametros_carros!$H$19="Todos",'Plan mensual'!M62,0))+parametros_carros!$F$19*('Plan mensual'!M59+IF(parametros_carros!$H$19="Todos",'Plan mensual'!M63,0))+parametros_carros!$G$19*('Plan mensual'!M60+IF(parametros_carros!$H$19="Todos",'Plan mensual'!M64,0)))/60</f>
        <v>3.090409375</v>
      </c>
      <c r="L102" s="9">
        <f>(parametros_carros!$D$19*('Plan mensual'!N57+IF(parametros_carros!$H$19="Todos",'Plan mensual'!N61,0))+parametros_carros!$E$19*('Plan mensual'!N58+IF(parametros_carros!$H$19="Todos",'Plan mensual'!N62,0))+parametros_carros!$F$19*('Plan mensual'!N59+IF(parametros_carros!$H$19="Todos",'Plan mensual'!N63,0))+parametros_carros!$G$19*('Plan mensual'!N60+IF(parametros_carros!$H$19="Todos",'Plan mensual'!N64,0)))/60</f>
        <v>2.884382083</v>
      </c>
      <c r="M102" s="9">
        <f>(parametros_carros!$D$19*('Plan mensual'!O57+IF(parametros_carros!$H$19="Todos",'Plan mensual'!O61,0))+parametros_carros!$E$19*('Plan mensual'!O58+IF(parametros_carros!$H$19="Todos",'Plan mensual'!O62,0))+parametros_carros!$F$19*('Plan mensual'!O59+IF(parametros_carros!$H$19="Todos",'Plan mensual'!O63,0))+parametros_carros!$G$19*('Plan mensual'!O60+IF(parametros_carros!$H$19="Todos",'Plan mensual'!O64,0)))/60</f>
        <v>3.296436667</v>
      </c>
      <c r="N102" s="9">
        <f t="shared" ref="N102:N119" si="16">SUM(B102:M102)</f>
        <v>41.20545833</v>
      </c>
      <c r="O102" s="9">
        <f t="shared" ref="O102:O119" si="17">MAX(B102:M102)</f>
        <v>3.70849125</v>
      </c>
      <c r="P102" s="32">
        <f>IF(parametros_carros!$B$7=0,0,(O102+parametros_carros!$G$45)/parametros_carros!$B$7)</f>
        <v>0.07283438611</v>
      </c>
      <c r="Q102" s="21" t="str">
        <f t="shared" ref="Q102:Q119" si="18">IF(O102=0,"-",INDEX($B$101:$M$101,MATCH(O102,B102:M102,0)))</f>
        <v>Mar</v>
      </c>
    </row>
    <row r="103" ht="14.25" customHeight="1">
      <c r="A103" s="2" t="str">
        <f>parametros_carros!$B$20</f>
        <v>Corte de chapa (guillotina)</v>
      </c>
      <c r="B103" s="9">
        <f>(parametros_carros!$D$20*('Plan mensual'!D57+IF(parametros_carros!$H$20="Todos",'Plan mensual'!D61,0))+parametros_carros!$E$20*('Plan mensual'!D58+IF(parametros_carros!$H$20="Todos",'Plan mensual'!D62,0))+parametros_carros!$F$20*('Plan mensual'!D59+IF(parametros_carros!$H$20="Todos",'Plan mensual'!D63,0))+parametros_carros!$G$20*('Plan mensual'!D60+IF(parametros_carros!$H$20="Todos",'Plan mensual'!D64,0)))/60</f>
        <v>7.690516667</v>
      </c>
      <c r="C103" s="9">
        <f>(parametros_carros!$D$20*('Plan mensual'!E57+IF(parametros_carros!$H$20="Todos",'Plan mensual'!E61,0))+parametros_carros!$E$20*('Plan mensual'!E58+IF(parametros_carros!$H$20="Todos",'Plan mensual'!E62,0))+parametros_carros!$F$20*('Plan mensual'!E59+IF(parametros_carros!$H$20="Todos",'Plan mensual'!E63,0))+parametros_carros!$G$20*('Plan mensual'!E60+IF(parametros_carros!$H$20="Todos",'Plan mensual'!E64,0)))/60</f>
        <v>6.78575</v>
      </c>
      <c r="D103" s="9">
        <f>(parametros_carros!$D$20*('Plan mensual'!F57+IF(parametros_carros!$H$20="Todos",'Plan mensual'!F61,0))+parametros_carros!$E$20*('Plan mensual'!F58+IF(parametros_carros!$H$20="Todos",'Plan mensual'!F62,0))+parametros_carros!$F$20*('Plan mensual'!F59+IF(parametros_carros!$H$20="Todos",'Plan mensual'!F63,0))+parametros_carros!$G$20*('Plan mensual'!F60+IF(parametros_carros!$H$20="Todos",'Plan mensual'!F64,0)))/60</f>
        <v>8.1429</v>
      </c>
      <c r="E103" s="9">
        <f>(parametros_carros!$D$20*('Plan mensual'!G57+IF(parametros_carros!$H$20="Todos",'Plan mensual'!G61,0))+parametros_carros!$E$20*('Plan mensual'!G58+IF(parametros_carros!$H$20="Todos",'Plan mensual'!G62,0))+parametros_carros!$F$20*('Plan mensual'!G59+IF(parametros_carros!$H$20="Todos",'Plan mensual'!G63,0))+parametros_carros!$G$20*('Plan mensual'!G60+IF(parametros_carros!$H$20="Todos",'Plan mensual'!G64,0)))/60</f>
        <v>8.1429</v>
      </c>
      <c r="F103" s="9">
        <f>(parametros_carros!$D$20*('Plan mensual'!H57+IF(parametros_carros!$H$20="Todos",'Plan mensual'!H61,0))+parametros_carros!$E$20*('Plan mensual'!H58+IF(parametros_carros!$H$20="Todos",'Plan mensual'!H62,0))+parametros_carros!$F$20*('Plan mensual'!H59+IF(parametros_carros!$H$20="Todos",'Plan mensual'!H63,0))+parametros_carros!$G$20*('Plan mensual'!H60+IF(parametros_carros!$H$20="Todos",'Plan mensual'!H64,0)))/60</f>
        <v>8.1429</v>
      </c>
      <c r="G103" s="9">
        <f>(parametros_carros!$D$20*('Plan mensual'!I57+IF(parametros_carros!$H$20="Todos",'Plan mensual'!I61,0))+parametros_carros!$E$20*('Plan mensual'!I58+IF(parametros_carros!$H$20="Todos",'Plan mensual'!I62,0))+parametros_carros!$F$20*('Plan mensual'!I59+IF(parametros_carros!$H$20="Todos",'Plan mensual'!I63,0))+parametros_carros!$G$20*('Plan mensual'!I60+IF(parametros_carros!$H$20="Todos",'Plan mensual'!I64,0)))/60</f>
        <v>7.238133333</v>
      </c>
      <c r="H103" s="9">
        <f>(parametros_carros!$D$20*('Plan mensual'!J57+IF(parametros_carros!$H$20="Todos",'Plan mensual'!J61,0))+parametros_carros!$E$20*('Plan mensual'!J58+IF(parametros_carros!$H$20="Todos",'Plan mensual'!J62,0))+parametros_carros!$F$20*('Plan mensual'!J59+IF(parametros_carros!$H$20="Todos",'Plan mensual'!J63,0))+parametros_carros!$G$20*('Plan mensual'!J60+IF(parametros_carros!$H$20="Todos",'Plan mensual'!J64,0)))/60</f>
        <v>8.1429</v>
      </c>
      <c r="I103" s="9">
        <f>(parametros_carros!$D$20*('Plan mensual'!K57+IF(parametros_carros!$H$20="Todos",'Plan mensual'!K61,0))+parametros_carros!$E$20*('Plan mensual'!K58+IF(parametros_carros!$H$20="Todos",'Plan mensual'!K62,0))+parametros_carros!$F$20*('Plan mensual'!K59+IF(parametros_carros!$H$20="Todos",'Plan mensual'!K63,0))+parametros_carros!$G$20*('Plan mensual'!K60+IF(parametros_carros!$H$20="Todos",'Plan mensual'!K64,0)))/60</f>
        <v>8.1429</v>
      </c>
      <c r="J103" s="9">
        <f>(parametros_carros!$D$20*('Plan mensual'!L57+IF(parametros_carros!$H$20="Todos",'Plan mensual'!L61,0))+parametros_carros!$E$20*('Plan mensual'!L58+IF(parametros_carros!$H$20="Todos",'Plan mensual'!L62,0))+parametros_carros!$F$20*('Plan mensual'!L59+IF(parametros_carros!$H$20="Todos",'Plan mensual'!L63,0))+parametros_carros!$G$20*('Plan mensual'!L60+IF(parametros_carros!$H$20="Todos",'Plan mensual'!L64,0)))/60</f>
        <v>7.690516667</v>
      </c>
      <c r="K103" s="9">
        <f>(parametros_carros!$D$20*('Plan mensual'!M57+IF(parametros_carros!$H$20="Todos",'Plan mensual'!M61,0))+parametros_carros!$E$20*('Plan mensual'!M58+IF(parametros_carros!$H$20="Todos",'Plan mensual'!M62,0))+parametros_carros!$F$20*('Plan mensual'!M59+IF(parametros_carros!$H$20="Todos",'Plan mensual'!M63,0))+parametros_carros!$G$20*('Plan mensual'!M60+IF(parametros_carros!$H$20="Todos",'Plan mensual'!M64,0)))/60</f>
        <v>6.78575</v>
      </c>
      <c r="L103" s="9">
        <f>(parametros_carros!$D$20*('Plan mensual'!N57+IF(parametros_carros!$H$20="Todos",'Plan mensual'!N61,0))+parametros_carros!$E$20*('Plan mensual'!N58+IF(parametros_carros!$H$20="Todos",'Plan mensual'!N62,0))+parametros_carros!$F$20*('Plan mensual'!N59+IF(parametros_carros!$H$20="Todos",'Plan mensual'!N63,0))+parametros_carros!$G$20*('Plan mensual'!N60+IF(parametros_carros!$H$20="Todos",'Plan mensual'!N64,0)))/60</f>
        <v>6.333366667</v>
      </c>
      <c r="M103" s="9">
        <f>(parametros_carros!$D$20*('Plan mensual'!O57+IF(parametros_carros!$H$20="Todos",'Plan mensual'!O61,0))+parametros_carros!$E$20*('Plan mensual'!O58+IF(parametros_carros!$H$20="Todos",'Plan mensual'!O62,0))+parametros_carros!$F$20*('Plan mensual'!O59+IF(parametros_carros!$H$20="Todos",'Plan mensual'!O63,0))+parametros_carros!$G$20*('Plan mensual'!O60+IF(parametros_carros!$H$20="Todos",'Plan mensual'!O64,0)))/60</f>
        <v>7.238133333</v>
      </c>
      <c r="N103" s="9">
        <f t="shared" si="16"/>
        <v>90.47666667</v>
      </c>
      <c r="O103" s="9">
        <f t="shared" si="17"/>
        <v>8.1429</v>
      </c>
      <c r="P103" s="32">
        <f>IF(parametros_carros!$B$7=0,0,(O103+parametros_carros!$G$46)/parametros_carros!$B$7)</f>
        <v>0.1165082222</v>
      </c>
      <c r="Q103" s="21" t="str">
        <f t="shared" si="18"/>
        <v>Mar</v>
      </c>
    </row>
    <row r="104" ht="14.25" customHeight="1">
      <c r="A104" s="2" t="str">
        <f>parametros_carros!$B$21</f>
        <v>Marcado del cuerpo</v>
      </c>
      <c r="B104" s="9">
        <f>(parametros_carros!$D$21*('Plan mensual'!D57+IF(parametros_carros!$H$21="Todos",'Plan mensual'!D61,0))+parametros_carros!$E$21*('Plan mensual'!D58+IF(parametros_carros!$H$21="Todos",'Plan mensual'!D62,0))+parametros_carros!$F$21*('Plan mensual'!D59+IF(parametros_carros!$H$21="Todos",'Plan mensual'!D63,0))+parametros_carros!$G$21*('Plan mensual'!D60+IF(parametros_carros!$H$21="Todos",'Plan mensual'!D64,0)))/60</f>
        <v>3.064675</v>
      </c>
      <c r="C104" s="9">
        <f>(parametros_carros!$D$21*('Plan mensual'!E57+IF(parametros_carros!$H$21="Todos",'Plan mensual'!E61,0))+parametros_carros!$E$21*('Plan mensual'!E58+IF(parametros_carros!$H$21="Todos",'Plan mensual'!E62,0))+parametros_carros!$F$21*('Plan mensual'!E59+IF(parametros_carros!$H$21="Todos",'Plan mensual'!E63,0))+parametros_carros!$G$21*('Plan mensual'!E60+IF(parametros_carros!$H$21="Todos",'Plan mensual'!E64,0)))/60</f>
        <v>2.704125</v>
      </c>
      <c r="D104" s="9">
        <f>(parametros_carros!$D$21*('Plan mensual'!F57+IF(parametros_carros!$H$21="Todos",'Plan mensual'!F61,0))+parametros_carros!$E$21*('Plan mensual'!F58+IF(parametros_carros!$H$21="Todos",'Plan mensual'!F62,0))+parametros_carros!$F$21*('Plan mensual'!F59+IF(parametros_carros!$H$21="Todos",'Plan mensual'!F63,0))+parametros_carros!$G$21*('Plan mensual'!F60+IF(parametros_carros!$H$21="Todos",'Plan mensual'!F64,0)))/60</f>
        <v>3.24495</v>
      </c>
      <c r="E104" s="9">
        <f>(parametros_carros!$D$21*('Plan mensual'!G57+IF(parametros_carros!$H$21="Todos",'Plan mensual'!G61,0))+parametros_carros!$E$21*('Plan mensual'!G58+IF(parametros_carros!$H$21="Todos",'Plan mensual'!G62,0))+parametros_carros!$F$21*('Plan mensual'!G59+IF(parametros_carros!$H$21="Todos",'Plan mensual'!G63,0))+parametros_carros!$G$21*('Plan mensual'!G60+IF(parametros_carros!$H$21="Todos",'Plan mensual'!G64,0)))/60</f>
        <v>3.24495</v>
      </c>
      <c r="F104" s="9">
        <f>(parametros_carros!$D$21*('Plan mensual'!H57+IF(parametros_carros!$H$21="Todos",'Plan mensual'!H61,0))+parametros_carros!$E$21*('Plan mensual'!H58+IF(parametros_carros!$H$21="Todos",'Plan mensual'!H62,0))+parametros_carros!$F$21*('Plan mensual'!H59+IF(parametros_carros!$H$21="Todos",'Plan mensual'!H63,0))+parametros_carros!$G$21*('Plan mensual'!H60+IF(parametros_carros!$H$21="Todos",'Plan mensual'!H64,0)))/60</f>
        <v>3.24495</v>
      </c>
      <c r="G104" s="9">
        <f>(parametros_carros!$D$21*('Plan mensual'!I57+IF(parametros_carros!$H$21="Todos",'Plan mensual'!I61,0))+parametros_carros!$E$21*('Plan mensual'!I58+IF(parametros_carros!$H$21="Todos",'Plan mensual'!I62,0))+parametros_carros!$F$21*('Plan mensual'!I59+IF(parametros_carros!$H$21="Todos",'Plan mensual'!I63,0))+parametros_carros!$G$21*('Plan mensual'!I60+IF(parametros_carros!$H$21="Todos",'Plan mensual'!I64,0)))/60</f>
        <v>2.8844</v>
      </c>
      <c r="H104" s="9">
        <f>(parametros_carros!$D$21*('Plan mensual'!J57+IF(parametros_carros!$H$21="Todos",'Plan mensual'!J61,0))+parametros_carros!$E$21*('Plan mensual'!J58+IF(parametros_carros!$H$21="Todos",'Plan mensual'!J62,0))+parametros_carros!$F$21*('Plan mensual'!J59+IF(parametros_carros!$H$21="Todos",'Plan mensual'!J63,0))+parametros_carros!$G$21*('Plan mensual'!J60+IF(parametros_carros!$H$21="Todos",'Plan mensual'!J64,0)))/60</f>
        <v>3.24495</v>
      </c>
      <c r="I104" s="9">
        <f>(parametros_carros!$D$21*('Plan mensual'!K57+IF(parametros_carros!$H$21="Todos",'Plan mensual'!K61,0))+parametros_carros!$E$21*('Plan mensual'!K58+IF(parametros_carros!$H$21="Todos",'Plan mensual'!K62,0))+parametros_carros!$F$21*('Plan mensual'!K59+IF(parametros_carros!$H$21="Todos",'Plan mensual'!K63,0))+parametros_carros!$G$21*('Plan mensual'!K60+IF(parametros_carros!$H$21="Todos",'Plan mensual'!K64,0)))/60</f>
        <v>3.24495</v>
      </c>
      <c r="J104" s="9">
        <f>(parametros_carros!$D$21*('Plan mensual'!L57+IF(parametros_carros!$H$21="Todos",'Plan mensual'!L61,0))+parametros_carros!$E$21*('Plan mensual'!L58+IF(parametros_carros!$H$21="Todos",'Plan mensual'!L62,0))+parametros_carros!$F$21*('Plan mensual'!L59+IF(parametros_carros!$H$21="Todos",'Plan mensual'!L63,0))+parametros_carros!$G$21*('Plan mensual'!L60+IF(parametros_carros!$H$21="Todos",'Plan mensual'!L64,0)))/60</f>
        <v>3.064675</v>
      </c>
      <c r="K104" s="9">
        <f>(parametros_carros!$D$21*('Plan mensual'!M57+IF(parametros_carros!$H$21="Todos",'Plan mensual'!M61,0))+parametros_carros!$E$21*('Plan mensual'!M58+IF(parametros_carros!$H$21="Todos",'Plan mensual'!M62,0))+parametros_carros!$F$21*('Plan mensual'!M59+IF(parametros_carros!$H$21="Todos",'Plan mensual'!M63,0))+parametros_carros!$G$21*('Plan mensual'!M60+IF(parametros_carros!$H$21="Todos",'Plan mensual'!M64,0)))/60</f>
        <v>2.704125</v>
      </c>
      <c r="L104" s="9">
        <f>(parametros_carros!$D$21*('Plan mensual'!N57+IF(parametros_carros!$H$21="Todos",'Plan mensual'!N61,0))+parametros_carros!$E$21*('Plan mensual'!N58+IF(parametros_carros!$H$21="Todos",'Plan mensual'!N62,0))+parametros_carros!$F$21*('Plan mensual'!N59+IF(parametros_carros!$H$21="Todos",'Plan mensual'!N63,0))+parametros_carros!$G$21*('Plan mensual'!N60+IF(parametros_carros!$H$21="Todos",'Plan mensual'!N64,0)))/60</f>
        <v>2.52385</v>
      </c>
      <c r="M104" s="9">
        <f>(parametros_carros!$D$21*('Plan mensual'!O57+IF(parametros_carros!$H$21="Todos",'Plan mensual'!O61,0))+parametros_carros!$E$21*('Plan mensual'!O58+IF(parametros_carros!$H$21="Todos",'Plan mensual'!O62,0))+parametros_carros!$F$21*('Plan mensual'!O59+IF(parametros_carros!$H$21="Todos",'Plan mensual'!O63,0))+parametros_carros!$G$21*('Plan mensual'!O60+IF(parametros_carros!$H$21="Todos",'Plan mensual'!O64,0)))/60</f>
        <v>2.8844</v>
      </c>
      <c r="N104" s="9">
        <f t="shared" si="16"/>
        <v>36.055</v>
      </c>
      <c r="O104" s="9">
        <f t="shared" si="17"/>
        <v>3.24495</v>
      </c>
      <c r="P104" s="32">
        <f>IF(parametros_carros!$B$7=0,0,(O104+parametros_carros!$G$47)/parametros_carros!$B$7)</f>
        <v>0.03385522222</v>
      </c>
      <c r="Q104" s="21" t="str">
        <f t="shared" si="18"/>
        <v>Mar</v>
      </c>
    </row>
    <row r="105" ht="14.25" customHeight="1">
      <c r="A105" s="2" t="str">
        <f>parametros_carros!$B$22</f>
        <v>Cilindrado</v>
      </c>
      <c r="B105" s="9">
        <f>(parametros_carros!$D$22*('Plan mensual'!D57+IF(parametros_carros!$H$22="Todos",'Plan mensual'!D61,0))+parametros_carros!$E$22*('Plan mensual'!D58+IF(parametros_carros!$H$22="Todos",'Plan mensual'!D62,0))+parametros_carros!$F$22*('Plan mensual'!D59+IF(parametros_carros!$H$22="Todos",'Plan mensual'!D63,0))+parametros_carros!$G$22*('Plan mensual'!D60+IF(parametros_carros!$H$22="Todos",'Plan mensual'!D64,0)))/60</f>
        <v>6.554066667</v>
      </c>
      <c r="C105" s="9">
        <f>(parametros_carros!$D$22*('Plan mensual'!E57+IF(parametros_carros!$H$22="Todos",'Plan mensual'!E61,0))+parametros_carros!$E$22*('Plan mensual'!E58+IF(parametros_carros!$H$22="Todos",'Plan mensual'!E62,0))+parametros_carros!$F$22*('Plan mensual'!E59+IF(parametros_carros!$H$22="Todos",'Plan mensual'!E63,0))+parametros_carros!$G$22*('Plan mensual'!E60+IF(parametros_carros!$H$22="Todos",'Plan mensual'!E64,0)))/60</f>
        <v>5.783</v>
      </c>
      <c r="D105" s="9">
        <f>(parametros_carros!$D$22*('Plan mensual'!F57+IF(parametros_carros!$H$22="Todos",'Plan mensual'!F61,0))+parametros_carros!$E$22*('Plan mensual'!F58+IF(parametros_carros!$H$22="Todos",'Plan mensual'!F62,0))+parametros_carros!$F$22*('Plan mensual'!F59+IF(parametros_carros!$H$22="Todos",'Plan mensual'!F63,0))+parametros_carros!$G$22*('Plan mensual'!F60+IF(parametros_carros!$H$22="Todos",'Plan mensual'!F64,0)))/60</f>
        <v>6.9396</v>
      </c>
      <c r="E105" s="9">
        <f>(parametros_carros!$D$22*('Plan mensual'!G57+IF(parametros_carros!$H$22="Todos",'Plan mensual'!G61,0))+parametros_carros!$E$22*('Plan mensual'!G58+IF(parametros_carros!$H$22="Todos",'Plan mensual'!G62,0))+parametros_carros!$F$22*('Plan mensual'!G59+IF(parametros_carros!$H$22="Todos",'Plan mensual'!G63,0))+parametros_carros!$G$22*('Plan mensual'!G60+IF(parametros_carros!$H$22="Todos",'Plan mensual'!G64,0)))/60</f>
        <v>6.9396</v>
      </c>
      <c r="F105" s="9">
        <f>(parametros_carros!$D$22*('Plan mensual'!H57+IF(parametros_carros!$H$22="Todos",'Plan mensual'!H61,0))+parametros_carros!$E$22*('Plan mensual'!H58+IF(parametros_carros!$H$22="Todos",'Plan mensual'!H62,0))+parametros_carros!$F$22*('Plan mensual'!H59+IF(parametros_carros!$H$22="Todos",'Plan mensual'!H63,0))+parametros_carros!$G$22*('Plan mensual'!H60+IF(parametros_carros!$H$22="Todos",'Plan mensual'!H64,0)))/60</f>
        <v>6.9396</v>
      </c>
      <c r="G105" s="9">
        <f>(parametros_carros!$D$22*('Plan mensual'!I57+IF(parametros_carros!$H$22="Todos",'Plan mensual'!I61,0))+parametros_carros!$E$22*('Plan mensual'!I58+IF(parametros_carros!$H$22="Todos",'Plan mensual'!I62,0))+parametros_carros!$F$22*('Plan mensual'!I59+IF(parametros_carros!$H$22="Todos",'Plan mensual'!I63,0))+parametros_carros!$G$22*('Plan mensual'!I60+IF(parametros_carros!$H$22="Todos",'Plan mensual'!I64,0)))/60</f>
        <v>6.168533333</v>
      </c>
      <c r="H105" s="9">
        <f>(parametros_carros!$D$22*('Plan mensual'!J57+IF(parametros_carros!$H$22="Todos",'Plan mensual'!J61,0))+parametros_carros!$E$22*('Plan mensual'!J58+IF(parametros_carros!$H$22="Todos",'Plan mensual'!J62,0))+parametros_carros!$F$22*('Plan mensual'!J59+IF(parametros_carros!$H$22="Todos",'Plan mensual'!J63,0))+parametros_carros!$G$22*('Plan mensual'!J60+IF(parametros_carros!$H$22="Todos",'Plan mensual'!J64,0)))/60</f>
        <v>6.9396</v>
      </c>
      <c r="I105" s="9">
        <f>(parametros_carros!$D$22*('Plan mensual'!K57+IF(parametros_carros!$H$22="Todos",'Plan mensual'!K61,0))+parametros_carros!$E$22*('Plan mensual'!K58+IF(parametros_carros!$H$22="Todos",'Plan mensual'!K62,0))+parametros_carros!$F$22*('Plan mensual'!K59+IF(parametros_carros!$H$22="Todos",'Plan mensual'!K63,0))+parametros_carros!$G$22*('Plan mensual'!K60+IF(parametros_carros!$H$22="Todos",'Plan mensual'!K64,0)))/60</f>
        <v>6.9396</v>
      </c>
      <c r="J105" s="9">
        <f>(parametros_carros!$D$22*('Plan mensual'!L57+IF(parametros_carros!$H$22="Todos",'Plan mensual'!L61,0))+parametros_carros!$E$22*('Plan mensual'!L58+IF(parametros_carros!$H$22="Todos",'Plan mensual'!L62,0))+parametros_carros!$F$22*('Plan mensual'!L59+IF(parametros_carros!$H$22="Todos",'Plan mensual'!L63,0))+parametros_carros!$G$22*('Plan mensual'!L60+IF(parametros_carros!$H$22="Todos",'Plan mensual'!L64,0)))/60</f>
        <v>6.554066667</v>
      </c>
      <c r="K105" s="9">
        <f>(parametros_carros!$D$22*('Plan mensual'!M57+IF(parametros_carros!$H$22="Todos",'Plan mensual'!M61,0))+parametros_carros!$E$22*('Plan mensual'!M58+IF(parametros_carros!$H$22="Todos",'Plan mensual'!M62,0))+parametros_carros!$F$22*('Plan mensual'!M59+IF(parametros_carros!$H$22="Todos",'Plan mensual'!M63,0))+parametros_carros!$G$22*('Plan mensual'!M60+IF(parametros_carros!$H$22="Todos",'Plan mensual'!M64,0)))/60</f>
        <v>5.783</v>
      </c>
      <c r="L105" s="9">
        <f>(parametros_carros!$D$22*('Plan mensual'!N57+IF(parametros_carros!$H$22="Todos",'Plan mensual'!N61,0))+parametros_carros!$E$22*('Plan mensual'!N58+IF(parametros_carros!$H$22="Todos",'Plan mensual'!N62,0))+parametros_carros!$F$22*('Plan mensual'!N59+IF(parametros_carros!$H$22="Todos",'Plan mensual'!N63,0))+parametros_carros!$G$22*('Plan mensual'!N60+IF(parametros_carros!$H$22="Todos",'Plan mensual'!N64,0)))/60</f>
        <v>5.397466667</v>
      </c>
      <c r="M105" s="9">
        <f>(parametros_carros!$D$22*('Plan mensual'!O57+IF(parametros_carros!$H$22="Todos",'Plan mensual'!O61,0))+parametros_carros!$E$22*('Plan mensual'!O58+IF(parametros_carros!$H$22="Todos",'Plan mensual'!O62,0))+parametros_carros!$F$22*('Plan mensual'!O59+IF(parametros_carros!$H$22="Todos",'Plan mensual'!O63,0))+parametros_carros!$G$22*('Plan mensual'!O60+IF(parametros_carros!$H$22="Todos",'Plan mensual'!O64,0)))/60</f>
        <v>6.168533333</v>
      </c>
      <c r="N105" s="9">
        <f t="shared" si="16"/>
        <v>77.10666667</v>
      </c>
      <c r="O105" s="9">
        <f t="shared" si="17"/>
        <v>6.9396</v>
      </c>
      <c r="P105" s="32">
        <f>IF(parametros_carros!$B$7=0,0,(O105+parametros_carros!$G$48)/parametros_carros!$B$7)</f>
        <v>0.086264</v>
      </c>
      <c r="Q105" s="21" t="str">
        <f t="shared" si="18"/>
        <v>Mar</v>
      </c>
    </row>
    <row r="106" ht="14.25" customHeight="1">
      <c r="A106" s="2" t="str">
        <f>parametros_carros!$B$23</f>
        <v>Punteo del cuerpo</v>
      </c>
      <c r="B106" s="9">
        <f>(parametros_carros!$D$23*('Plan mensual'!D57+IF(parametros_carros!$H$23="Todos",'Plan mensual'!D61,0))+parametros_carros!$E$23*('Plan mensual'!D58+IF(parametros_carros!$H$23="Todos",'Plan mensual'!D62,0))+parametros_carros!$F$23*('Plan mensual'!D59+IF(parametros_carros!$H$23="Todos",'Plan mensual'!D63,0))+parametros_carros!$G$23*('Plan mensual'!D60+IF(parametros_carros!$H$23="Todos",'Plan mensual'!D64,0)))/60</f>
        <v>9.708416667</v>
      </c>
      <c r="C106" s="9">
        <f>(parametros_carros!$D$23*('Plan mensual'!E57+IF(parametros_carros!$H$23="Todos",'Plan mensual'!E61,0))+parametros_carros!$E$23*('Plan mensual'!E58+IF(parametros_carros!$H$23="Todos",'Plan mensual'!E62,0))+parametros_carros!$F$23*('Plan mensual'!E59+IF(parametros_carros!$H$23="Todos",'Plan mensual'!E63,0))+parametros_carros!$G$23*('Plan mensual'!E60+IF(parametros_carros!$H$23="Todos",'Plan mensual'!E64,0)))/60</f>
        <v>8.56625</v>
      </c>
      <c r="D106" s="9">
        <f>(parametros_carros!$D$23*('Plan mensual'!F57+IF(parametros_carros!$H$23="Todos",'Plan mensual'!F61,0))+parametros_carros!$E$23*('Plan mensual'!F58+IF(parametros_carros!$H$23="Todos",'Plan mensual'!F62,0))+parametros_carros!$F$23*('Plan mensual'!F59+IF(parametros_carros!$H$23="Todos",'Plan mensual'!F63,0))+parametros_carros!$G$23*('Plan mensual'!F60+IF(parametros_carros!$H$23="Todos",'Plan mensual'!F64,0)))/60</f>
        <v>10.2795</v>
      </c>
      <c r="E106" s="9">
        <f>(parametros_carros!$D$23*('Plan mensual'!G57+IF(parametros_carros!$H$23="Todos",'Plan mensual'!G61,0))+parametros_carros!$E$23*('Plan mensual'!G58+IF(parametros_carros!$H$23="Todos",'Plan mensual'!G62,0))+parametros_carros!$F$23*('Plan mensual'!G59+IF(parametros_carros!$H$23="Todos",'Plan mensual'!G63,0))+parametros_carros!$G$23*('Plan mensual'!G60+IF(parametros_carros!$H$23="Todos",'Plan mensual'!G64,0)))/60</f>
        <v>10.2795</v>
      </c>
      <c r="F106" s="9">
        <f>(parametros_carros!$D$23*('Plan mensual'!H57+IF(parametros_carros!$H$23="Todos",'Plan mensual'!H61,0))+parametros_carros!$E$23*('Plan mensual'!H58+IF(parametros_carros!$H$23="Todos",'Plan mensual'!H62,0))+parametros_carros!$F$23*('Plan mensual'!H59+IF(parametros_carros!$H$23="Todos",'Plan mensual'!H63,0))+parametros_carros!$G$23*('Plan mensual'!H60+IF(parametros_carros!$H$23="Todos",'Plan mensual'!H64,0)))/60</f>
        <v>10.2795</v>
      </c>
      <c r="G106" s="9">
        <f>(parametros_carros!$D$23*('Plan mensual'!I57+IF(parametros_carros!$H$23="Todos",'Plan mensual'!I61,0))+parametros_carros!$E$23*('Plan mensual'!I58+IF(parametros_carros!$H$23="Todos",'Plan mensual'!I62,0))+parametros_carros!$F$23*('Plan mensual'!I59+IF(parametros_carros!$H$23="Todos",'Plan mensual'!I63,0))+parametros_carros!$G$23*('Plan mensual'!I60+IF(parametros_carros!$H$23="Todos",'Plan mensual'!I64,0)))/60</f>
        <v>9.137333333</v>
      </c>
      <c r="H106" s="9">
        <f>(parametros_carros!$D$23*('Plan mensual'!J57+IF(parametros_carros!$H$23="Todos",'Plan mensual'!J61,0))+parametros_carros!$E$23*('Plan mensual'!J58+IF(parametros_carros!$H$23="Todos",'Plan mensual'!J62,0))+parametros_carros!$F$23*('Plan mensual'!J59+IF(parametros_carros!$H$23="Todos",'Plan mensual'!J63,0))+parametros_carros!$G$23*('Plan mensual'!J60+IF(parametros_carros!$H$23="Todos",'Plan mensual'!J64,0)))/60</f>
        <v>10.2795</v>
      </c>
      <c r="I106" s="9">
        <f>(parametros_carros!$D$23*('Plan mensual'!K57+IF(parametros_carros!$H$23="Todos",'Plan mensual'!K61,0))+parametros_carros!$E$23*('Plan mensual'!K58+IF(parametros_carros!$H$23="Todos",'Plan mensual'!K62,0))+parametros_carros!$F$23*('Plan mensual'!K59+IF(parametros_carros!$H$23="Todos",'Plan mensual'!K63,0))+parametros_carros!$G$23*('Plan mensual'!K60+IF(parametros_carros!$H$23="Todos",'Plan mensual'!K64,0)))/60</f>
        <v>10.2795</v>
      </c>
      <c r="J106" s="9">
        <f>(parametros_carros!$D$23*('Plan mensual'!L57+IF(parametros_carros!$H$23="Todos",'Plan mensual'!L61,0))+parametros_carros!$E$23*('Plan mensual'!L58+IF(parametros_carros!$H$23="Todos",'Plan mensual'!L62,0))+parametros_carros!$F$23*('Plan mensual'!L59+IF(parametros_carros!$H$23="Todos",'Plan mensual'!L63,0))+parametros_carros!$G$23*('Plan mensual'!L60+IF(parametros_carros!$H$23="Todos",'Plan mensual'!L64,0)))/60</f>
        <v>9.708416667</v>
      </c>
      <c r="K106" s="9">
        <f>(parametros_carros!$D$23*('Plan mensual'!M57+IF(parametros_carros!$H$23="Todos",'Plan mensual'!M61,0))+parametros_carros!$E$23*('Plan mensual'!M58+IF(parametros_carros!$H$23="Todos",'Plan mensual'!M62,0))+parametros_carros!$F$23*('Plan mensual'!M59+IF(parametros_carros!$H$23="Todos",'Plan mensual'!M63,0))+parametros_carros!$G$23*('Plan mensual'!M60+IF(parametros_carros!$H$23="Todos",'Plan mensual'!M64,0)))/60</f>
        <v>8.56625</v>
      </c>
      <c r="L106" s="9">
        <f>(parametros_carros!$D$23*('Plan mensual'!N57+IF(parametros_carros!$H$23="Todos",'Plan mensual'!N61,0))+parametros_carros!$E$23*('Plan mensual'!N58+IF(parametros_carros!$H$23="Todos",'Plan mensual'!N62,0))+parametros_carros!$F$23*('Plan mensual'!N59+IF(parametros_carros!$H$23="Todos",'Plan mensual'!N63,0))+parametros_carros!$G$23*('Plan mensual'!N60+IF(parametros_carros!$H$23="Todos",'Plan mensual'!N64,0)))/60</f>
        <v>7.995166667</v>
      </c>
      <c r="M106" s="9">
        <f>(parametros_carros!$D$23*('Plan mensual'!O57+IF(parametros_carros!$H$23="Todos",'Plan mensual'!O61,0))+parametros_carros!$E$23*('Plan mensual'!O58+IF(parametros_carros!$H$23="Todos",'Plan mensual'!O62,0))+parametros_carros!$F$23*('Plan mensual'!O59+IF(parametros_carros!$H$23="Todos",'Plan mensual'!O63,0))+parametros_carros!$G$23*('Plan mensual'!O60+IF(parametros_carros!$H$23="Todos",'Plan mensual'!O64,0)))/60</f>
        <v>9.137333333</v>
      </c>
      <c r="N106" s="9">
        <f t="shared" si="16"/>
        <v>114.2166667</v>
      </c>
      <c r="O106" s="9">
        <f t="shared" si="17"/>
        <v>10.2795</v>
      </c>
      <c r="P106" s="32">
        <f>IF(parametros_carros!$B$7=0,0,(O106+parametros_carros!$G$49)/parametros_carros!$B$7)</f>
        <v>0.07964111111</v>
      </c>
      <c r="Q106" s="21" t="str">
        <f t="shared" si="18"/>
        <v>Mar</v>
      </c>
    </row>
    <row r="107" ht="14.25" customHeight="1">
      <c r="A107" s="2" t="str">
        <f>parametros_carros!$B$24</f>
        <v>Soldadura longitudinal</v>
      </c>
      <c r="B107" s="9">
        <f>(parametros_carros!$D$24*('Plan mensual'!D57+IF(parametros_carros!$H$24="Todos",'Plan mensual'!D61,0))+parametros_carros!$E$24*('Plan mensual'!D58+IF(parametros_carros!$H$24="Todos",'Plan mensual'!D62,0))+parametros_carros!$F$24*('Plan mensual'!D59+IF(parametros_carros!$H$24="Todos",'Plan mensual'!D63,0))+parametros_carros!$G$24*('Plan mensual'!D60+IF(parametros_carros!$H$24="Todos",'Plan mensual'!D64,0)))/60</f>
        <v>6.680433333</v>
      </c>
      <c r="C107" s="9">
        <f>(parametros_carros!$D$24*('Plan mensual'!E57+IF(parametros_carros!$H$24="Todos",'Plan mensual'!E61,0))+parametros_carros!$E$24*('Plan mensual'!E58+IF(parametros_carros!$H$24="Todos",'Plan mensual'!E62,0))+parametros_carros!$F$24*('Plan mensual'!E59+IF(parametros_carros!$H$24="Todos",'Plan mensual'!E63,0))+parametros_carros!$G$24*('Plan mensual'!E60+IF(parametros_carros!$H$24="Todos",'Plan mensual'!E64,0)))/60</f>
        <v>5.8945</v>
      </c>
      <c r="D107" s="9">
        <f>(parametros_carros!$D$24*('Plan mensual'!F57+IF(parametros_carros!$H$24="Todos",'Plan mensual'!F61,0))+parametros_carros!$E$24*('Plan mensual'!F58+IF(parametros_carros!$H$24="Todos",'Plan mensual'!F62,0))+parametros_carros!$F$24*('Plan mensual'!F59+IF(parametros_carros!$H$24="Todos",'Plan mensual'!F63,0))+parametros_carros!$G$24*('Plan mensual'!F60+IF(parametros_carros!$H$24="Todos",'Plan mensual'!F64,0)))/60</f>
        <v>7.0734</v>
      </c>
      <c r="E107" s="9">
        <f>(parametros_carros!$D$24*('Plan mensual'!G57+IF(parametros_carros!$H$24="Todos",'Plan mensual'!G61,0))+parametros_carros!$E$24*('Plan mensual'!G58+IF(parametros_carros!$H$24="Todos",'Plan mensual'!G62,0))+parametros_carros!$F$24*('Plan mensual'!G59+IF(parametros_carros!$H$24="Todos",'Plan mensual'!G63,0))+parametros_carros!$G$24*('Plan mensual'!G60+IF(parametros_carros!$H$24="Todos",'Plan mensual'!G64,0)))/60</f>
        <v>7.0734</v>
      </c>
      <c r="F107" s="9">
        <f>(parametros_carros!$D$24*('Plan mensual'!H57+IF(parametros_carros!$H$24="Todos",'Plan mensual'!H61,0))+parametros_carros!$E$24*('Plan mensual'!H58+IF(parametros_carros!$H$24="Todos",'Plan mensual'!H62,0))+parametros_carros!$F$24*('Plan mensual'!H59+IF(parametros_carros!$H$24="Todos",'Plan mensual'!H63,0))+parametros_carros!$G$24*('Plan mensual'!H60+IF(parametros_carros!$H$24="Todos",'Plan mensual'!H64,0)))/60</f>
        <v>7.0734</v>
      </c>
      <c r="G107" s="9">
        <f>(parametros_carros!$D$24*('Plan mensual'!I57+IF(parametros_carros!$H$24="Todos",'Plan mensual'!I61,0))+parametros_carros!$E$24*('Plan mensual'!I58+IF(parametros_carros!$H$24="Todos",'Plan mensual'!I62,0))+parametros_carros!$F$24*('Plan mensual'!I59+IF(parametros_carros!$H$24="Todos",'Plan mensual'!I63,0))+parametros_carros!$G$24*('Plan mensual'!I60+IF(parametros_carros!$H$24="Todos",'Plan mensual'!I64,0)))/60</f>
        <v>6.287466667</v>
      </c>
      <c r="H107" s="9">
        <f>(parametros_carros!$D$24*('Plan mensual'!J57+IF(parametros_carros!$H$24="Todos",'Plan mensual'!J61,0))+parametros_carros!$E$24*('Plan mensual'!J58+IF(parametros_carros!$H$24="Todos",'Plan mensual'!J62,0))+parametros_carros!$F$24*('Plan mensual'!J59+IF(parametros_carros!$H$24="Todos",'Plan mensual'!J63,0))+parametros_carros!$G$24*('Plan mensual'!J60+IF(parametros_carros!$H$24="Todos",'Plan mensual'!J64,0)))/60</f>
        <v>7.0734</v>
      </c>
      <c r="I107" s="9">
        <f>(parametros_carros!$D$24*('Plan mensual'!K57+IF(parametros_carros!$H$24="Todos",'Plan mensual'!K61,0))+parametros_carros!$E$24*('Plan mensual'!K58+IF(parametros_carros!$H$24="Todos",'Plan mensual'!K62,0))+parametros_carros!$F$24*('Plan mensual'!K59+IF(parametros_carros!$H$24="Todos",'Plan mensual'!K63,0))+parametros_carros!$G$24*('Plan mensual'!K60+IF(parametros_carros!$H$24="Todos",'Plan mensual'!K64,0)))/60</f>
        <v>7.0734</v>
      </c>
      <c r="J107" s="9">
        <f>(parametros_carros!$D$24*('Plan mensual'!L57+IF(parametros_carros!$H$24="Todos",'Plan mensual'!L61,0))+parametros_carros!$E$24*('Plan mensual'!L58+IF(parametros_carros!$H$24="Todos",'Plan mensual'!L62,0))+parametros_carros!$F$24*('Plan mensual'!L59+IF(parametros_carros!$H$24="Todos",'Plan mensual'!L63,0))+parametros_carros!$G$24*('Plan mensual'!L60+IF(parametros_carros!$H$24="Todos",'Plan mensual'!L64,0)))/60</f>
        <v>6.680433333</v>
      </c>
      <c r="K107" s="9">
        <f>(parametros_carros!$D$24*('Plan mensual'!M57+IF(parametros_carros!$H$24="Todos",'Plan mensual'!M61,0))+parametros_carros!$E$24*('Plan mensual'!M58+IF(parametros_carros!$H$24="Todos",'Plan mensual'!M62,0))+parametros_carros!$F$24*('Plan mensual'!M59+IF(parametros_carros!$H$24="Todos",'Plan mensual'!M63,0))+parametros_carros!$G$24*('Plan mensual'!M60+IF(parametros_carros!$H$24="Todos",'Plan mensual'!M64,0)))/60</f>
        <v>5.8945</v>
      </c>
      <c r="L107" s="9">
        <f>(parametros_carros!$D$24*('Plan mensual'!N57+IF(parametros_carros!$H$24="Todos",'Plan mensual'!N61,0))+parametros_carros!$E$24*('Plan mensual'!N58+IF(parametros_carros!$H$24="Todos",'Plan mensual'!N62,0))+parametros_carros!$F$24*('Plan mensual'!N59+IF(parametros_carros!$H$24="Todos",'Plan mensual'!N63,0))+parametros_carros!$G$24*('Plan mensual'!N60+IF(parametros_carros!$H$24="Todos",'Plan mensual'!N64,0)))/60</f>
        <v>5.501533333</v>
      </c>
      <c r="M107" s="9">
        <f>(parametros_carros!$D$24*('Plan mensual'!O57+IF(parametros_carros!$H$24="Todos",'Plan mensual'!O61,0))+parametros_carros!$E$24*('Plan mensual'!O58+IF(parametros_carros!$H$24="Todos",'Plan mensual'!O62,0))+parametros_carros!$F$24*('Plan mensual'!O59+IF(parametros_carros!$H$24="Todos",'Plan mensual'!O63,0))+parametros_carros!$G$24*('Plan mensual'!O60+IF(parametros_carros!$H$24="Todos",'Plan mensual'!O64,0)))/60</f>
        <v>6.287466667</v>
      </c>
      <c r="N107" s="9">
        <f t="shared" si="16"/>
        <v>78.59333333</v>
      </c>
      <c r="O107" s="9">
        <f t="shared" si="17"/>
        <v>7.0734</v>
      </c>
      <c r="P107" s="32">
        <f>IF(parametros_carros!$B$7=0,0,(O107+parametros_carros!$G$50)/parametros_carros!$B$7)</f>
        <v>0.06493377778</v>
      </c>
      <c r="Q107" s="21" t="str">
        <f t="shared" si="18"/>
        <v>Mar</v>
      </c>
    </row>
    <row r="108" ht="14.25" customHeight="1">
      <c r="A108" s="2" t="str">
        <f>parametros_carros!$B$25</f>
        <v>Soldadura de cupla en la cúpula</v>
      </c>
      <c r="B108" s="9">
        <f>(parametros_carros!$D$25*('Plan mensual'!D57+IF(parametros_carros!$H$25="Todos",'Plan mensual'!D61,0))+parametros_carros!$E$25*('Plan mensual'!D58+IF(parametros_carros!$H$25="Todos",'Plan mensual'!D62,0))+parametros_carros!$F$25*('Plan mensual'!D59+IF(parametros_carros!$H$25="Todos",'Plan mensual'!D63,0))+parametros_carros!$G$25*('Plan mensual'!D60+IF(parametros_carros!$H$25="Todos",'Plan mensual'!D64,0)))/60</f>
        <v>6.600533333</v>
      </c>
      <c r="C108" s="9">
        <f>(parametros_carros!$D$25*('Plan mensual'!E57+IF(parametros_carros!$H$25="Todos",'Plan mensual'!E61,0))+parametros_carros!$E$25*('Plan mensual'!E58+IF(parametros_carros!$H$25="Todos",'Plan mensual'!E62,0))+parametros_carros!$F$25*('Plan mensual'!E59+IF(parametros_carros!$H$25="Todos",'Plan mensual'!E63,0))+parametros_carros!$G$25*('Plan mensual'!E60+IF(parametros_carros!$H$25="Todos",'Plan mensual'!E64,0)))/60</f>
        <v>5.824</v>
      </c>
      <c r="D108" s="9">
        <f>(parametros_carros!$D$25*('Plan mensual'!F57+IF(parametros_carros!$H$25="Todos",'Plan mensual'!F61,0))+parametros_carros!$E$25*('Plan mensual'!F58+IF(parametros_carros!$H$25="Todos",'Plan mensual'!F62,0))+parametros_carros!$F$25*('Plan mensual'!F59+IF(parametros_carros!$H$25="Todos",'Plan mensual'!F63,0))+parametros_carros!$G$25*('Plan mensual'!F60+IF(parametros_carros!$H$25="Todos",'Plan mensual'!F64,0)))/60</f>
        <v>6.9888</v>
      </c>
      <c r="E108" s="9">
        <f>(parametros_carros!$D$25*('Plan mensual'!G57+IF(parametros_carros!$H$25="Todos",'Plan mensual'!G61,0))+parametros_carros!$E$25*('Plan mensual'!G58+IF(parametros_carros!$H$25="Todos",'Plan mensual'!G62,0))+parametros_carros!$F$25*('Plan mensual'!G59+IF(parametros_carros!$H$25="Todos",'Plan mensual'!G63,0))+parametros_carros!$G$25*('Plan mensual'!G60+IF(parametros_carros!$H$25="Todos",'Plan mensual'!G64,0)))/60</f>
        <v>6.9888</v>
      </c>
      <c r="F108" s="9">
        <f>(parametros_carros!$D$25*('Plan mensual'!H57+IF(parametros_carros!$H$25="Todos",'Plan mensual'!H61,0))+parametros_carros!$E$25*('Plan mensual'!H58+IF(parametros_carros!$H$25="Todos",'Plan mensual'!H62,0))+parametros_carros!$F$25*('Plan mensual'!H59+IF(parametros_carros!$H$25="Todos",'Plan mensual'!H63,0))+parametros_carros!$G$25*('Plan mensual'!H60+IF(parametros_carros!$H$25="Todos",'Plan mensual'!H64,0)))/60</f>
        <v>6.9888</v>
      </c>
      <c r="G108" s="9">
        <f>(parametros_carros!$D$25*('Plan mensual'!I57+IF(parametros_carros!$H$25="Todos",'Plan mensual'!I61,0))+parametros_carros!$E$25*('Plan mensual'!I58+IF(parametros_carros!$H$25="Todos",'Plan mensual'!I62,0))+parametros_carros!$F$25*('Plan mensual'!I59+IF(parametros_carros!$H$25="Todos",'Plan mensual'!I63,0))+parametros_carros!$G$25*('Plan mensual'!I60+IF(parametros_carros!$H$25="Todos",'Plan mensual'!I64,0)))/60</f>
        <v>6.212266667</v>
      </c>
      <c r="H108" s="9">
        <f>(parametros_carros!$D$25*('Plan mensual'!J57+IF(parametros_carros!$H$25="Todos",'Plan mensual'!J61,0))+parametros_carros!$E$25*('Plan mensual'!J58+IF(parametros_carros!$H$25="Todos",'Plan mensual'!J62,0))+parametros_carros!$F$25*('Plan mensual'!J59+IF(parametros_carros!$H$25="Todos",'Plan mensual'!J63,0))+parametros_carros!$G$25*('Plan mensual'!J60+IF(parametros_carros!$H$25="Todos",'Plan mensual'!J64,0)))/60</f>
        <v>6.9888</v>
      </c>
      <c r="I108" s="9">
        <f>(parametros_carros!$D$25*('Plan mensual'!K57+IF(parametros_carros!$H$25="Todos",'Plan mensual'!K61,0))+parametros_carros!$E$25*('Plan mensual'!K58+IF(parametros_carros!$H$25="Todos",'Plan mensual'!K62,0))+parametros_carros!$F$25*('Plan mensual'!K59+IF(parametros_carros!$H$25="Todos",'Plan mensual'!K63,0))+parametros_carros!$G$25*('Plan mensual'!K60+IF(parametros_carros!$H$25="Todos",'Plan mensual'!K64,0)))/60</f>
        <v>6.9888</v>
      </c>
      <c r="J108" s="9">
        <f>(parametros_carros!$D$25*('Plan mensual'!L57+IF(parametros_carros!$H$25="Todos",'Plan mensual'!L61,0))+parametros_carros!$E$25*('Plan mensual'!L58+IF(parametros_carros!$H$25="Todos",'Plan mensual'!L62,0))+parametros_carros!$F$25*('Plan mensual'!L59+IF(parametros_carros!$H$25="Todos",'Plan mensual'!L63,0))+parametros_carros!$G$25*('Plan mensual'!L60+IF(parametros_carros!$H$25="Todos",'Plan mensual'!L64,0)))/60</f>
        <v>6.600533333</v>
      </c>
      <c r="K108" s="9">
        <f>(parametros_carros!$D$25*('Plan mensual'!M57+IF(parametros_carros!$H$25="Todos",'Plan mensual'!M61,0))+parametros_carros!$E$25*('Plan mensual'!M58+IF(parametros_carros!$H$25="Todos",'Plan mensual'!M62,0))+parametros_carros!$F$25*('Plan mensual'!M59+IF(parametros_carros!$H$25="Todos",'Plan mensual'!M63,0))+parametros_carros!$G$25*('Plan mensual'!M60+IF(parametros_carros!$H$25="Todos",'Plan mensual'!M64,0)))/60</f>
        <v>5.824</v>
      </c>
      <c r="L108" s="9">
        <f>(parametros_carros!$D$25*('Plan mensual'!N57+IF(parametros_carros!$H$25="Todos",'Plan mensual'!N61,0))+parametros_carros!$E$25*('Plan mensual'!N58+IF(parametros_carros!$H$25="Todos",'Plan mensual'!N62,0))+parametros_carros!$F$25*('Plan mensual'!N59+IF(parametros_carros!$H$25="Todos",'Plan mensual'!N63,0))+parametros_carros!$G$25*('Plan mensual'!N60+IF(parametros_carros!$H$25="Todos",'Plan mensual'!N64,0)))/60</f>
        <v>5.435733333</v>
      </c>
      <c r="M108" s="9">
        <f>(parametros_carros!$D$25*('Plan mensual'!O57+IF(parametros_carros!$H$25="Todos",'Plan mensual'!O61,0))+parametros_carros!$E$25*('Plan mensual'!O58+IF(parametros_carros!$H$25="Todos",'Plan mensual'!O62,0))+parametros_carros!$F$25*('Plan mensual'!O59+IF(parametros_carros!$H$25="Todos",'Plan mensual'!O63,0))+parametros_carros!$G$25*('Plan mensual'!O60+IF(parametros_carros!$H$25="Todos",'Plan mensual'!O64,0)))/60</f>
        <v>6.212266667</v>
      </c>
      <c r="N108" s="9">
        <f t="shared" si="16"/>
        <v>77.65333333</v>
      </c>
      <c r="O108" s="9">
        <f t="shared" si="17"/>
        <v>6.9888</v>
      </c>
      <c r="P108" s="32">
        <f>IF(parametros_carros!$B$7=0,0,(O108+parametros_carros!$G$51)/parametros_carros!$B$7)</f>
        <v>0.066592</v>
      </c>
      <c r="Q108" s="21" t="str">
        <f t="shared" si="18"/>
        <v>Mar</v>
      </c>
    </row>
    <row r="109" ht="14.25" customHeight="1">
      <c r="A109" s="2" t="str">
        <f>parametros_carros!$B$26</f>
        <v>Armado y soldadura circunferencial</v>
      </c>
      <c r="B109" s="9">
        <f>(parametros_carros!$D$26*('Plan mensual'!D57+IF(parametros_carros!$H$26="Todos",'Plan mensual'!D61,0))+parametros_carros!$E$26*('Plan mensual'!D58+IF(parametros_carros!$H$26="Todos",'Plan mensual'!D62,0))+parametros_carros!$F$26*('Plan mensual'!D59+IF(parametros_carros!$H$26="Todos",'Plan mensual'!D63,0))+parametros_carros!$G$26*('Plan mensual'!D60+IF(parametros_carros!$H$26="Todos",'Plan mensual'!D64,0)))/60</f>
        <v>31.21398333</v>
      </c>
      <c r="C109" s="9">
        <f>(parametros_carros!$D$26*('Plan mensual'!E57+IF(parametros_carros!$H$26="Todos",'Plan mensual'!E61,0))+parametros_carros!$E$26*('Plan mensual'!E58+IF(parametros_carros!$H$26="Todos",'Plan mensual'!E62,0))+parametros_carros!$F$26*('Plan mensual'!E59+IF(parametros_carros!$H$26="Todos",'Plan mensual'!E63,0))+parametros_carros!$G$26*('Plan mensual'!E60+IF(parametros_carros!$H$26="Todos",'Plan mensual'!E64,0)))/60</f>
        <v>27.54175</v>
      </c>
      <c r="D109" s="9">
        <f>(parametros_carros!$D$26*('Plan mensual'!F57+IF(parametros_carros!$H$26="Todos",'Plan mensual'!F61,0))+parametros_carros!$E$26*('Plan mensual'!F58+IF(parametros_carros!$H$26="Todos",'Plan mensual'!F62,0))+parametros_carros!$F$26*('Plan mensual'!F59+IF(parametros_carros!$H$26="Todos",'Plan mensual'!F63,0))+parametros_carros!$G$26*('Plan mensual'!F60+IF(parametros_carros!$H$26="Todos",'Plan mensual'!F64,0)))/60</f>
        <v>33.0501</v>
      </c>
      <c r="E109" s="9">
        <f>(parametros_carros!$D$26*('Plan mensual'!G57+IF(parametros_carros!$H$26="Todos",'Plan mensual'!G61,0))+parametros_carros!$E$26*('Plan mensual'!G58+IF(parametros_carros!$H$26="Todos",'Plan mensual'!G62,0))+parametros_carros!$F$26*('Plan mensual'!G59+IF(parametros_carros!$H$26="Todos",'Plan mensual'!G63,0))+parametros_carros!$G$26*('Plan mensual'!G60+IF(parametros_carros!$H$26="Todos",'Plan mensual'!G64,0)))/60</f>
        <v>33.0501</v>
      </c>
      <c r="F109" s="9">
        <f>(parametros_carros!$D$26*('Plan mensual'!H57+IF(parametros_carros!$H$26="Todos",'Plan mensual'!H61,0))+parametros_carros!$E$26*('Plan mensual'!H58+IF(parametros_carros!$H$26="Todos",'Plan mensual'!H62,0))+parametros_carros!$F$26*('Plan mensual'!H59+IF(parametros_carros!$H$26="Todos",'Plan mensual'!H63,0))+parametros_carros!$G$26*('Plan mensual'!H60+IF(parametros_carros!$H$26="Todos",'Plan mensual'!H64,0)))/60</f>
        <v>33.0501</v>
      </c>
      <c r="G109" s="9">
        <f>(parametros_carros!$D$26*('Plan mensual'!I57+IF(parametros_carros!$H$26="Todos",'Plan mensual'!I61,0))+parametros_carros!$E$26*('Plan mensual'!I58+IF(parametros_carros!$H$26="Todos",'Plan mensual'!I62,0))+parametros_carros!$F$26*('Plan mensual'!I59+IF(parametros_carros!$H$26="Todos",'Plan mensual'!I63,0))+parametros_carros!$G$26*('Plan mensual'!I60+IF(parametros_carros!$H$26="Todos",'Plan mensual'!I64,0)))/60</f>
        <v>29.37786667</v>
      </c>
      <c r="H109" s="9">
        <f>(parametros_carros!$D$26*('Plan mensual'!J57+IF(parametros_carros!$H$26="Todos",'Plan mensual'!J61,0))+parametros_carros!$E$26*('Plan mensual'!J58+IF(parametros_carros!$H$26="Todos",'Plan mensual'!J62,0))+parametros_carros!$F$26*('Plan mensual'!J59+IF(parametros_carros!$H$26="Todos",'Plan mensual'!J63,0))+parametros_carros!$G$26*('Plan mensual'!J60+IF(parametros_carros!$H$26="Todos",'Plan mensual'!J64,0)))/60</f>
        <v>33.0501</v>
      </c>
      <c r="I109" s="9">
        <f>(parametros_carros!$D$26*('Plan mensual'!K57+IF(parametros_carros!$H$26="Todos",'Plan mensual'!K61,0))+parametros_carros!$E$26*('Plan mensual'!K58+IF(parametros_carros!$H$26="Todos",'Plan mensual'!K62,0))+parametros_carros!$F$26*('Plan mensual'!K59+IF(parametros_carros!$H$26="Todos",'Plan mensual'!K63,0))+parametros_carros!$G$26*('Plan mensual'!K60+IF(parametros_carros!$H$26="Todos",'Plan mensual'!K64,0)))/60</f>
        <v>33.0501</v>
      </c>
      <c r="J109" s="9">
        <f>(parametros_carros!$D$26*('Plan mensual'!L57+IF(parametros_carros!$H$26="Todos",'Plan mensual'!L61,0))+parametros_carros!$E$26*('Plan mensual'!L58+IF(parametros_carros!$H$26="Todos",'Plan mensual'!L62,0))+parametros_carros!$F$26*('Plan mensual'!L59+IF(parametros_carros!$H$26="Todos",'Plan mensual'!L63,0))+parametros_carros!$G$26*('Plan mensual'!L60+IF(parametros_carros!$H$26="Todos",'Plan mensual'!L64,0)))/60</f>
        <v>31.21398333</v>
      </c>
      <c r="K109" s="9">
        <f>(parametros_carros!$D$26*('Plan mensual'!M57+IF(parametros_carros!$H$26="Todos",'Plan mensual'!M61,0))+parametros_carros!$E$26*('Plan mensual'!M58+IF(parametros_carros!$H$26="Todos",'Plan mensual'!M62,0))+parametros_carros!$F$26*('Plan mensual'!M59+IF(parametros_carros!$H$26="Todos",'Plan mensual'!M63,0))+parametros_carros!$G$26*('Plan mensual'!M60+IF(parametros_carros!$H$26="Todos",'Plan mensual'!M64,0)))/60</f>
        <v>27.54175</v>
      </c>
      <c r="L109" s="9">
        <f>(parametros_carros!$D$26*('Plan mensual'!N57+IF(parametros_carros!$H$26="Todos",'Plan mensual'!N61,0))+parametros_carros!$E$26*('Plan mensual'!N58+IF(parametros_carros!$H$26="Todos",'Plan mensual'!N62,0))+parametros_carros!$F$26*('Plan mensual'!N59+IF(parametros_carros!$H$26="Todos",'Plan mensual'!N63,0))+parametros_carros!$G$26*('Plan mensual'!N60+IF(parametros_carros!$H$26="Todos",'Plan mensual'!N64,0)))/60</f>
        <v>25.70563333</v>
      </c>
      <c r="M109" s="9">
        <f>(parametros_carros!$D$26*('Plan mensual'!O57+IF(parametros_carros!$H$26="Todos",'Plan mensual'!O61,0))+parametros_carros!$E$26*('Plan mensual'!O58+IF(parametros_carros!$H$26="Todos",'Plan mensual'!O62,0))+parametros_carros!$F$26*('Plan mensual'!O59+IF(parametros_carros!$H$26="Todos",'Plan mensual'!O63,0))+parametros_carros!$G$26*('Plan mensual'!O60+IF(parametros_carros!$H$26="Todos",'Plan mensual'!O64,0)))/60</f>
        <v>29.37786667</v>
      </c>
      <c r="N109" s="9">
        <f t="shared" si="16"/>
        <v>367.2233333</v>
      </c>
      <c r="O109" s="9">
        <f t="shared" si="17"/>
        <v>33.0501</v>
      </c>
      <c r="P109" s="32">
        <f>IF(parametros_carros!$B$7=0,0,(O109+parametros_carros!$G$52)/parametros_carros!$B$7)</f>
        <v>0.240334</v>
      </c>
      <c r="Q109" s="21" t="str">
        <f t="shared" si="18"/>
        <v>Mar</v>
      </c>
    </row>
    <row r="110" ht="14.25" customHeight="1">
      <c r="A110" s="2" t="str">
        <f>parametros_carros!$B$27</f>
        <v>Soldadura de accesorios</v>
      </c>
      <c r="B110" s="9">
        <f>(parametros_carros!$D$27*('Plan mensual'!D57+IF(parametros_carros!$H$27="Todos",'Plan mensual'!D61,0))+parametros_carros!$E$27*('Plan mensual'!D58+IF(parametros_carros!$H$27="Todos",'Plan mensual'!D62,0))+parametros_carros!$F$27*('Plan mensual'!D59+IF(parametros_carros!$H$27="Todos",'Plan mensual'!D63,0))+parametros_carros!$G$27*('Plan mensual'!D60+IF(parametros_carros!$H$27="Todos",'Plan mensual'!D64,0)))/60</f>
        <v>31.80855833</v>
      </c>
      <c r="C110" s="9">
        <f>(parametros_carros!$D$27*('Plan mensual'!E57+IF(parametros_carros!$H$27="Todos",'Plan mensual'!E61,0))+parametros_carros!$E$27*('Plan mensual'!E58+IF(parametros_carros!$H$27="Todos",'Plan mensual'!E62,0))+parametros_carros!$F$27*('Plan mensual'!E59+IF(parametros_carros!$H$27="Todos",'Plan mensual'!E63,0))+parametros_carros!$G$27*('Plan mensual'!E60+IF(parametros_carros!$H$27="Todos",'Plan mensual'!E64,0)))/60</f>
        <v>28.066375</v>
      </c>
      <c r="D110" s="9">
        <f>(parametros_carros!$D$27*('Plan mensual'!F57+IF(parametros_carros!$H$27="Todos",'Plan mensual'!F61,0))+parametros_carros!$E$27*('Plan mensual'!F58+IF(parametros_carros!$H$27="Todos",'Plan mensual'!F62,0))+parametros_carros!$F$27*('Plan mensual'!F59+IF(parametros_carros!$H$27="Todos",'Plan mensual'!F63,0))+parametros_carros!$G$27*('Plan mensual'!F60+IF(parametros_carros!$H$27="Todos",'Plan mensual'!F64,0)))/60</f>
        <v>33.67965</v>
      </c>
      <c r="E110" s="9">
        <f>(parametros_carros!$D$27*('Plan mensual'!G57+IF(parametros_carros!$H$27="Todos",'Plan mensual'!G61,0))+parametros_carros!$E$27*('Plan mensual'!G58+IF(parametros_carros!$H$27="Todos",'Plan mensual'!G62,0))+parametros_carros!$F$27*('Plan mensual'!G59+IF(parametros_carros!$H$27="Todos",'Plan mensual'!G63,0))+parametros_carros!$G$27*('Plan mensual'!G60+IF(parametros_carros!$H$27="Todos",'Plan mensual'!G64,0)))/60</f>
        <v>33.67965</v>
      </c>
      <c r="F110" s="9">
        <f>(parametros_carros!$D$27*('Plan mensual'!H57+IF(parametros_carros!$H$27="Todos",'Plan mensual'!H61,0))+parametros_carros!$E$27*('Plan mensual'!H58+IF(parametros_carros!$H$27="Todos",'Plan mensual'!H62,0))+parametros_carros!$F$27*('Plan mensual'!H59+IF(parametros_carros!$H$27="Todos",'Plan mensual'!H63,0))+parametros_carros!$G$27*('Plan mensual'!H60+IF(parametros_carros!$H$27="Todos",'Plan mensual'!H64,0)))/60</f>
        <v>33.67965</v>
      </c>
      <c r="G110" s="9">
        <f>(parametros_carros!$D$27*('Plan mensual'!I57+IF(parametros_carros!$H$27="Todos",'Plan mensual'!I61,0))+parametros_carros!$E$27*('Plan mensual'!I58+IF(parametros_carros!$H$27="Todos",'Plan mensual'!I62,0))+parametros_carros!$F$27*('Plan mensual'!I59+IF(parametros_carros!$H$27="Todos",'Plan mensual'!I63,0))+parametros_carros!$G$27*('Plan mensual'!I60+IF(parametros_carros!$H$27="Todos",'Plan mensual'!I64,0)))/60</f>
        <v>29.93746667</v>
      </c>
      <c r="H110" s="9">
        <f>(parametros_carros!$D$27*('Plan mensual'!J57+IF(parametros_carros!$H$27="Todos",'Plan mensual'!J61,0))+parametros_carros!$E$27*('Plan mensual'!J58+IF(parametros_carros!$H$27="Todos",'Plan mensual'!J62,0))+parametros_carros!$F$27*('Plan mensual'!J59+IF(parametros_carros!$H$27="Todos",'Plan mensual'!J63,0))+parametros_carros!$G$27*('Plan mensual'!J60+IF(parametros_carros!$H$27="Todos",'Plan mensual'!J64,0)))/60</f>
        <v>33.67965</v>
      </c>
      <c r="I110" s="9">
        <f>(parametros_carros!$D$27*('Plan mensual'!K57+IF(parametros_carros!$H$27="Todos",'Plan mensual'!K61,0))+parametros_carros!$E$27*('Plan mensual'!K58+IF(parametros_carros!$H$27="Todos",'Plan mensual'!K62,0))+parametros_carros!$F$27*('Plan mensual'!K59+IF(parametros_carros!$H$27="Todos",'Plan mensual'!K63,0))+parametros_carros!$G$27*('Plan mensual'!K60+IF(parametros_carros!$H$27="Todos",'Plan mensual'!K64,0)))/60</f>
        <v>33.67965</v>
      </c>
      <c r="J110" s="9">
        <f>(parametros_carros!$D$27*('Plan mensual'!L57+IF(parametros_carros!$H$27="Todos",'Plan mensual'!L61,0))+parametros_carros!$E$27*('Plan mensual'!L58+IF(parametros_carros!$H$27="Todos",'Plan mensual'!L62,0))+parametros_carros!$F$27*('Plan mensual'!L59+IF(parametros_carros!$H$27="Todos",'Plan mensual'!L63,0))+parametros_carros!$G$27*('Plan mensual'!L60+IF(parametros_carros!$H$27="Todos",'Plan mensual'!L64,0)))/60</f>
        <v>31.80855833</v>
      </c>
      <c r="K110" s="9">
        <f>(parametros_carros!$D$27*('Plan mensual'!M57+IF(parametros_carros!$H$27="Todos",'Plan mensual'!M61,0))+parametros_carros!$E$27*('Plan mensual'!M58+IF(parametros_carros!$H$27="Todos",'Plan mensual'!M62,0))+parametros_carros!$F$27*('Plan mensual'!M59+IF(parametros_carros!$H$27="Todos",'Plan mensual'!M63,0))+parametros_carros!$G$27*('Plan mensual'!M60+IF(parametros_carros!$H$27="Todos",'Plan mensual'!M64,0)))/60</f>
        <v>28.066375</v>
      </c>
      <c r="L110" s="9">
        <f>(parametros_carros!$D$27*('Plan mensual'!N57+IF(parametros_carros!$H$27="Todos",'Plan mensual'!N61,0))+parametros_carros!$E$27*('Plan mensual'!N58+IF(parametros_carros!$H$27="Todos",'Plan mensual'!N62,0))+parametros_carros!$F$27*('Plan mensual'!N59+IF(parametros_carros!$H$27="Todos",'Plan mensual'!N63,0))+parametros_carros!$G$27*('Plan mensual'!N60+IF(parametros_carros!$H$27="Todos",'Plan mensual'!N64,0)))/60</f>
        <v>26.19528333</v>
      </c>
      <c r="M110" s="9">
        <f>(parametros_carros!$D$27*('Plan mensual'!O57+IF(parametros_carros!$H$27="Todos",'Plan mensual'!O61,0))+parametros_carros!$E$27*('Plan mensual'!O58+IF(parametros_carros!$H$27="Todos",'Plan mensual'!O62,0))+parametros_carros!$F$27*('Plan mensual'!O59+IF(parametros_carros!$H$27="Todos",'Plan mensual'!O63,0))+parametros_carros!$G$27*('Plan mensual'!O60+IF(parametros_carros!$H$27="Todos",'Plan mensual'!O64,0)))/60</f>
        <v>29.93746667</v>
      </c>
      <c r="N110" s="9">
        <f t="shared" si="16"/>
        <v>374.2183333</v>
      </c>
      <c r="O110" s="9">
        <f t="shared" si="17"/>
        <v>33.67965</v>
      </c>
      <c r="P110" s="32">
        <f>IF(parametros_carros!$B$7=0,0,(O110+parametros_carros!$G$53)/parametros_carros!$B$7)</f>
        <v>0.244531</v>
      </c>
      <c r="Q110" s="21" t="str">
        <f t="shared" si="18"/>
        <v>Mar</v>
      </c>
    </row>
    <row r="111" ht="14.25" customHeight="1">
      <c r="A111" s="2" t="str">
        <f>parametros_carros!$B$28</f>
        <v>Fabricación de accesorios</v>
      </c>
      <c r="B111" s="9">
        <f>(parametros_carros!$D$28*('Plan mensual'!D57+IF(parametros_carros!$H$28="Todos",'Plan mensual'!D61,0))+parametros_carros!$E$28*('Plan mensual'!D58+IF(parametros_carros!$H$28="Todos",'Plan mensual'!D62,0))+parametros_carros!$F$28*('Plan mensual'!D59+IF(parametros_carros!$H$28="Todos",'Plan mensual'!D63,0))+parametros_carros!$G$28*('Plan mensual'!D60+IF(parametros_carros!$H$28="Todos",'Plan mensual'!D64,0)))/60</f>
        <v>21.61408333</v>
      </c>
      <c r="C111" s="9">
        <f>(parametros_carros!$D$28*('Plan mensual'!E57+IF(parametros_carros!$H$28="Todos",'Plan mensual'!E61,0))+parametros_carros!$E$28*('Plan mensual'!E58+IF(parametros_carros!$H$28="Todos",'Plan mensual'!E62,0))+parametros_carros!$F$28*('Plan mensual'!E59+IF(parametros_carros!$H$28="Todos",'Plan mensual'!E63,0))+parametros_carros!$G$28*('Plan mensual'!E60+IF(parametros_carros!$H$28="Todos",'Plan mensual'!E64,0)))/60</f>
        <v>19.07125</v>
      </c>
      <c r="D111" s="9">
        <f>(parametros_carros!$D$28*('Plan mensual'!F57+IF(parametros_carros!$H$28="Todos",'Plan mensual'!F61,0))+parametros_carros!$E$28*('Plan mensual'!F58+IF(parametros_carros!$H$28="Todos",'Plan mensual'!F62,0))+parametros_carros!$F$28*('Plan mensual'!F59+IF(parametros_carros!$H$28="Todos",'Plan mensual'!F63,0))+parametros_carros!$G$28*('Plan mensual'!F60+IF(parametros_carros!$H$28="Todos",'Plan mensual'!F64,0)))/60</f>
        <v>22.8855</v>
      </c>
      <c r="E111" s="9">
        <f>(parametros_carros!$D$28*('Plan mensual'!G57+IF(parametros_carros!$H$28="Todos",'Plan mensual'!G61,0))+parametros_carros!$E$28*('Plan mensual'!G58+IF(parametros_carros!$H$28="Todos",'Plan mensual'!G62,0))+parametros_carros!$F$28*('Plan mensual'!G59+IF(parametros_carros!$H$28="Todos",'Plan mensual'!G63,0))+parametros_carros!$G$28*('Plan mensual'!G60+IF(parametros_carros!$H$28="Todos",'Plan mensual'!G64,0)))/60</f>
        <v>22.8855</v>
      </c>
      <c r="F111" s="9">
        <f>(parametros_carros!$D$28*('Plan mensual'!H57+IF(parametros_carros!$H$28="Todos",'Plan mensual'!H61,0))+parametros_carros!$E$28*('Plan mensual'!H58+IF(parametros_carros!$H$28="Todos",'Plan mensual'!H62,0))+parametros_carros!$F$28*('Plan mensual'!H59+IF(parametros_carros!$H$28="Todos",'Plan mensual'!H63,0))+parametros_carros!$G$28*('Plan mensual'!H60+IF(parametros_carros!$H$28="Todos",'Plan mensual'!H64,0)))/60</f>
        <v>22.8855</v>
      </c>
      <c r="G111" s="9">
        <f>(parametros_carros!$D$28*('Plan mensual'!I57+IF(parametros_carros!$H$28="Todos",'Plan mensual'!I61,0))+parametros_carros!$E$28*('Plan mensual'!I58+IF(parametros_carros!$H$28="Todos",'Plan mensual'!I62,0))+parametros_carros!$F$28*('Plan mensual'!I59+IF(parametros_carros!$H$28="Todos",'Plan mensual'!I63,0))+parametros_carros!$G$28*('Plan mensual'!I60+IF(parametros_carros!$H$28="Todos",'Plan mensual'!I64,0)))/60</f>
        <v>20.34266667</v>
      </c>
      <c r="H111" s="9">
        <f>(parametros_carros!$D$28*('Plan mensual'!J57+IF(parametros_carros!$H$28="Todos",'Plan mensual'!J61,0))+parametros_carros!$E$28*('Plan mensual'!J58+IF(parametros_carros!$H$28="Todos",'Plan mensual'!J62,0))+parametros_carros!$F$28*('Plan mensual'!J59+IF(parametros_carros!$H$28="Todos",'Plan mensual'!J63,0))+parametros_carros!$G$28*('Plan mensual'!J60+IF(parametros_carros!$H$28="Todos",'Plan mensual'!J64,0)))/60</f>
        <v>22.8855</v>
      </c>
      <c r="I111" s="9">
        <f>(parametros_carros!$D$28*('Plan mensual'!K57+IF(parametros_carros!$H$28="Todos",'Plan mensual'!K61,0))+parametros_carros!$E$28*('Plan mensual'!K58+IF(parametros_carros!$H$28="Todos",'Plan mensual'!K62,0))+parametros_carros!$F$28*('Plan mensual'!K59+IF(parametros_carros!$H$28="Todos",'Plan mensual'!K63,0))+parametros_carros!$G$28*('Plan mensual'!K60+IF(parametros_carros!$H$28="Todos",'Plan mensual'!K64,0)))/60</f>
        <v>22.8855</v>
      </c>
      <c r="J111" s="9">
        <f>(parametros_carros!$D$28*('Plan mensual'!L57+IF(parametros_carros!$H$28="Todos",'Plan mensual'!L61,0))+parametros_carros!$E$28*('Plan mensual'!L58+IF(parametros_carros!$H$28="Todos",'Plan mensual'!L62,0))+parametros_carros!$F$28*('Plan mensual'!L59+IF(parametros_carros!$H$28="Todos",'Plan mensual'!L63,0))+parametros_carros!$G$28*('Plan mensual'!L60+IF(parametros_carros!$H$28="Todos",'Plan mensual'!L64,0)))/60</f>
        <v>21.61408333</v>
      </c>
      <c r="K111" s="9">
        <f>(parametros_carros!$D$28*('Plan mensual'!M57+IF(parametros_carros!$H$28="Todos",'Plan mensual'!M61,0))+parametros_carros!$E$28*('Plan mensual'!M58+IF(parametros_carros!$H$28="Todos",'Plan mensual'!M62,0))+parametros_carros!$F$28*('Plan mensual'!M59+IF(parametros_carros!$H$28="Todos",'Plan mensual'!M63,0))+parametros_carros!$G$28*('Plan mensual'!M60+IF(parametros_carros!$H$28="Todos",'Plan mensual'!M64,0)))/60</f>
        <v>19.07125</v>
      </c>
      <c r="L111" s="9">
        <f>(parametros_carros!$D$28*('Plan mensual'!N57+IF(parametros_carros!$H$28="Todos",'Plan mensual'!N61,0))+parametros_carros!$E$28*('Plan mensual'!N58+IF(parametros_carros!$H$28="Todos",'Plan mensual'!N62,0))+parametros_carros!$F$28*('Plan mensual'!N59+IF(parametros_carros!$H$28="Todos",'Plan mensual'!N63,0))+parametros_carros!$G$28*('Plan mensual'!N60+IF(parametros_carros!$H$28="Todos",'Plan mensual'!N64,0)))/60</f>
        <v>17.79983333</v>
      </c>
      <c r="M111" s="9">
        <f>(parametros_carros!$D$28*('Plan mensual'!O57+IF(parametros_carros!$H$28="Todos",'Plan mensual'!O61,0))+parametros_carros!$E$28*('Plan mensual'!O58+IF(parametros_carros!$H$28="Todos",'Plan mensual'!O62,0))+parametros_carros!$F$28*('Plan mensual'!O59+IF(parametros_carros!$H$28="Todos",'Plan mensual'!O63,0))+parametros_carros!$G$28*('Plan mensual'!O60+IF(parametros_carros!$H$28="Todos",'Plan mensual'!O64,0)))/60</f>
        <v>20.34266667</v>
      </c>
      <c r="N111" s="9">
        <f t="shared" si="16"/>
        <v>254.2833333</v>
      </c>
      <c r="O111" s="9">
        <f t="shared" si="17"/>
        <v>22.8855</v>
      </c>
      <c r="P111" s="32">
        <f>IF(parametros_carros!$B$7=0,0,(O111+parametros_carros!$G$54)/parametros_carros!$B$7)</f>
        <v>0.1859033333</v>
      </c>
      <c r="Q111" s="21" t="str">
        <f t="shared" si="18"/>
        <v>Mar</v>
      </c>
    </row>
    <row r="112" ht="14.25" customHeight="1">
      <c r="A112" s="2" t="str">
        <f>parametros_carros!$B$29</f>
        <v>Prueba hidráulica</v>
      </c>
      <c r="B112" s="9">
        <f>(parametros_carros!$D$29*('Plan mensual'!D57+IF(parametros_carros!$H$29="Todos",'Plan mensual'!D61,0))+parametros_carros!$E$29*('Plan mensual'!D58+IF(parametros_carros!$H$29="Todos",'Plan mensual'!D62,0))+parametros_carros!$F$29*('Plan mensual'!D59+IF(parametros_carros!$H$29="Todos",'Plan mensual'!D63,0))+parametros_carros!$G$29*('Plan mensual'!D60+IF(parametros_carros!$H$29="Todos",'Plan mensual'!D64,0)))/60</f>
        <v>17.64466833</v>
      </c>
      <c r="C112" s="9">
        <f>(parametros_carros!$D$29*('Plan mensual'!E57+IF(parametros_carros!$H$29="Todos",'Plan mensual'!E61,0))+parametros_carros!$E$29*('Plan mensual'!E58+IF(parametros_carros!$H$29="Todos",'Plan mensual'!E62,0))+parametros_carros!$F$29*('Plan mensual'!E59+IF(parametros_carros!$H$29="Todos",'Plan mensual'!E63,0))+parametros_carros!$G$29*('Plan mensual'!E60+IF(parametros_carros!$H$29="Todos",'Plan mensual'!E64,0)))/60</f>
        <v>15.568825</v>
      </c>
      <c r="D112" s="9">
        <f>(parametros_carros!$D$29*('Plan mensual'!F57+IF(parametros_carros!$H$29="Todos",'Plan mensual'!F61,0))+parametros_carros!$E$29*('Plan mensual'!F58+IF(parametros_carros!$H$29="Todos",'Plan mensual'!F62,0))+parametros_carros!$F$29*('Plan mensual'!F59+IF(parametros_carros!$H$29="Todos",'Plan mensual'!F63,0))+parametros_carros!$G$29*('Plan mensual'!F60+IF(parametros_carros!$H$29="Todos",'Plan mensual'!F64,0)))/60</f>
        <v>18.68259</v>
      </c>
      <c r="E112" s="9">
        <f>(parametros_carros!$D$29*('Plan mensual'!G57+IF(parametros_carros!$H$29="Todos",'Plan mensual'!G61,0))+parametros_carros!$E$29*('Plan mensual'!G58+IF(parametros_carros!$H$29="Todos",'Plan mensual'!G62,0))+parametros_carros!$F$29*('Plan mensual'!G59+IF(parametros_carros!$H$29="Todos",'Plan mensual'!G63,0))+parametros_carros!$G$29*('Plan mensual'!G60+IF(parametros_carros!$H$29="Todos",'Plan mensual'!G64,0)))/60</f>
        <v>18.68259</v>
      </c>
      <c r="F112" s="9">
        <f>(parametros_carros!$D$29*('Plan mensual'!H57+IF(parametros_carros!$H$29="Todos",'Plan mensual'!H61,0))+parametros_carros!$E$29*('Plan mensual'!H58+IF(parametros_carros!$H$29="Todos",'Plan mensual'!H62,0))+parametros_carros!$F$29*('Plan mensual'!H59+IF(parametros_carros!$H$29="Todos",'Plan mensual'!H63,0))+parametros_carros!$G$29*('Plan mensual'!H60+IF(parametros_carros!$H$29="Todos",'Plan mensual'!H64,0)))/60</f>
        <v>18.68259</v>
      </c>
      <c r="G112" s="9">
        <f>(parametros_carros!$D$29*('Plan mensual'!I57+IF(parametros_carros!$H$29="Todos",'Plan mensual'!I61,0))+parametros_carros!$E$29*('Plan mensual'!I58+IF(parametros_carros!$H$29="Todos",'Plan mensual'!I62,0))+parametros_carros!$F$29*('Plan mensual'!I59+IF(parametros_carros!$H$29="Todos",'Plan mensual'!I63,0))+parametros_carros!$G$29*('Plan mensual'!I60+IF(parametros_carros!$H$29="Todos",'Plan mensual'!I64,0)))/60</f>
        <v>16.60674667</v>
      </c>
      <c r="H112" s="9">
        <f>(parametros_carros!$D$29*('Plan mensual'!J57+IF(parametros_carros!$H$29="Todos",'Plan mensual'!J61,0))+parametros_carros!$E$29*('Plan mensual'!J58+IF(parametros_carros!$H$29="Todos",'Plan mensual'!J62,0))+parametros_carros!$F$29*('Plan mensual'!J59+IF(parametros_carros!$H$29="Todos",'Plan mensual'!J63,0))+parametros_carros!$G$29*('Plan mensual'!J60+IF(parametros_carros!$H$29="Todos",'Plan mensual'!J64,0)))/60</f>
        <v>18.68259</v>
      </c>
      <c r="I112" s="9">
        <f>(parametros_carros!$D$29*('Plan mensual'!K57+IF(parametros_carros!$H$29="Todos",'Plan mensual'!K61,0))+parametros_carros!$E$29*('Plan mensual'!K58+IF(parametros_carros!$H$29="Todos",'Plan mensual'!K62,0))+parametros_carros!$F$29*('Plan mensual'!K59+IF(parametros_carros!$H$29="Todos",'Plan mensual'!K63,0))+parametros_carros!$G$29*('Plan mensual'!K60+IF(parametros_carros!$H$29="Todos",'Plan mensual'!K64,0)))/60</f>
        <v>18.68259</v>
      </c>
      <c r="J112" s="9">
        <f>(parametros_carros!$D$29*('Plan mensual'!L57+IF(parametros_carros!$H$29="Todos",'Plan mensual'!L61,0))+parametros_carros!$E$29*('Plan mensual'!L58+IF(parametros_carros!$H$29="Todos",'Plan mensual'!L62,0))+parametros_carros!$F$29*('Plan mensual'!L59+IF(parametros_carros!$H$29="Todos",'Plan mensual'!L63,0))+parametros_carros!$G$29*('Plan mensual'!L60+IF(parametros_carros!$H$29="Todos",'Plan mensual'!L64,0)))/60</f>
        <v>17.64466833</v>
      </c>
      <c r="K112" s="9">
        <f>(parametros_carros!$D$29*('Plan mensual'!M57+IF(parametros_carros!$H$29="Todos",'Plan mensual'!M61,0))+parametros_carros!$E$29*('Plan mensual'!M58+IF(parametros_carros!$H$29="Todos",'Plan mensual'!M62,0))+parametros_carros!$F$29*('Plan mensual'!M59+IF(parametros_carros!$H$29="Todos",'Plan mensual'!M63,0))+parametros_carros!$G$29*('Plan mensual'!M60+IF(parametros_carros!$H$29="Todos",'Plan mensual'!M64,0)))/60</f>
        <v>15.568825</v>
      </c>
      <c r="L112" s="9">
        <f>(parametros_carros!$D$29*('Plan mensual'!N57+IF(parametros_carros!$H$29="Todos",'Plan mensual'!N61,0))+parametros_carros!$E$29*('Plan mensual'!N58+IF(parametros_carros!$H$29="Todos",'Plan mensual'!N62,0))+parametros_carros!$F$29*('Plan mensual'!N59+IF(parametros_carros!$H$29="Todos",'Plan mensual'!N63,0))+parametros_carros!$G$29*('Plan mensual'!N60+IF(parametros_carros!$H$29="Todos",'Plan mensual'!N64,0)))/60</f>
        <v>14.53090333</v>
      </c>
      <c r="M112" s="9">
        <f>(parametros_carros!$D$29*('Plan mensual'!O57+IF(parametros_carros!$H$29="Todos",'Plan mensual'!O61,0))+parametros_carros!$E$29*('Plan mensual'!O58+IF(parametros_carros!$H$29="Todos",'Plan mensual'!O62,0))+parametros_carros!$F$29*('Plan mensual'!O59+IF(parametros_carros!$H$29="Todos",'Plan mensual'!O63,0))+parametros_carros!$G$29*('Plan mensual'!O60+IF(parametros_carros!$H$29="Todos",'Plan mensual'!O64,0)))/60</f>
        <v>16.60674667</v>
      </c>
      <c r="N112" s="9">
        <f t="shared" si="16"/>
        <v>207.5843333</v>
      </c>
      <c r="O112" s="9">
        <f t="shared" si="17"/>
        <v>18.68259</v>
      </c>
      <c r="P112" s="32">
        <f>IF(parametros_carros!$B$7=0,0,(O112+parametros_carros!$G$55)/parametros_carros!$B$7)</f>
        <v>0.1467728222</v>
      </c>
      <c r="Q112" s="21" t="str">
        <f t="shared" si="18"/>
        <v>Mar</v>
      </c>
    </row>
    <row r="113" ht="14.25" customHeight="1">
      <c r="A113" s="2" t="str">
        <f>parametros_carros!$B$30</f>
        <v>Secado</v>
      </c>
      <c r="B113" s="9">
        <f>(parametros_carros!$D$30*('Plan mensual'!D57+IF(parametros_carros!$H$30="Todos",'Plan mensual'!D61,0))+parametros_carros!$E$30*('Plan mensual'!D58+IF(parametros_carros!$H$30="Todos",'Plan mensual'!D62,0))+parametros_carros!$F$30*('Plan mensual'!D59+IF(parametros_carros!$H$30="Todos",'Plan mensual'!D63,0))+parametros_carros!$G$30*('Plan mensual'!D60+IF(parametros_carros!$H$30="Todos",'Plan mensual'!D64,0)))/60</f>
        <v>19.75966667</v>
      </c>
      <c r="C113" s="9">
        <f>(parametros_carros!$D$30*('Plan mensual'!E57+IF(parametros_carros!$H$30="Todos",'Plan mensual'!E61,0))+parametros_carros!$E$30*('Plan mensual'!E58+IF(parametros_carros!$H$30="Todos",'Plan mensual'!E62,0))+parametros_carros!$F$30*('Plan mensual'!E59+IF(parametros_carros!$H$30="Todos",'Plan mensual'!E63,0))+parametros_carros!$G$30*('Plan mensual'!E60+IF(parametros_carros!$H$30="Todos",'Plan mensual'!E64,0)))/60</f>
        <v>17.435</v>
      </c>
      <c r="D113" s="9">
        <f>(parametros_carros!$D$30*('Plan mensual'!F57+IF(parametros_carros!$H$30="Todos",'Plan mensual'!F61,0))+parametros_carros!$E$30*('Plan mensual'!F58+IF(parametros_carros!$H$30="Todos",'Plan mensual'!F62,0))+parametros_carros!$F$30*('Plan mensual'!F59+IF(parametros_carros!$H$30="Todos",'Plan mensual'!F63,0))+parametros_carros!$G$30*('Plan mensual'!F60+IF(parametros_carros!$H$30="Todos",'Plan mensual'!F64,0)))/60</f>
        <v>20.922</v>
      </c>
      <c r="E113" s="9">
        <f>(parametros_carros!$D$30*('Plan mensual'!G57+IF(parametros_carros!$H$30="Todos",'Plan mensual'!G61,0))+parametros_carros!$E$30*('Plan mensual'!G58+IF(parametros_carros!$H$30="Todos",'Plan mensual'!G62,0))+parametros_carros!$F$30*('Plan mensual'!G59+IF(parametros_carros!$H$30="Todos",'Plan mensual'!G63,0))+parametros_carros!$G$30*('Plan mensual'!G60+IF(parametros_carros!$H$30="Todos",'Plan mensual'!G64,0)))/60</f>
        <v>20.922</v>
      </c>
      <c r="F113" s="9">
        <f>(parametros_carros!$D$30*('Plan mensual'!H57+IF(parametros_carros!$H$30="Todos",'Plan mensual'!H61,0))+parametros_carros!$E$30*('Plan mensual'!H58+IF(parametros_carros!$H$30="Todos",'Plan mensual'!H62,0))+parametros_carros!$F$30*('Plan mensual'!H59+IF(parametros_carros!$H$30="Todos",'Plan mensual'!H63,0))+parametros_carros!$G$30*('Plan mensual'!H60+IF(parametros_carros!$H$30="Todos",'Plan mensual'!H64,0)))/60</f>
        <v>20.922</v>
      </c>
      <c r="G113" s="9">
        <f>(parametros_carros!$D$30*('Plan mensual'!I57+IF(parametros_carros!$H$30="Todos",'Plan mensual'!I61,0))+parametros_carros!$E$30*('Plan mensual'!I58+IF(parametros_carros!$H$30="Todos",'Plan mensual'!I62,0))+parametros_carros!$F$30*('Plan mensual'!I59+IF(parametros_carros!$H$30="Todos",'Plan mensual'!I63,0))+parametros_carros!$G$30*('Plan mensual'!I60+IF(parametros_carros!$H$30="Todos",'Plan mensual'!I64,0)))/60</f>
        <v>18.59733333</v>
      </c>
      <c r="H113" s="9">
        <f>(parametros_carros!$D$30*('Plan mensual'!J57+IF(parametros_carros!$H$30="Todos",'Plan mensual'!J61,0))+parametros_carros!$E$30*('Plan mensual'!J58+IF(parametros_carros!$H$30="Todos",'Plan mensual'!J62,0))+parametros_carros!$F$30*('Plan mensual'!J59+IF(parametros_carros!$H$30="Todos",'Plan mensual'!J63,0))+parametros_carros!$G$30*('Plan mensual'!J60+IF(parametros_carros!$H$30="Todos",'Plan mensual'!J64,0)))/60</f>
        <v>20.922</v>
      </c>
      <c r="I113" s="9">
        <f>(parametros_carros!$D$30*('Plan mensual'!K57+IF(parametros_carros!$H$30="Todos",'Plan mensual'!K61,0))+parametros_carros!$E$30*('Plan mensual'!K58+IF(parametros_carros!$H$30="Todos",'Plan mensual'!K62,0))+parametros_carros!$F$30*('Plan mensual'!K59+IF(parametros_carros!$H$30="Todos",'Plan mensual'!K63,0))+parametros_carros!$G$30*('Plan mensual'!K60+IF(parametros_carros!$H$30="Todos",'Plan mensual'!K64,0)))/60</f>
        <v>20.922</v>
      </c>
      <c r="J113" s="9">
        <f>(parametros_carros!$D$30*('Plan mensual'!L57+IF(parametros_carros!$H$30="Todos",'Plan mensual'!L61,0))+parametros_carros!$E$30*('Plan mensual'!L58+IF(parametros_carros!$H$30="Todos",'Plan mensual'!L62,0))+parametros_carros!$F$30*('Plan mensual'!L59+IF(parametros_carros!$H$30="Todos",'Plan mensual'!L63,0))+parametros_carros!$G$30*('Plan mensual'!L60+IF(parametros_carros!$H$30="Todos",'Plan mensual'!L64,0)))/60</f>
        <v>19.75966667</v>
      </c>
      <c r="K113" s="9">
        <f>(parametros_carros!$D$30*('Plan mensual'!M57+IF(parametros_carros!$H$30="Todos",'Plan mensual'!M61,0))+parametros_carros!$E$30*('Plan mensual'!M58+IF(parametros_carros!$H$30="Todos",'Plan mensual'!M62,0))+parametros_carros!$F$30*('Plan mensual'!M59+IF(parametros_carros!$H$30="Todos",'Plan mensual'!M63,0))+parametros_carros!$G$30*('Plan mensual'!M60+IF(parametros_carros!$H$30="Todos",'Plan mensual'!M64,0)))/60</f>
        <v>17.435</v>
      </c>
      <c r="L113" s="9">
        <f>(parametros_carros!$D$30*('Plan mensual'!N57+IF(parametros_carros!$H$30="Todos",'Plan mensual'!N61,0))+parametros_carros!$E$30*('Plan mensual'!N58+IF(parametros_carros!$H$30="Todos",'Plan mensual'!N62,0))+parametros_carros!$F$30*('Plan mensual'!N59+IF(parametros_carros!$H$30="Todos",'Plan mensual'!N63,0))+parametros_carros!$G$30*('Plan mensual'!N60+IF(parametros_carros!$H$30="Todos",'Plan mensual'!N64,0)))/60</f>
        <v>16.27266667</v>
      </c>
      <c r="M113" s="9">
        <f>(parametros_carros!$D$30*('Plan mensual'!O57+IF(parametros_carros!$H$30="Todos",'Plan mensual'!O61,0))+parametros_carros!$E$30*('Plan mensual'!O58+IF(parametros_carros!$H$30="Todos",'Plan mensual'!O62,0))+parametros_carros!$F$30*('Plan mensual'!O59+IF(parametros_carros!$H$30="Todos",'Plan mensual'!O63,0))+parametros_carros!$G$30*('Plan mensual'!O60+IF(parametros_carros!$H$30="Todos",'Plan mensual'!O64,0)))/60</f>
        <v>18.59733333</v>
      </c>
      <c r="N113" s="9">
        <f t="shared" si="16"/>
        <v>232.4666667</v>
      </c>
      <c r="O113" s="9">
        <f t="shared" si="17"/>
        <v>20.922</v>
      </c>
      <c r="P113" s="32">
        <f>IF(parametros_carros!$B$7=0,0,(O113+parametros_carros!$G$56)/parametros_carros!$B$7)</f>
        <v>0.13948</v>
      </c>
      <c r="Q113" s="21" t="str">
        <f t="shared" si="18"/>
        <v>Mar</v>
      </c>
    </row>
    <row r="114" ht="14.25" customHeight="1">
      <c r="A114" s="2" t="str">
        <f>parametros_carros!$B$31</f>
        <v>Pulmón de despacho y carga a pintura</v>
      </c>
      <c r="B114" s="9">
        <f>(parametros_carros!$D$31*('Plan mensual'!D57+IF(parametros_carros!$H$31="Todos",'Plan mensual'!D61,0))+parametros_carros!$E$31*('Plan mensual'!D58+IF(parametros_carros!$H$31="Todos",'Plan mensual'!D62,0))+parametros_carros!$F$31*('Plan mensual'!D59+IF(parametros_carros!$H$31="Todos",'Plan mensual'!D63,0))+parametros_carros!$G$31*('Plan mensual'!D60+IF(parametros_carros!$H$31="Todos",'Plan mensual'!D64,0)))/60</f>
        <v>3.142379167</v>
      </c>
      <c r="C114" s="9">
        <f>(parametros_carros!$D$31*('Plan mensual'!E57+IF(parametros_carros!$H$31="Todos",'Plan mensual'!E61,0))+parametros_carros!$E$31*('Plan mensual'!E58+IF(parametros_carros!$H$31="Todos",'Plan mensual'!E62,0))+parametros_carros!$F$31*('Plan mensual'!E59+IF(parametros_carros!$H$31="Todos",'Plan mensual'!E63,0))+parametros_carros!$G$31*('Plan mensual'!E60+IF(parametros_carros!$H$31="Todos",'Plan mensual'!E64,0)))/60</f>
        <v>2.7726875</v>
      </c>
      <c r="D114" s="9">
        <f>(parametros_carros!$D$31*('Plan mensual'!F57+IF(parametros_carros!$H$31="Todos",'Plan mensual'!F61,0))+parametros_carros!$E$31*('Plan mensual'!F58+IF(parametros_carros!$H$31="Todos",'Plan mensual'!F62,0))+parametros_carros!$F$31*('Plan mensual'!F59+IF(parametros_carros!$H$31="Todos",'Plan mensual'!F63,0))+parametros_carros!$G$31*('Plan mensual'!F60+IF(parametros_carros!$H$31="Todos",'Plan mensual'!F64,0)))/60</f>
        <v>3.327225</v>
      </c>
      <c r="E114" s="9">
        <f>(parametros_carros!$D$31*('Plan mensual'!G57+IF(parametros_carros!$H$31="Todos",'Plan mensual'!G61,0))+parametros_carros!$E$31*('Plan mensual'!G58+IF(parametros_carros!$H$31="Todos",'Plan mensual'!G62,0))+parametros_carros!$F$31*('Plan mensual'!G59+IF(parametros_carros!$H$31="Todos",'Plan mensual'!G63,0))+parametros_carros!$G$31*('Plan mensual'!G60+IF(parametros_carros!$H$31="Todos",'Plan mensual'!G64,0)))/60</f>
        <v>3.327225</v>
      </c>
      <c r="F114" s="9">
        <f>(parametros_carros!$D$31*('Plan mensual'!H57+IF(parametros_carros!$H$31="Todos",'Plan mensual'!H61,0))+parametros_carros!$E$31*('Plan mensual'!H58+IF(parametros_carros!$H$31="Todos",'Plan mensual'!H62,0))+parametros_carros!$F$31*('Plan mensual'!H59+IF(parametros_carros!$H$31="Todos",'Plan mensual'!H63,0))+parametros_carros!$G$31*('Plan mensual'!H60+IF(parametros_carros!$H$31="Todos",'Plan mensual'!H64,0)))/60</f>
        <v>3.327225</v>
      </c>
      <c r="G114" s="9">
        <f>(parametros_carros!$D$31*('Plan mensual'!I57+IF(parametros_carros!$H$31="Todos",'Plan mensual'!I61,0))+parametros_carros!$E$31*('Plan mensual'!I58+IF(parametros_carros!$H$31="Todos",'Plan mensual'!I62,0))+parametros_carros!$F$31*('Plan mensual'!I59+IF(parametros_carros!$H$31="Todos",'Plan mensual'!I63,0))+parametros_carros!$G$31*('Plan mensual'!I60+IF(parametros_carros!$H$31="Todos",'Plan mensual'!I64,0)))/60</f>
        <v>2.957533333</v>
      </c>
      <c r="H114" s="9">
        <f>(parametros_carros!$D$31*('Plan mensual'!J57+IF(parametros_carros!$H$31="Todos",'Plan mensual'!J61,0))+parametros_carros!$E$31*('Plan mensual'!J58+IF(parametros_carros!$H$31="Todos",'Plan mensual'!J62,0))+parametros_carros!$F$31*('Plan mensual'!J59+IF(parametros_carros!$H$31="Todos",'Plan mensual'!J63,0))+parametros_carros!$G$31*('Plan mensual'!J60+IF(parametros_carros!$H$31="Todos",'Plan mensual'!J64,0)))/60</f>
        <v>3.327225</v>
      </c>
      <c r="I114" s="9">
        <f>(parametros_carros!$D$31*('Plan mensual'!K57+IF(parametros_carros!$H$31="Todos",'Plan mensual'!K61,0))+parametros_carros!$E$31*('Plan mensual'!K58+IF(parametros_carros!$H$31="Todos",'Plan mensual'!K62,0))+parametros_carros!$F$31*('Plan mensual'!K59+IF(parametros_carros!$H$31="Todos",'Plan mensual'!K63,0))+parametros_carros!$G$31*('Plan mensual'!K60+IF(parametros_carros!$H$31="Todos",'Plan mensual'!K64,0)))/60</f>
        <v>3.327225</v>
      </c>
      <c r="J114" s="9">
        <f>(parametros_carros!$D$31*('Plan mensual'!L57+IF(parametros_carros!$H$31="Todos",'Plan mensual'!L61,0))+parametros_carros!$E$31*('Plan mensual'!L58+IF(parametros_carros!$H$31="Todos",'Plan mensual'!L62,0))+parametros_carros!$F$31*('Plan mensual'!L59+IF(parametros_carros!$H$31="Todos",'Plan mensual'!L63,0))+parametros_carros!$G$31*('Plan mensual'!L60+IF(parametros_carros!$H$31="Todos",'Plan mensual'!L64,0)))/60</f>
        <v>3.142379167</v>
      </c>
      <c r="K114" s="9">
        <f>(parametros_carros!$D$31*('Plan mensual'!M57+IF(parametros_carros!$H$31="Todos",'Plan mensual'!M61,0))+parametros_carros!$E$31*('Plan mensual'!M58+IF(parametros_carros!$H$31="Todos",'Plan mensual'!M62,0))+parametros_carros!$F$31*('Plan mensual'!M59+IF(parametros_carros!$H$31="Todos",'Plan mensual'!M63,0))+parametros_carros!$G$31*('Plan mensual'!M60+IF(parametros_carros!$H$31="Todos",'Plan mensual'!M64,0)))/60</f>
        <v>2.7726875</v>
      </c>
      <c r="L114" s="9">
        <f>(parametros_carros!$D$31*('Plan mensual'!N57+IF(parametros_carros!$H$31="Todos",'Plan mensual'!N61,0))+parametros_carros!$E$31*('Plan mensual'!N58+IF(parametros_carros!$H$31="Todos",'Plan mensual'!N62,0))+parametros_carros!$F$31*('Plan mensual'!N59+IF(parametros_carros!$H$31="Todos",'Plan mensual'!N63,0))+parametros_carros!$G$31*('Plan mensual'!N60+IF(parametros_carros!$H$31="Todos",'Plan mensual'!N64,0)))/60</f>
        <v>2.587841667</v>
      </c>
      <c r="M114" s="9">
        <f>(parametros_carros!$D$31*('Plan mensual'!O57+IF(parametros_carros!$H$31="Todos",'Plan mensual'!O61,0))+parametros_carros!$E$31*('Plan mensual'!O58+IF(parametros_carros!$H$31="Todos",'Plan mensual'!O62,0))+parametros_carros!$F$31*('Plan mensual'!O59+IF(parametros_carros!$H$31="Todos",'Plan mensual'!O63,0))+parametros_carros!$G$31*('Plan mensual'!O60+IF(parametros_carros!$H$31="Todos",'Plan mensual'!O64,0)))/60</f>
        <v>2.957533333</v>
      </c>
      <c r="N114" s="9">
        <f t="shared" si="16"/>
        <v>36.96916667</v>
      </c>
      <c r="O114" s="9">
        <f t="shared" si="17"/>
        <v>3.327225</v>
      </c>
      <c r="P114" s="32">
        <f>IF(parametros_carros!$B$7=0,0,(O114+parametros_carros!$G$57)/parametros_carros!$B$7)</f>
        <v>0.03107038889</v>
      </c>
      <c r="Q114" s="21" t="str">
        <f t="shared" si="18"/>
        <v>Mar</v>
      </c>
    </row>
    <row r="115" ht="14.25" customHeight="1">
      <c r="A115" s="2" t="str">
        <f>parametros_carros!$B$32</f>
        <v>Recepción de pintados y cambio de juego</v>
      </c>
      <c r="B115" s="9">
        <f>(parametros_carros!$D$32*('Plan mensual'!D57+IF(parametros_carros!$H$32="Todos",'Plan mensual'!D61,0))+parametros_carros!$E$32*('Plan mensual'!D58+IF(parametros_carros!$H$32="Todos",'Plan mensual'!D62,0))+parametros_carros!$F$32*('Plan mensual'!D59+IF(parametros_carros!$H$32="Todos",'Plan mensual'!D63,0))+parametros_carros!$G$32*('Plan mensual'!D60+IF(parametros_carros!$H$32="Todos",'Plan mensual'!D64,0)))/60</f>
        <v>6.148404167</v>
      </c>
      <c r="C115" s="9">
        <f>(parametros_carros!$D$32*('Plan mensual'!E57+IF(parametros_carros!$H$32="Todos",'Plan mensual'!E61,0))+parametros_carros!$E$32*('Plan mensual'!E58+IF(parametros_carros!$H$32="Todos",'Plan mensual'!E62,0))+parametros_carros!$F$32*('Plan mensual'!E59+IF(parametros_carros!$H$32="Todos",'Plan mensual'!E63,0))+parametros_carros!$G$32*('Plan mensual'!E60+IF(parametros_carros!$H$32="Todos",'Plan mensual'!E64,0)))/60</f>
        <v>5.4250625</v>
      </c>
      <c r="D115" s="9">
        <f>(parametros_carros!$D$32*('Plan mensual'!F57+IF(parametros_carros!$H$32="Todos",'Plan mensual'!F61,0))+parametros_carros!$E$32*('Plan mensual'!F58+IF(parametros_carros!$H$32="Todos",'Plan mensual'!F62,0))+parametros_carros!$F$32*('Plan mensual'!F59+IF(parametros_carros!$H$32="Todos",'Plan mensual'!F63,0))+parametros_carros!$G$32*('Plan mensual'!F60+IF(parametros_carros!$H$32="Todos",'Plan mensual'!F64,0)))/60</f>
        <v>6.510075</v>
      </c>
      <c r="E115" s="9">
        <f>(parametros_carros!$D$32*('Plan mensual'!G57+IF(parametros_carros!$H$32="Todos",'Plan mensual'!G61,0))+parametros_carros!$E$32*('Plan mensual'!G58+IF(parametros_carros!$H$32="Todos",'Plan mensual'!G62,0))+parametros_carros!$F$32*('Plan mensual'!G59+IF(parametros_carros!$H$32="Todos",'Plan mensual'!G63,0))+parametros_carros!$G$32*('Plan mensual'!G60+IF(parametros_carros!$H$32="Todos",'Plan mensual'!G64,0)))/60</f>
        <v>6.510075</v>
      </c>
      <c r="F115" s="9">
        <f>(parametros_carros!$D$32*('Plan mensual'!H57+IF(parametros_carros!$H$32="Todos",'Plan mensual'!H61,0))+parametros_carros!$E$32*('Plan mensual'!H58+IF(parametros_carros!$H$32="Todos",'Plan mensual'!H62,0))+parametros_carros!$F$32*('Plan mensual'!H59+IF(parametros_carros!$H$32="Todos",'Plan mensual'!H63,0))+parametros_carros!$G$32*('Plan mensual'!H60+IF(parametros_carros!$H$32="Todos",'Plan mensual'!H64,0)))/60</f>
        <v>6.510075</v>
      </c>
      <c r="G115" s="9">
        <f>(parametros_carros!$D$32*('Plan mensual'!I57+IF(parametros_carros!$H$32="Todos",'Plan mensual'!I61,0))+parametros_carros!$E$32*('Plan mensual'!I58+IF(parametros_carros!$H$32="Todos",'Plan mensual'!I62,0))+parametros_carros!$F$32*('Plan mensual'!I59+IF(parametros_carros!$H$32="Todos",'Plan mensual'!I63,0))+parametros_carros!$G$32*('Plan mensual'!I60+IF(parametros_carros!$H$32="Todos",'Plan mensual'!I64,0)))/60</f>
        <v>5.786733333</v>
      </c>
      <c r="H115" s="9">
        <f>(parametros_carros!$D$32*('Plan mensual'!J57+IF(parametros_carros!$H$32="Todos",'Plan mensual'!J61,0))+parametros_carros!$E$32*('Plan mensual'!J58+IF(parametros_carros!$H$32="Todos",'Plan mensual'!J62,0))+parametros_carros!$F$32*('Plan mensual'!J59+IF(parametros_carros!$H$32="Todos",'Plan mensual'!J63,0))+parametros_carros!$G$32*('Plan mensual'!J60+IF(parametros_carros!$H$32="Todos",'Plan mensual'!J64,0)))/60</f>
        <v>6.510075</v>
      </c>
      <c r="I115" s="9">
        <f>(parametros_carros!$D$32*('Plan mensual'!K57+IF(parametros_carros!$H$32="Todos",'Plan mensual'!K61,0))+parametros_carros!$E$32*('Plan mensual'!K58+IF(parametros_carros!$H$32="Todos",'Plan mensual'!K62,0))+parametros_carros!$F$32*('Plan mensual'!K59+IF(parametros_carros!$H$32="Todos",'Plan mensual'!K63,0))+parametros_carros!$G$32*('Plan mensual'!K60+IF(parametros_carros!$H$32="Todos",'Plan mensual'!K64,0)))/60</f>
        <v>6.510075</v>
      </c>
      <c r="J115" s="9">
        <f>(parametros_carros!$D$32*('Plan mensual'!L57+IF(parametros_carros!$H$32="Todos",'Plan mensual'!L61,0))+parametros_carros!$E$32*('Plan mensual'!L58+IF(parametros_carros!$H$32="Todos",'Plan mensual'!L62,0))+parametros_carros!$F$32*('Plan mensual'!L59+IF(parametros_carros!$H$32="Todos",'Plan mensual'!L63,0))+parametros_carros!$G$32*('Plan mensual'!L60+IF(parametros_carros!$H$32="Todos",'Plan mensual'!L64,0)))/60</f>
        <v>6.148404167</v>
      </c>
      <c r="K115" s="9">
        <f>(parametros_carros!$D$32*('Plan mensual'!M57+IF(parametros_carros!$H$32="Todos",'Plan mensual'!M61,0))+parametros_carros!$E$32*('Plan mensual'!M58+IF(parametros_carros!$H$32="Todos",'Plan mensual'!M62,0))+parametros_carros!$F$32*('Plan mensual'!M59+IF(parametros_carros!$H$32="Todos",'Plan mensual'!M63,0))+parametros_carros!$G$32*('Plan mensual'!M60+IF(parametros_carros!$H$32="Todos",'Plan mensual'!M64,0)))/60</f>
        <v>5.4250625</v>
      </c>
      <c r="L115" s="9">
        <f>(parametros_carros!$D$32*('Plan mensual'!N57+IF(parametros_carros!$H$32="Todos",'Plan mensual'!N61,0))+parametros_carros!$E$32*('Plan mensual'!N58+IF(parametros_carros!$H$32="Todos",'Plan mensual'!N62,0))+parametros_carros!$F$32*('Plan mensual'!N59+IF(parametros_carros!$H$32="Todos",'Plan mensual'!N63,0))+parametros_carros!$G$32*('Plan mensual'!N60+IF(parametros_carros!$H$32="Todos",'Plan mensual'!N64,0)))/60</f>
        <v>5.063391667</v>
      </c>
      <c r="M115" s="9">
        <f>(parametros_carros!$D$32*('Plan mensual'!O57+IF(parametros_carros!$H$32="Todos",'Plan mensual'!O61,0))+parametros_carros!$E$32*('Plan mensual'!O58+IF(parametros_carros!$H$32="Todos",'Plan mensual'!O62,0))+parametros_carros!$F$32*('Plan mensual'!O59+IF(parametros_carros!$H$32="Todos",'Plan mensual'!O63,0))+parametros_carros!$G$32*('Plan mensual'!O60+IF(parametros_carros!$H$32="Todos",'Plan mensual'!O64,0)))/60</f>
        <v>5.786733333</v>
      </c>
      <c r="N115" s="9">
        <f t="shared" si="16"/>
        <v>72.33416667</v>
      </c>
      <c r="O115" s="9">
        <f t="shared" si="17"/>
        <v>6.510075</v>
      </c>
      <c r="P115" s="32">
        <f>IF(parametros_carros!$B$7=0,0,(O115+parametros_carros!$G$58)/parametros_carros!$B$7)</f>
        <v>0.05228938889</v>
      </c>
      <c r="Q115" s="21" t="str">
        <f t="shared" si="18"/>
        <v>Mar</v>
      </c>
    </row>
    <row r="116" ht="14.25" customHeight="1">
      <c r="A116" s="2" t="str">
        <f>parametros_carros!$B$33</f>
        <v>Carga de polvo y presurización</v>
      </c>
      <c r="B116" s="9">
        <f>(parametros_carros!$D$33*('Plan mensual'!D57+IF(parametros_carros!$H$33="Todos",'Plan mensual'!D61,0))+parametros_carros!$E$33*('Plan mensual'!D58+IF(parametros_carros!$H$33="Todos",'Plan mensual'!D62,0))+parametros_carros!$F$33*('Plan mensual'!D59+IF(parametros_carros!$H$33="Todos",'Plan mensual'!D63,0))+parametros_carros!$G$33*('Plan mensual'!D60+IF(parametros_carros!$H$33="Todos",'Plan mensual'!D64,0)))/60</f>
        <v>13.56925833</v>
      </c>
      <c r="C116" s="9">
        <f>(parametros_carros!$D$33*('Plan mensual'!E57+IF(parametros_carros!$H$33="Todos",'Plan mensual'!E61,0))+parametros_carros!$E$33*('Plan mensual'!E58+IF(parametros_carros!$H$33="Todos",'Plan mensual'!E62,0))+parametros_carros!$F$33*('Plan mensual'!E59+IF(parametros_carros!$H$33="Todos",'Plan mensual'!E63,0))+parametros_carros!$G$33*('Plan mensual'!E60+IF(parametros_carros!$H$33="Todos",'Plan mensual'!E64,0)))/60</f>
        <v>11.972875</v>
      </c>
      <c r="D116" s="9">
        <f>(parametros_carros!$D$33*('Plan mensual'!F57+IF(parametros_carros!$H$33="Todos",'Plan mensual'!F61,0))+parametros_carros!$E$33*('Plan mensual'!F58+IF(parametros_carros!$H$33="Todos",'Plan mensual'!F62,0))+parametros_carros!$F$33*('Plan mensual'!F59+IF(parametros_carros!$H$33="Todos",'Plan mensual'!F63,0))+parametros_carros!$G$33*('Plan mensual'!F60+IF(parametros_carros!$H$33="Todos",'Plan mensual'!F64,0)))/60</f>
        <v>14.36745</v>
      </c>
      <c r="E116" s="9">
        <f>(parametros_carros!$D$33*('Plan mensual'!G57+IF(parametros_carros!$H$33="Todos",'Plan mensual'!G61,0))+parametros_carros!$E$33*('Plan mensual'!G58+IF(parametros_carros!$H$33="Todos",'Plan mensual'!G62,0))+parametros_carros!$F$33*('Plan mensual'!G59+IF(parametros_carros!$H$33="Todos",'Plan mensual'!G63,0))+parametros_carros!$G$33*('Plan mensual'!G60+IF(parametros_carros!$H$33="Todos",'Plan mensual'!G64,0)))/60</f>
        <v>14.36745</v>
      </c>
      <c r="F116" s="9">
        <f>(parametros_carros!$D$33*('Plan mensual'!H57+IF(parametros_carros!$H$33="Todos",'Plan mensual'!H61,0))+parametros_carros!$E$33*('Plan mensual'!H58+IF(parametros_carros!$H$33="Todos",'Plan mensual'!H62,0))+parametros_carros!$F$33*('Plan mensual'!H59+IF(parametros_carros!$H$33="Todos",'Plan mensual'!H63,0))+parametros_carros!$G$33*('Plan mensual'!H60+IF(parametros_carros!$H$33="Todos",'Plan mensual'!H64,0)))/60</f>
        <v>14.36745</v>
      </c>
      <c r="G116" s="9">
        <f>(parametros_carros!$D$33*('Plan mensual'!I57+IF(parametros_carros!$H$33="Todos",'Plan mensual'!I61,0))+parametros_carros!$E$33*('Plan mensual'!I58+IF(parametros_carros!$H$33="Todos",'Plan mensual'!I62,0))+parametros_carros!$F$33*('Plan mensual'!I59+IF(parametros_carros!$H$33="Todos",'Plan mensual'!I63,0))+parametros_carros!$G$33*('Plan mensual'!I60+IF(parametros_carros!$H$33="Todos",'Plan mensual'!I64,0)))/60</f>
        <v>12.77106667</v>
      </c>
      <c r="H116" s="9">
        <f>(parametros_carros!$D$33*('Plan mensual'!J57+IF(parametros_carros!$H$33="Todos",'Plan mensual'!J61,0))+parametros_carros!$E$33*('Plan mensual'!J58+IF(parametros_carros!$H$33="Todos",'Plan mensual'!J62,0))+parametros_carros!$F$33*('Plan mensual'!J59+IF(parametros_carros!$H$33="Todos",'Plan mensual'!J63,0))+parametros_carros!$G$33*('Plan mensual'!J60+IF(parametros_carros!$H$33="Todos",'Plan mensual'!J64,0)))/60</f>
        <v>14.36745</v>
      </c>
      <c r="I116" s="9">
        <f>(parametros_carros!$D$33*('Plan mensual'!K57+IF(parametros_carros!$H$33="Todos",'Plan mensual'!K61,0))+parametros_carros!$E$33*('Plan mensual'!K58+IF(parametros_carros!$H$33="Todos",'Plan mensual'!K62,0))+parametros_carros!$F$33*('Plan mensual'!K59+IF(parametros_carros!$H$33="Todos",'Plan mensual'!K63,0))+parametros_carros!$G$33*('Plan mensual'!K60+IF(parametros_carros!$H$33="Todos",'Plan mensual'!K64,0)))/60</f>
        <v>14.36745</v>
      </c>
      <c r="J116" s="9">
        <f>(parametros_carros!$D$33*('Plan mensual'!L57+IF(parametros_carros!$H$33="Todos",'Plan mensual'!L61,0))+parametros_carros!$E$33*('Plan mensual'!L58+IF(parametros_carros!$H$33="Todos",'Plan mensual'!L62,0))+parametros_carros!$F$33*('Plan mensual'!L59+IF(parametros_carros!$H$33="Todos",'Plan mensual'!L63,0))+parametros_carros!$G$33*('Plan mensual'!L60+IF(parametros_carros!$H$33="Todos",'Plan mensual'!L64,0)))/60</f>
        <v>13.56925833</v>
      </c>
      <c r="K116" s="9">
        <f>(parametros_carros!$D$33*('Plan mensual'!M57+IF(parametros_carros!$H$33="Todos",'Plan mensual'!M61,0))+parametros_carros!$E$33*('Plan mensual'!M58+IF(parametros_carros!$H$33="Todos",'Plan mensual'!M62,0))+parametros_carros!$F$33*('Plan mensual'!M59+IF(parametros_carros!$H$33="Todos",'Plan mensual'!M63,0))+parametros_carros!$G$33*('Plan mensual'!M60+IF(parametros_carros!$H$33="Todos",'Plan mensual'!M64,0)))/60</f>
        <v>11.972875</v>
      </c>
      <c r="L116" s="9">
        <f>(parametros_carros!$D$33*('Plan mensual'!N57+IF(parametros_carros!$H$33="Todos",'Plan mensual'!N61,0))+parametros_carros!$E$33*('Plan mensual'!N58+IF(parametros_carros!$H$33="Todos",'Plan mensual'!N62,0))+parametros_carros!$F$33*('Plan mensual'!N59+IF(parametros_carros!$H$33="Todos",'Plan mensual'!N63,0))+parametros_carros!$G$33*('Plan mensual'!N60+IF(parametros_carros!$H$33="Todos",'Plan mensual'!N64,0)))/60</f>
        <v>11.17468333</v>
      </c>
      <c r="M116" s="9">
        <f>(parametros_carros!$D$33*('Plan mensual'!O57+IF(parametros_carros!$H$33="Todos",'Plan mensual'!O61,0))+parametros_carros!$E$33*('Plan mensual'!O58+IF(parametros_carros!$H$33="Todos",'Plan mensual'!O62,0))+parametros_carros!$F$33*('Plan mensual'!O59+IF(parametros_carros!$H$33="Todos",'Plan mensual'!O63,0))+parametros_carros!$G$33*('Plan mensual'!O60+IF(parametros_carros!$H$33="Todos",'Plan mensual'!O64,0)))/60</f>
        <v>12.77106667</v>
      </c>
      <c r="N116" s="9">
        <f t="shared" si="16"/>
        <v>159.6383333</v>
      </c>
      <c r="O116" s="9">
        <f t="shared" si="17"/>
        <v>14.36745</v>
      </c>
      <c r="P116" s="32">
        <f>IF(parametros_carros!$B$7=0,0,(O116+parametros_carros!$G$59)/parametros_carros!$B$7)</f>
        <v>0.2024496667</v>
      </c>
      <c r="Q116" s="21" t="str">
        <f t="shared" si="18"/>
        <v>Mar</v>
      </c>
    </row>
    <row r="117" ht="14.25" customHeight="1">
      <c r="A117" s="2" t="str">
        <f>parametros_carros!$B$34</f>
        <v>Montaje, manga, precinto y etiquetado</v>
      </c>
      <c r="B117" s="9">
        <f>(parametros_carros!$D$34*('Plan mensual'!D57+IF(parametros_carros!$H$34="Todos",'Plan mensual'!D61,0))+parametros_carros!$E$34*('Plan mensual'!D58+IF(parametros_carros!$H$34="Todos",'Plan mensual'!D62,0))+parametros_carros!$F$34*('Plan mensual'!D59+IF(parametros_carros!$H$34="Todos",'Plan mensual'!D63,0))+parametros_carros!$G$34*('Plan mensual'!D60+IF(parametros_carros!$H$34="Todos",'Plan mensual'!D64,0)))/60</f>
        <v>7.572366667</v>
      </c>
      <c r="C117" s="9">
        <f>(parametros_carros!$D$34*('Plan mensual'!E57+IF(parametros_carros!$H$34="Todos",'Plan mensual'!E61,0))+parametros_carros!$E$34*('Plan mensual'!E58+IF(parametros_carros!$H$34="Todos",'Plan mensual'!E62,0))+parametros_carros!$F$34*('Plan mensual'!E59+IF(parametros_carros!$H$34="Todos",'Plan mensual'!E63,0))+parametros_carros!$G$34*('Plan mensual'!E60+IF(parametros_carros!$H$34="Todos",'Plan mensual'!E64,0)))/60</f>
        <v>6.6815</v>
      </c>
      <c r="D117" s="9">
        <f>(parametros_carros!$D$34*('Plan mensual'!F57+IF(parametros_carros!$H$34="Todos",'Plan mensual'!F61,0))+parametros_carros!$E$34*('Plan mensual'!F58+IF(parametros_carros!$H$34="Todos",'Plan mensual'!F62,0))+parametros_carros!$F$34*('Plan mensual'!F59+IF(parametros_carros!$H$34="Todos",'Plan mensual'!F63,0))+parametros_carros!$G$34*('Plan mensual'!F60+IF(parametros_carros!$H$34="Todos",'Plan mensual'!F64,0)))/60</f>
        <v>8.0178</v>
      </c>
      <c r="E117" s="9">
        <f>(parametros_carros!$D$34*('Plan mensual'!G57+IF(parametros_carros!$H$34="Todos",'Plan mensual'!G61,0))+parametros_carros!$E$34*('Plan mensual'!G58+IF(parametros_carros!$H$34="Todos",'Plan mensual'!G62,0))+parametros_carros!$F$34*('Plan mensual'!G59+IF(parametros_carros!$H$34="Todos",'Plan mensual'!G63,0))+parametros_carros!$G$34*('Plan mensual'!G60+IF(parametros_carros!$H$34="Todos",'Plan mensual'!G64,0)))/60</f>
        <v>8.0178</v>
      </c>
      <c r="F117" s="9">
        <f>(parametros_carros!$D$34*('Plan mensual'!H57+IF(parametros_carros!$H$34="Todos",'Plan mensual'!H61,0))+parametros_carros!$E$34*('Plan mensual'!H58+IF(parametros_carros!$H$34="Todos",'Plan mensual'!H62,0))+parametros_carros!$F$34*('Plan mensual'!H59+IF(parametros_carros!$H$34="Todos",'Plan mensual'!H63,0))+parametros_carros!$G$34*('Plan mensual'!H60+IF(parametros_carros!$H$34="Todos",'Plan mensual'!H64,0)))/60</f>
        <v>8.0178</v>
      </c>
      <c r="G117" s="9">
        <f>(parametros_carros!$D$34*('Plan mensual'!I57+IF(parametros_carros!$H$34="Todos",'Plan mensual'!I61,0))+parametros_carros!$E$34*('Plan mensual'!I58+IF(parametros_carros!$H$34="Todos",'Plan mensual'!I62,0))+parametros_carros!$F$34*('Plan mensual'!I59+IF(parametros_carros!$H$34="Todos",'Plan mensual'!I63,0))+parametros_carros!$G$34*('Plan mensual'!I60+IF(parametros_carros!$H$34="Todos",'Plan mensual'!I64,0)))/60</f>
        <v>7.126933333</v>
      </c>
      <c r="H117" s="9">
        <f>(parametros_carros!$D$34*('Plan mensual'!J57+IF(parametros_carros!$H$34="Todos",'Plan mensual'!J61,0))+parametros_carros!$E$34*('Plan mensual'!J58+IF(parametros_carros!$H$34="Todos",'Plan mensual'!J62,0))+parametros_carros!$F$34*('Plan mensual'!J59+IF(parametros_carros!$H$34="Todos",'Plan mensual'!J63,0))+parametros_carros!$G$34*('Plan mensual'!J60+IF(parametros_carros!$H$34="Todos",'Plan mensual'!J64,0)))/60</f>
        <v>8.0178</v>
      </c>
      <c r="I117" s="9">
        <f>(parametros_carros!$D$34*('Plan mensual'!K57+IF(parametros_carros!$H$34="Todos",'Plan mensual'!K61,0))+parametros_carros!$E$34*('Plan mensual'!K58+IF(parametros_carros!$H$34="Todos",'Plan mensual'!K62,0))+parametros_carros!$F$34*('Plan mensual'!K59+IF(parametros_carros!$H$34="Todos",'Plan mensual'!K63,0))+parametros_carros!$G$34*('Plan mensual'!K60+IF(parametros_carros!$H$34="Todos",'Plan mensual'!K64,0)))/60</f>
        <v>8.0178</v>
      </c>
      <c r="J117" s="9">
        <f>(parametros_carros!$D$34*('Plan mensual'!L57+IF(parametros_carros!$H$34="Todos",'Plan mensual'!L61,0))+parametros_carros!$E$34*('Plan mensual'!L58+IF(parametros_carros!$H$34="Todos",'Plan mensual'!L62,0))+parametros_carros!$F$34*('Plan mensual'!L59+IF(parametros_carros!$H$34="Todos",'Plan mensual'!L63,0))+parametros_carros!$G$34*('Plan mensual'!L60+IF(parametros_carros!$H$34="Todos",'Plan mensual'!L64,0)))/60</f>
        <v>7.572366667</v>
      </c>
      <c r="K117" s="9">
        <f>(parametros_carros!$D$34*('Plan mensual'!M57+IF(parametros_carros!$H$34="Todos",'Plan mensual'!M61,0))+parametros_carros!$E$34*('Plan mensual'!M58+IF(parametros_carros!$H$34="Todos",'Plan mensual'!M62,0))+parametros_carros!$F$34*('Plan mensual'!M59+IF(parametros_carros!$H$34="Todos",'Plan mensual'!M63,0))+parametros_carros!$G$34*('Plan mensual'!M60+IF(parametros_carros!$H$34="Todos",'Plan mensual'!M64,0)))/60</f>
        <v>6.6815</v>
      </c>
      <c r="L117" s="9">
        <f>(parametros_carros!$D$34*('Plan mensual'!N57+IF(parametros_carros!$H$34="Todos",'Plan mensual'!N61,0))+parametros_carros!$E$34*('Plan mensual'!N58+IF(parametros_carros!$H$34="Todos",'Plan mensual'!N62,0))+parametros_carros!$F$34*('Plan mensual'!N59+IF(parametros_carros!$H$34="Todos",'Plan mensual'!N63,0))+parametros_carros!$G$34*('Plan mensual'!N60+IF(parametros_carros!$H$34="Todos",'Plan mensual'!N64,0)))/60</f>
        <v>6.236066667</v>
      </c>
      <c r="M117" s="9">
        <f>(parametros_carros!$D$34*('Plan mensual'!O57+IF(parametros_carros!$H$34="Todos",'Plan mensual'!O61,0))+parametros_carros!$E$34*('Plan mensual'!O58+IF(parametros_carros!$H$34="Todos",'Plan mensual'!O62,0))+parametros_carros!$F$34*('Plan mensual'!O59+IF(parametros_carros!$H$34="Todos",'Plan mensual'!O63,0))+parametros_carros!$G$34*('Plan mensual'!O60+IF(parametros_carros!$H$34="Todos",'Plan mensual'!O64,0)))/60</f>
        <v>7.126933333</v>
      </c>
      <c r="N117" s="9">
        <f t="shared" si="16"/>
        <v>89.08666667</v>
      </c>
      <c r="O117" s="9">
        <f t="shared" si="17"/>
        <v>8.0178</v>
      </c>
      <c r="P117" s="32">
        <f>IF(parametros_carros!$B$7=0,0,(O117+parametros_carros!$G$60)/parametros_carros!$B$7)</f>
        <v>0.1001186667</v>
      </c>
      <c r="Q117" s="21" t="str">
        <f t="shared" si="18"/>
        <v>Mar</v>
      </c>
    </row>
    <row r="118" ht="14.25" customHeight="1">
      <c r="A118" s="2" t="str">
        <f>parametros_carros!$B$35</f>
        <v>Calidad: pérdidas, inspección final, liberación y ensayos de lote</v>
      </c>
      <c r="B118" s="9">
        <f>(parametros_carros!$D$35*('Plan mensual'!D57+IF(parametros_carros!$H$35="Todos",'Plan mensual'!D61,0))+parametros_carros!$E$35*('Plan mensual'!D58+IF(parametros_carros!$H$35="Todos",'Plan mensual'!D62,0))+parametros_carros!$F$35*('Plan mensual'!D59+IF(parametros_carros!$H$35="Todos",'Plan mensual'!D63,0))+parametros_carros!$G$35*('Plan mensual'!D60+IF(parametros_carros!$H$35="Todos",'Plan mensual'!D64,0)))/60</f>
        <v>5.740815</v>
      </c>
      <c r="C118" s="9">
        <f>(parametros_carros!$D$35*('Plan mensual'!E57+IF(parametros_carros!$H$35="Todos",'Plan mensual'!E61,0))+parametros_carros!$E$35*('Plan mensual'!E58+IF(parametros_carros!$H$35="Todos",'Plan mensual'!E62,0))+parametros_carros!$F$35*('Plan mensual'!E59+IF(parametros_carros!$H$35="Todos",'Plan mensual'!E63,0))+parametros_carros!$G$35*('Plan mensual'!E60+IF(parametros_carros!$H$35="Todos",'Plan mensual'!E64,0)))/60</f>
        <v>5.065425</v>
      </c>
      <c r="D118" s="9">
        <f>(parametros_carros!$D$35*('Plan mensual'!F57+IF(parametros_carros!$H$35="Todos",'Plan mensual'!F61,0))+parametros_carros!$E$35*('Plan mensual'!F58+IF(parametros_carros!$H$35="Todos",'Plan mensual'!F62,0))+parametros_carros!$F$35*('Plan mensual'!F59+IF(parametros_carros!$H$35="Todos",'Plan mensual'!F63,0))+parametros_carros!$G$35*('Plan mensual'!F60+IF(parametros_carros!$H$35="Todos",'Plan mensual'!F64,0)))/60</f>
        <v>6.07851</v>
      </c>
      <c r="E118" s="9">
        <f>(parametros_carros!$D$35*('Plan mensual'!G57+IF(parametros_carros!$H$35="Todos",'Plan mensual'!G61,0))+parametros_carros!$E$35*('Plan mensual'!G58+IF(parametros_carros!$H$35="Todos",'Plan mensual'!G62,0))+parametros_carros!$F$35*('Plan mensual'!G59+IF(parametros_carros!$H$35="Todos",'Plan mensual'!G63,0))+parametros_carros!$G$35*('Plan mensual'!G60+IF(parametros_carros!$H$35="Todos",'Plan mensual'!G64,0)))/60</f>
        <v>6.07851</v>
      </c>
      <c r="F118" s="9">
        <f>(parametros_carros!$D$35*('Plan mensual'!H57+IF(parametros_carros!$H$35="Todos",'Plan mensual'!H61,0))+parametros_carros!$E$35*('Plan mensual'!H58+IF(parametros_carros!$H$35="Todos",'Plan mensual'!H62,0))+parametros_carros!$F$35*('Plan mensual'!H59+IF(parametros_carros!$H$35="Todos",'Plan mensual'!H63,0))+parametros_carros!$G$35*('Plan mensual'!H60+IF(parametros_carros!$H$35="Todos",'Plan mensual'!H64,0)))/60</f>
        <v>6.07851</v>
      </c>
      <c r="G118" s="9">
        <f>(parametros_carros!$D$35*('Plan mensual'!I57+IF(parametros_carros!$H$35="Todos",'Plan mensual'!I61,0))+parametros_carros!$E$35*('Plan mensual'!I58+IF(parametros_carros!$H$35="Todos",'Plan mensual'!I62,0))+parametros_carros!$F$35*('Plan mensual'!I59+IF(parametros_carros!$H$35="Todos",'Plan mensual'!I63,0))+parametros_carros!$G$35*('Plan mensual'!I60+IF(parametros_carros!$H$35="Todos",'Plan mensual'!I64,0)))/60</f>
        <v>5.40312</v>
      </c>
      <c r="H118" s="9">
        <f>(parametros_carros!$D$35*('Plan mensual'!J57+IF(parametros_carros!$H$35="Todos",'Plan mensual'!J61,0))+parametros_carros!$E$35*('Plan mensual'!J58+IF(parametros_carros!$H$35="Todos",'Plan mensual'!J62,0))+parametros_carros!$F$35*('Plan mensual'!J59+IF(parametros_carros!$H$35="Todos",'Plan mensual'!J63,0))+parametros_carros!$G$35*('Plan mensual'!J60+IF(parametros_carros!$H$35="Todos",'Plan mensual'!J64,0)))/60</f>
        <v>6.07851</v>
      </c>
      <c r="I118" s="9">
        <f>(parametros_carros!$D$35*('Plan mensual'!K57+IF(parametros_carros!$H$35="Todos",'Plan mensual'!K61,0))+parametros_carros!$E$35*('Plan mensual'!K58+IF(parametros_carros!$H$35="Todos",'Plan mensual'!K62,0))+parametros_carros!$F$35*('Plan mensual'!K59+IF(parametros_carros!$H$35="Todos",'Plan mensual'!K63,0))+parametros_carros!$G$35*('Plan mensual'!K60+IF(parametros_carros!$H$35="Todos",'Plan mensual'!K64,0)))/60</f>
        <v>6.07851</v>
      </c>
      <c r="J118" s="9">
        <f>(parametros_carros!$D$35*('Plan mensual'!L57+IF(parametros_carros!$H$35="Todos",'Plan mensual'!L61,0))+parametros_carros!$E$35*('Plan mensual'!L58+IF(parametros_carros!$H$35="Todos",'Plan mensual'!L62,0))+parametros_carros!$F$35*('Plan mensual'!L59+IF(parametros_carros!$H$35="Todos",'Plan mensual'!L63,0))+parametros_carros!$G$35*('Plan mensual'!L60+IF(parametros_carros!$H$35="Todos",'Plan mensual'!L64,0)))/60</f>
        <v>5.740815</v>
      </c>
      <c r="K118" s="9">
        <f>(parametros_carros!$D$35*('Plan mensual'!M57+IF(parametros_carros!$H$35="Todos",'Plan mensual'!M61,0))+parametros_carros!$E$35*('Plan mensual'!M58+IF(parametros_carros!$H$35="Todos",'Plan mensual'!M62,0))+parametros_carros!$F$35*('Plan mensual'!M59+IF(parametros_carros!$H$35="Todos",'Plan mensual'!M63,0))+parametros_carros!$G$35*('Plan mensual'!M60+IF(parametros_carros!$H$35="Todos",'Plan mensual'!M64,0)))/60</f>
        <v>5.065425</v>
      </c>
      <c r="L118" s="9">
        <f>(parametros_carros!$D$35*('Plan mensual'!N57+IF(parametros_carros!$H$35="Todos",'Plan mensual'!N61,0))+parametros_carros!$E$35*('Plan mensual'!N58+IF(parametros_carros!$H$35="Todos",'Plan mensual'!N62,0))+parametros_carros!$F$35*('Plan mensual'!N59+IF(parametros_carros!$H$35="Todos",'Plan mensual'!N63,0))+parametros_carros!$G$35*('Plan mensual'!N60+IF(parametros_carros!$H$35="Todos",'Plan mensual'!N64,0)))/60</f>
        <v>4.72773</v>
      </c>
      <c r="M118" s="9">
        <f>(parametros_carros!$D$35*('Plan mensual'!O57+IF(parametros_carros!$H$35="Todos",'Plan mensual'!O61,0))+parametros_carros!$E$35*('Plan mensual'!O58+IF(parametros_carros!$H$35="Todos",'Plan mensual'!O62,0))+parametros_carros!$F$35*('Plan mensual'!O59+IF(parametros_carros!$H$35="Todos",'Plan mensual'!O63,0))+parametros_carros!$G$35*('Plan mensual'!O60+IF(parametros_carros!$H$35="Todos",'Plan mensual'!O64,0)))/60</f>
        <v>5.40312</v>
      </c>
      <c r="N118" s="9">
        <f t="shared" si="16"/>
        <v>67.539</v>
      </c>
      <c r="O118" s="9">
        <f t="shared" si="17"/>
        <v>6.07851</v>
      </c>
      <c r="P118" s="32">
        <f>IF(parametros_carros!$B$7=0,0,(O118+parametros_carros!$G$61)/parametros_carros!$B$7)</f>
        <v>0.4107456222</v>
      </c>
      <c r="Q118" s="21" t="str">
        <f t="shared" si="18"/>
        <v>Mar</v>
      </c>
    </row>
    <row r="119" ht="14.25" customHeight="1">
      <c r="A119" s="2" t="str">
        <f>parametros_carros!$B$36</f>
        <v>Depósito de producto terminado y despacho</v>
      </c>
      <c r="B119" s="9">
        <f>(parametros_carros!$D$36*('Plan mensual'!D57+IF(parametros_carros!$H$36="Todos",'Plan mensual'!D61,0))+parametros_carros!$E$36*('Plan mensual'!D58+IF(parametros_carros!$H$36="Todos",'Plan mensual'!D62,0))+parametros_carros!$F$36*('Plan mensual'!D59+IF(parametros_carros!$H$36="Todos",'Plan mensual'!D63,0))+parametros_carros!$G$36*('Plan mensual'!D60+IF(parametros_carros!$H$36="Todos",'Plan mensual'!D64,0)))/60</f>
        <v>2.6707</v>
      </c>
      <c r="C119" s="9">
        <f>(parametros_carros!$D$36*('Plan mensual'!E57+IF(parametros_carros!$H$36="Todos",'Plan mensual'!E61,0))+parametros_carros!$E$36*('Plan mensual'!E58+IF(parametros_carros!$H$36="Todos",'Plan mensual'!E62,0))+parametros_carros!$F$36*('Plan mensual'!E59+IF(parametros_carros!$H$36="Todos",'Plan mensual'!E63,0))+parametros_carros!$G$36*('Plan mensual'!E60+IF(parametros_carros!$H$36="Todos",'Plan mensual'!E64,0)))/60</f>
        <v>2.3565</v>
      </c>
      <c r="D119" s="9">
        <f>(parametros_carros!$D$36*('Plan mensual'!F57+IF(parametros_carros!$H$36="Todos",'Plan mensual'!F61,0))+parametros_carros!$E$36*('Plan mensual'!F58+IF(parametros_carros!$H$36="Todos",'Plan mensual'!F62,0))+parametros_carros!$F$36*('Plan mensual'!F59+IF(parametros_carros!$H$36="Todos",'Plan mensual'!F63,0))+parametros_carros!$G$36*('Plan mensual'!F60+IF(parametros_carros!$H$36="Todos",'Plan mensual'!F64,0)))/60</f>
        <v>2.8278</v>
      </c>
      <c r="E119" s="9">
        <f>(parametros_carros!$D$36*('Plan mensual'!G57+IF(parametros_carros!$H$36="Todos",'Plan mensual'!G61,0))+parametros_carros!$E$36*('Plan mensual'!G58+IF(parametros_carros!$H$36="Todos",'Plan mensual'!G62,0))+parametros_carros!$F$36*('Plan mensual'!G59+IF(parametros_carros!$H$36="Todos",'Plan mensual'!G63,0))+parametros_carros!$G$36*('Plan mensual'!G60+IF(parametros_carros!$H$36="Todos",'Plan mensual'!G64,0)))/60</f>
        <v>2.8278</v>
      </c>
      <c r="F119" s="9">
        <f>(parametros_carros!$D$36*('Plan mensual'!H57+IF(parametros_carros!$H$36="Todos",'Plan mensual'!H61,0))+parametros_carros!$E$36*('Plan mensual'!H58+IF(parametros_carros!$H$36="Todos",'Plan mensual'!H62,0))+parametros_carros!$F$36*('Plan mensual'!H59+IF(parametros_carros!$H$36="Todos",'Plan mensual'!H63,0))+parametros_carros!$G$36*('Plan mensual'!H60+IF(parametros_carros!$H$36="Todos",'Plan mensual'!H64,0)))/60</f>
        <v>2.8278</v>
      </c>
      <c r="G119" s="9">
        <f>(parametros_carros!$D$36*('Plan mensual'!I57+IF(parametros_carros!$H$36="Todos",'Plan mensual'!I61,0))+parametros_carros!$E$36*('Plan mensual'!I58+IF(parametros_carros!$H$36="Todos",'Plan mensual'!I62,0))+parametros_carros!$F$36*('Plan mensual'!I59+IF(parametros_carros!$H$36="Todos",'Plan mensual'!I63,0))+parametros_carros!$G$36*('Plan mensual'!I60+IF(parametros_carros!$H$36="Todos",'Plan mensual'!I64,0)))/60</f>
        <v>2.5136</v>
      </c>
      <c r="H119" s="9">
        <f>(parametros_carros!$D$36*('Plan mensual'!J57+IF(parametros_carros!$H$36="Todos",'Plan mensual'!J61,0))+parametros_carros!$E$36*('Plan mensual'!J58+IF(parametros_carros!$H$36="Todos",'Plan mensual'!J62,0))+parametros_carros!$F$36*('Plan mensual'!J59+IF(parametros_carros!$H$36="Todos",'Plan mensual'!J63,0))+parametros_carros!$G$36*('Plan mensual'!J60+IF(parametros_carros!$H$36="Todos",'Plan mensual'!J64,0)))/60</f>
        <v>2.8278</v>
      </c>
      <c r="I119" s="9">
        <f>(parametros_carros!$D$36*('Plan mensual'!K57+IF(parametros_carros!$H$36="Todos",'Plan mensual'!K61,0))+parametros_carros!$E$36*('Plan mensual'!K58+IF(parametros_carros!$H$36="Todos",'Plan mensual'!K62,0))+parametros_carros!$F$36*('Plan mensual'!K59+IF(parametros_carros!$H$36="Todos",'Plan mensual'!K63,0))+parametros_carros!$G$36*('Plan mensual'!K60+IF(parametros_carros!$H$36="Todos",'Plan mensual'!K64,0)))/60</f>
        <v>2.8278</v>
      </c>
      <c r="J119" s="9">
        <f>(parametros_carros!$D$36*('Plan mensual'!L57+IF(parametros_carros!$H$36="Todos",'Plan mensual'!L61,0))+parametros_carros!$E$36*('Plan mensual'!L58+IF(parametros_carros!$H$36="Todos",'Plan mensual'!L62,0))+parametros_carros!$F$36*('Plan mensual'!L59+IF(parametros_carros!$H$36="Todos",'Plan mensual'!L63,0))+parametros_carros!$G$36*('Plan mensual'!L60+IF(parametros_carros!$H$36="Todos",'Plan mensual'!L64,0)))/60</f>
        <v>2.6707</v>
      </c>
      <c r="K119" s="9">
        <f>(parametros_carros!$D$36*('Plan mensual'!M57+IF(parametros_carros!$H$36="Todos",'Plan mensual'!M61,0))+parametros_carros!$E$36*('Plan mensual'!M58+IF(parametros_carros!$H$36="Todos",'Plan mensual'!M62,0))+parametros_carros!$F$36*('Plan mensual'!M59+IF(parametros_carros!$H$36="Todos",'Plan mensual'!M63,0))+parametros_carros!$G$36*('Plan mensual'!M60+IF(parametros_carros!$H$36="Todos",'Plan mensual'!M64,0)))/60</f>
        <v>2.3565</v>
      </c>
      <c r="L119" s="9">
        <f>(parametros_carros!$D$36*('Plan mensual'!N57+IF(parametros_carros!$H$36="Todos",'Plan mensual'!N61,0))+parametros_carros!$E$36*('Plan mensual'!N58+IF(parametros_carros!$H$36="Todos",'Plan mensual'!N62,0))+parametros_carros!$F$36*('Plan mensual'!N59+IF(parametros_carros!$H$36="Todos",'Plan mensual'!N63,0))+parametros_carros!$G$36*('Plan mensual'!N60+IF(parametros_carros!$H$36="Todos",'Plan mensual'!N64,0)))/60</f>
        <v>2.1994</v>
      </c>
      <c r="M119" s="9">
        <f>(parametros_carros!$D$36*('Plan mensual'!O57+IF(parametros_carros!$H$36="Todos",'Plan mensual'!O61,0))+parametros_carros!$E$36*('Plan mensual'!O58+IF(parametros_carros!$H$36="Todos",'Plan mensual'!O62,0))+parametros_carros!$F$36*('Plan mensual'!O59+IF(parametros_carros!$H$36="Todos",'Plan mensual'!O63,0))+parametros_carros!$G$36*('Plan mensual'!O60+IF(parametros_carros!$H$36="Todos",'Plan mensual'!O64,0)))/60</f>
        <v>2.5136</v>
      </c>
      <c r="N119" s="9">
        <f t="shared" si="16"/>
        <v>31.42</v>
      </c>
      <c r="O119" s="9">
        <f t="shared" si="17"/>
        <v>2.8278</v>
      </c>
      <c r="P119" s="32">
        <f>IF(parametros_carros!$B$7=0,0,(O119+parametros_carros!$G$62)/parametros_carros!$B$7)</f>
        <v>0.04107422222</v>
      </c>
      <c r="Q119" s="21" t="str">
        <f t="shared" si="18"/>
        <v>Mar</v>
      </c>
    </row>
    <row r="120" ht="14.25" customHeight="1"/>
    <row r="121" ht="45.0" customHeight="1">
      <c r="A121" s="1" t="s">
        <v>458</v>
      </c>
      <c r="B121" s="1" t="s">
        <v>8</v>
      </c>
      <c r="C121" s="1" t="s">
        <v>9</v>
      </c>
      <c r="D121" s="1" t="s">
        <v>11</v>
      </c>
      <c r="E121" s="1" t="s">
        <v>13</v>
      </c>
      <c r="F121" s="1" t="s">
        <v>14</v>
      </c>
      <c r="G121" s="1" t="s">
        <v>15</v>
      </c>
      <c r="H121" s="1" t="s">
        <v>16</v>
      </c>
      <c r="I121" s="1" t="s">
        <v>18</v>
      </c>
      <c r="J121" s="1" t="s">
        <v>19</v>
      </c>
      <c r="K121" s="1" t="s">
        <v>20</v>
      </c>
      <c r="L121" s="1" t="s">
        <v>21</v>
      </c>
      <c r="M121" s="1" t="s">
        <v>22</v>
      </c>
      <c r="N121" s="1" t="s">
        <v>32</v>
      </c>
      <c r="O121" s="1" t="s">
        <v>33</v>
      </c>
      <c r="P121" s="1" t="s">
        <v>34</v>
      </c>
      <c r="Q121" s="1" t="s">
        <v>36</v>
      </c>
    </row>
    <row r="122" ht="14.25" customHeight="1">
      <c r="A122" s="2" t="str">
        <f>parametros_carros!$B$19</f>
        <v>Recepción de materia prima</v>
      </c>
      <c r="B122" s="9">
        <f>(parametros_carros!$D$19*('Plan mensual'!D68+IF(parametros_carros!$H$19="Todos",'Plan mensual'!D72,0))+parametros_carros!$E$19*('Plan mensual'!D69+IF(parametros_carros!$H$19="Todos",'Plan mensual'!D73,0))+parametros_carros!$F$19*('Plan mensual'!D70+IF(parametros_carros!$H$19="Todos",'Plan mensual'!D74,0))+parametros_carros!$G$19*('Plan mensual'!D71+IF(parametros_carros!$H$19="Todos",'Plan mensual'!D75,0)))/60</f>
        <v>4.68173625</v>
      </c>
      <c r="C122" s="9">
        <f>(parametros_carros!$D$19*('Plan mensual'!E68+IF(parametros_carros!$H$19="Todos",'Plan mensual'!E72,0))+parametros_carros!$E$19*('Plan mensual'!E69+IF(parametros_carros!$H$19="Todos",'Plan mensual'!E73,0))+parametros_carros!$F$19*('Plan mensual'!E70+IF(parametros_carros!$H$19="Todos",'Plan mensual'!E74,0))+parametros_carros!$G$19*('Plan mensual'!E71+IF(parametros_carros!$H$19="Todos",'Plan mensual'!E75,0)))/60</f>
        <v>4.13094375</v>
      </c>
      <c r="D122" s="9">
        <f>(parametros_carros!$D$19*('Plan mensual'!F68+IF(parametros_carros!$H$19="Todos",'Plan mensual'!F72,0))+parametros_carros!$E$19*('Plan mensual'!F69+IF(parametros_carros!$H$19="Todos",'Plan mensual'!F73,0))+parametros_carros!$F$19*('Plan mensual'!F70+IF(parametros_carros!$H$19="Todos",'Plan mensual'!F74,0))+parametros_carros!$G$19*('Plan mensual'!F71+IF(parametros_carros!$H$19="Todos",'Plan mensual'!F75,0)))/60</f>
        <v>4.9571325</v>
      </c>
      <c r="E122" s="9">
        <f>(parametros_carros!$D$19*('Plan mensual'!G68+IF(parametros_carros!$H$19="Todos",'Plan mensual'!G72,0))+parametros_carros!$E$19*('Plan mensual'!G69+IF(parametros_carros!$H$19="Todos",'Plan mensual'!G73,0))+parametros_carros!$F$19*('Plan mensual'!G70+IF(parametros_carros!$H$19="Todos",'Plan mensual'!G74,0))+parametros_carros!$G$19*('Plan mensual'!G71+IF(parametros_carros!$H$19="Todos",'Plan mensual'!G75,0)))/60</f>
        <v>4.9571325</v>
      </c>
      <c r="F122" s="9">
        <f>(parametros_carros!$D$19*('Plan mensual'!H68+IF(parametros_carros!$H$19="Todos",'Plan mensual'!H72,0))+parametros_carros!$E$19*('Plan mensual'!H69+IF(parametros_carros!$H$19="Todos",'Plan mensual'!H73,0))+parametros_carros!$F$19*('Plan mensual'!H70+IF(parametros_carros!$H$19="Todos",'Plan mensual'!H74,0))+parametros_carros!$G$19*('Plan mensual'!H71+IF(parametros_carros!$H$19="Todos",'Plan mensual'!H75,0)))/60</f>
        <v>4.9571325</v>
      </c>
      <c r="G122" s="9">
        <f>(parametros_carros!$D$19*('Plan mensual'!I68+IF(parametros_carros!$H$19="Todos",'Plan mensual'!I72,0))+parametros_carros!$E$19*('Plan mensual'!I69+IF(parametros_carros!$H$19="Todos",'Plan mensual'!I73,0))+parametros_carros!$F$19*('Plan mensual'!I70+IF(parametros_carros!$H$19="Todos",'Plan mensual'!I74,0))+parametros_carros!$G$19*('Plan mensual'!I71+IF(parametros_carros!$H$19="Todos",'Plan mensual'!I75,0)))/60</f>
        <v>4.40634</v>
      </c>
      <c r="H122" s="9">
        <f>(parametros_carros!$D$19*('Plan mensual'!J68+IF(parametros_carros!$H$19="Todos",'Plan mensual'!J72,0))+parametros_carros!$E$19*('Plan mensual'!J69+IF(parametros_carros!$H$19="Todos",'Plan mensual'!J73,0))+parametros_carros!$F$19*('Plan mensual'!J70+IF(parametros_carros!$H$19="Todos",'Plan mensual'!J74,0))+parametros_carros!$G$19*('Plan mensual'!J71+IF(parametros_carros!$H$19="Todos",'Plan mensual'!J75,0)))/60</f>
        <v>4.9571325</v>
      </c>
      <c r="I122" s="9">
        <f>(parametros_carros!$D$19*('Plan mensual'!K68+IF(parametros_carros!$H$19="Todos",'Plan mensual'!K72,0))+parametros_carros!$E$19*('Plan mensual'!K69+IF(parametros_carros!$H$19="Todos",'Plan mensual'!K73,0))+parametros_carros!$F$19*('Plan mensual'!K70+IF(parametros_carros!$H$19="Todos",'Plan mensual'!K74,0))+parametros_carros!$G$19*('Plan mensual'!K71+IF(parametros_carros!$H$19="Todos",'Plan mensual'!K75,0)))/60</f>
        <v>4.9571325</v>
      </c>
      <c r="J122" s="9">
        <f>(parametros_carros!$D$19*('Plan mensual'!L68+IF(parametros_carros!$H$19="Todos",'Plan mensual'!L72,0))+parametros_carros!$E$19*('Plan mensual'!L69+IF(parametros_carros!$H$19="Todos",'Plan mensual'!L73,0))+parametros_carros!$F$19*('Plan mensual'!L70+IF(parametros_carros!$H$19="Todos",'Plan mensual'!L74,0))+parametros_carros!$G$19*('Plan mensual'!L71+IF(parametros_carros!$H$19="Todos",'Plan mensual'!L75,0)))/60</f>
        <v>4.68173625</v>
      </c>
      <c r="K122" s="9">
        <f>(parametros_carros!$D$19*('Plan mensual'!M68+IF(parametros_carros!$H$19="Todos",'Plan mensual'!M72,0))+parametros_carros!$E$19*('Plan mensual'!M69+IF(parametros_carros!$H$19="Todos",'Plan mensual'!M73,0))+parametros_carros!$F$19*('Plan mensual'!M70+IF(parametros_carros!$H$19="Todos",'Plan mensual'!M74,0))+parametros_carros!$G$19*('Plan mensual'!M71+IF(parametros_carros!$H$19="Todos",'Plan mensual'!M75,0)))/60</f>
        <v>4.13094375</v>
      </c>
      <c r="L122" s="9">
        <f>(parametros_carros!$D$19*('Plan mensual'!N68+IF(parametros_carros!$H$19="Todos",'Plan mensual'!N72,0))+parametros_carros!$E$19*('Plan mensual'!N69+IF(parametros_carros!$H$19="Todos",'Plan mensual'!N73,0))+parametros_carros!$F$19*('Plan mensual'!N70+IF(parametros_carros!$H$19="Todos",'Plan mensual'!N74,0))+parametros_carros!$G$19*('Plan mensual'!N71+IF(parametros_carros!$H$19="Todos",'Plan mensual'!N75,0)))/60</f>
        <v>3.8555475</v>
      </c>
      <c r="M122" s="9">
        <f>(parametros_carros!$D$19*('Plan mensual'!O68+IF(parametros_carros!$H$19="Todos",'Plan mensual'!O72,0))+parametros_carros!$E$19*('Plan mensual'!O69+IF(parametros_carros!$H$19="Todos",'Plan mensual'!O73,0))+parametros_carros!$F$19*('Plan mensual'!O70+IF(parametros_carros!$H$19="Todos",'Plan mensual'!O74,0))+parametros_carros!$G$19*('Plan mensual'!O71+IF(parametros_carros!$H$19="Todos",'Plan mensual'!O75,0)))/60</f>
        <v>4.40634</v>
      </c>
      <c r="N122" s="9">
        <f t="shared" ref="N122:N139" si="19">SUM(B122:M122)</f>
        <v>55.07925</v>
      </c>
      <c r="O122" s="9">
        <f t="shared" ref="O122:O139" si="20">MAX(B122:M122)</f>
        <v>4.9571325</v>
      </c>
      <c r="P122" s="32">
        <f>IF(parametros_carros!$B$7=0,0,(O122+parametros_carros!$G$45)/parametros_carros!$B$7)</f>
        <v>0.08115866111</v>
      </c>
      <c r="Q122" s="21" t="str">
        <f t="shared" ref="Q122:Q139" si="21">IF(O122=0,"-",INDEX($B$121:$M$121,MATCH(O122,B122:M122,0)))</f>
        <v>Mar</v>
      </c>
    </row>
    <row r="123" ht="14.25" customHeight="1">
      <c r="A123" s="2" t="str">
        <f>parametros_carros!$B$20</f>
        <v>Corte de chapa (guillotina)</v>
      </c>
      <c r="B123" s="9">
        <f>(parametros_carros!$D$20*('Plan mensual'!D68+IF(parametros_carros!$H$20="Todos",'Plan mensual'!D72,0))+parametros_carros!$E$20*('Plan mensual'!D69+IF(parametros_carros!$H$20="Todos",'Plan mensual'!D73,0))+parametros_carros!$F$20*('Plan mensual'!D70+IF(parametros_carros!$H$20="Todos",'Plan mensual'!D74,0))+parametros_carros!$G$20*('Plan mensual'!D71+IF(parametros_carros!$H$20="Todos",'Plan mensual'!D75,0)))/60</f>
        <v>10.28531105</v>
      </c>
      <c r="C123" s="9">
        <f>(parametros_carros!$D$20*('Plan mensual'!E68+IF(parametros_carros!$H$20="Todos",'Plan mensual'!E72,0))+parametros_carros!$E$20*('Plan mensual'!E69+IF(parametros_carros!$H$20="Todos",'Plan mensual'!E73,0))+parametros_carros!$F$20*('Plan mensual'!E70+IF(parametros_carros!$H$20="Todos",'Plan mensual'!E74,0))+parametros_carros!$G$20*('Plan mensual'!E71+IF(parametros_carros!$H$20="Todos",'Plan mensual'!E75,0)))/60</f>
        <v>9.075274457</v>
      </c>
      <c r="D123" s="9">
        <f>(parametros_carros!$D$20*('Plan mensual'!F68+IF(parametros_carros!$H$20="Todos",'Plan mensual'!F72,0))+parametros_carros!$E$20*('Plan mensual'!F69+IF(parametros_carros!$H$20="Todos",'Plan mensual'!F73,0))+parametros_carros!$F$20*('Plan mensual'!F70+IF(parametros_carros!$H$20="Todos",'Plan mensual'!F74,0))+parametros_carros!$G$20*('Plan mensual'!F71+IF(parametros_carros!$H$20="Todos",'Plan mensual'!F75,0)))/60</f>
        <v>10.89032935</v>
      </c>
      <c r="E123" s="9">
        <f>(parametros_carros!$D$20*('Plan mensual'!G68+IF(parametros_carros!$H$20="Todos",'Plan mensual'!G72,0))+parametros_carros!$E$20*('Plan mensual'!G69+IF(parametros_carros!$H$20="Todos",'Plan mensual'!G73,0))+parametros_carros!$F$20*('Plan mensual'!G70+IF(parametros_carros!$H$20="Todos",'Plan mensual'!G74,0))+parametros_carros!$G$20*('Plan mensual'!G71+IF(parametros_carros!$H$20="Todos",'Plan mensual'!G75,0)))/60</f>
        <v>10.89032935</v>
      </c>
      <c r="F123" s="9">
        <f>(parametros_carros!$D$20*('Plan mensual'!H68+IF(parametros_carros!$H$20="Todos",'Plan mensual'!H72,0))+parametros_carros!$E$20*('Plan mensual'!H69+IF(parametros_carros!$H$20="Todos",'Plan mensual'!H73,0))+parametros_carros!$F$20*('Plan mensual'!H70+IF(parametros_carros!$H$20="Todos",'Plan mensual'!H74,0))+parametros_carros!$G$20*('Plan mensual'!H71+IF(parametros_carros!$H$20="Todos",'Plan mensual'!H75,0)))/60</f>
        <v>10.89032935</v>
      </c>
      <c r="G123" s="9">
        <f>(parametros_carros!$D$20*('Plan mensual'!I68+IF(parametros_carros!$H$20="Todos",'Plan mensual'!I72,0))+parametros_carros!$E$20*('Plan mensual'!I69+IF(parametros_carros!$H$20="Todos",'Plan mensual'!I73,0))+parametros_carros!$F$20*('Plan mensual'!I70+IF(parametros_carros!$H$20="Todos",'Plan mensual'!I74,0))+parametros_carros!$G$20*('Plan mensual'!I71+IF(parametros_carros!$H$20="Todos",'Plan mensual'!I75,0)))/60</f>
        <v>9.680292754</v>
      </c>
      <c r="H123" s="9">
        <f>(parametros_carros!$D$20*('Plan mensual'!J68+IF(parametros_carros!$H$20="Todos",'Plan mensual'!J72,0))+parametros_carros!$E$20*('Plan mensual'!J69+IF(parametros_carros!$H$20="Todos",'Plan mensual'!J73,0))+parametros_carros!$F$20*('Plan mensual'!J70+IF(parametros_carros!$H$20="Todos",'Plan mensual'!J74,0))+parametros_carros!$G$20*('Plan mensual'!J71+IF(parametros_carros!$H$20="Todos",'Plan mensual'!J75,0)))/60</f>
        <v>10.89032935</v>
      </c>
      <c r="I123" s="9">
        <f>(parametros_carros!$D$20*('Plan mensual'!K68+IF(parametros_carros!$H$20="Todos",'Plan mensual'!K72,0))+parametros_carros!$E$20*('Plan mensual'!K69+IF(parametros_carros!$H$20="Todos",'Plan mensual'!K73,0))+parametros_carros!$F$20*('Plan mensual'!K70+IF(parametros_carros!$H$20="Todos",'Plan mensual'!K74,0))+parametros_carros!$G$20*('Plan mensual'!K71+IF(parametros_carros!$H$20="Todos",'Plan mensual'!K75,0)))/60</f>
        <v>10.89032935</v>
      </c>
      <c r="J123" s="9">
        <f>(parametros_carros!$D$20*('Plan mensual'!L68+IF(parametros_carros!$H$20="Todos",'Plan mensual'!L72,0))+parametros_carros!$E$20*('Plan mensual'!L69+IF(parametros_carros!$H$20="Todos",'Plan mensual'!L73,0))+parametros_carros!$F$20*('Plan mensual'!L70+IF(parametros_carros!$H$20="Todos",'Plan mensual'!L74,0))+parametros_carros!$G$20*('Plan mensual'!L71+IF(parametros_carros!$H$20="Todos",'Plan mensual'!L75,0)))/60</f>
        <v>10.28531105</v>
      </c>
      <c r="K123" s="9">
        <f>(parametros_carros!$D$20*('Plan mensual'!M68+IF(parametros_carros!$H$20="Todos",'Plan mensual'!M72,0))+parametros_carros!$E$20*('Plan mensual'!M69+IF(parametros_carros!$H$20="Todos",'Plan mensual'!M73,0))+parametros_carros!$F$20*('Plan mensual'!M70+IF(parametros_carros!$H$20="Todos",'Plan mensual'!M74,0))+parametros_carros!$G$20*('Plan mensual'!M71+IF(parametros_carros!$H$20="Todos",'Plan mensual'!M75,0)))/60</f>
        <v>9.075274457</v>
      </c>
      <c r="L123" s="9">
        <f>(parametros_carros!$D$20*('Plan mensual'!N68+IF(parametros_carros!$H$20="Todos",'Plan mensual'!N72,0))+parametros_carros!$E$20*('Plan mensual'!N69+IF(parametros_carros!$H$20="Todos",'Plan mensual'!N73,0))+parametros_carros!$F$20*('Plan mensual'!N70+IF(parametros_carros!$H$20="Todos",'Plan mensual'!N74,0))+parametros_carros!$G$20*('Plan mensual'!N71+IF(parametros_carros!$H$20="Todos",'Plan mensual'!N75,0)))/60</f>
        <v>8.470256159</v>
      </c>
      <c r="M123" s="9">
        <f>(parametros_carros!$D$20*('Plan mensual'!O68+IF(parametros_carros!$H$20="Todos",'Plan mensual'!O72,0))+parametros_carros!$E$20*('Plan mensual'!O69+IF(parametros_carros!$H$20="Todos",'Plan mensual'!O73,0))+parametros_carros!$F$20*('Plan mensual'!O70+IF(parametros_carros!$H$20="Todos",'Plan mensual'!O74,0))+parametros_carros!$G$20*('Plan mensual'!O71+IF(parametros_carros!$H$20="Todos",'Plan mensual'!O75,0)))/60</f>
        <v>9.680292754</v>
      </c>
      <c r="N123" s="9">
        <f t="shared" si="19"/>
        <v>121.0036594</v>
      </c>
      <c r="O123" s="9">
        <f t="shared" si="20"/>
        <v>10.89032935</v>
      </c>
      <c r="P123" s="32">
        <f>IF(parametros_carros!$B$7=0,0,(O123+parametros_carros!$G$46)/parametros_carros!$B$7)</f>
        <v>0.1348244179</v>
      </c>
      <c r="Q123" s="21" t="str">
        <f t="shared" si="21"/>
        <v>Mar</v>
      </c>
    </row>
    <row r="124" ht="14.25" customHeight="1">
      <c r="A124" s="2" t="str">
        <f>parametros_carros!$B$21</f>
        <v>Marcado del cuerpo</v>
      </c>
      <c r="B124" s="9">
        <f>(parametros_carros!$D$21*('Plan mensual'!D68+IF(parametros_carros!$H$21="Todos",'Plan mensual'!D72,0))+parametros_carros!$E$21*('Plan mensual'!D69+IF(parametros_carros!$H$21="Todos",'Plan mensual'!D73,0))+parametros_carros!$F$21*('Plan mensual'!D70+IF(parametros_carros!$H$21="Todos",'Plan mensual'!D74,0))+parametros_carros!$G$21*('Plan mensual'!D71+IF(parametros_carros!$H$21="Todos",'Plan mensual'!D75,0)))/60</f>
        <v>4.097</v>
      </c>
      <c r="C124" s="9">
        <f>(parametros_carros!$D$21*('Plan mensual'!E68+IF(parametros_carros!$H$21="Todos",'Plan mensual'!E72,0))+parametros_carros!$E$21*('Plan mensual'!E69+IF(parametros_carros!$H$21="Todos",'Plan mensual'!E73,0))+parametros_carros!$F$21*('Plan mensual'!E70+IF(parametros_carros!$H$21="Todos",'Plan mensual'!E74,0))+parametros_carros!$G$21*('Plan mensual'!E71+IF(parametros_carros!$H$21="Todos",'Plan mensual'!E75,0)))/60</f>
        <v>3.615</v>
      </c>
      <c r="D124" s="9">
        <f>(parametros_carros!$D$21*('Plan mensual'!F68+IF(parametros_carros!$H$21="Todos",'Plan mensual'!F72,0))+parametros_carros!$E$21*('Plan mensual'!F69+IF(parametros_carros!$H$21="Todos",'Plan mensual'!F73,0))+parametros_carros!$F$21*('Plan mensual'!F70+IF(parametros_carros!$H$21="Todos",'Plan mensual'!F74,0))+parametros_carros!$G$21*('Plan mensual'!F71+IF(parametros_carros!$H$21="Todos",'Plan mensual'!F75,0)))/60</f>
        <v>4.338</v>
      </c>
      <c r="E124" s="9">
        <f>(parametros_carros!$D$21*('Plan mensual'!G68+IF(parametros_carros!$H$21="Todos",'Plan mensual'!G72,0))+parametros_carros!$E$21*('Plan mensual'!G69+IF(parametros_carros!$H$21="Todos",'Plan mensual'!G73,0))+parametros_carros!$F$21*('Plan mensual'!G70+IF(parametros_carros!$H$21="Todos",'Plan mensual'!G74,0))+parametros_carros!$G$21*('Plan mensual'!G71+IF(parametros_carros!$H$21="Todos",'Plan mensual'!G75,0)))/60</f>
        <v>4.338</v>
      </c>
      <c r="F124" s="9">
        <f>(parametros_carros!$D$21*('Plan mensual'!H68+IF(parametros_carros!$H$21="Todos",'Plan mensual'!H72,0))+parametros_carros!$E$21*('Plan mensual'!H69+IF(parametros_carros!$H$21="Todos",'Plan mensual'!H73,0))+parametros_carros!$F$21*('Plan mensual'!H70+IF(parametros_carros!$H$21="Todos",'Plan mensual'!H74,0))+parametros_carros!$G$21*('Plan mensual'!H71+IF(parametros_carros!$H$21="Todos",'Plan mensual'!H75,0)))/60</f>
        <v>4.338</v>
      </c>
      <c r="G124" s="9">
        <f>(parametros_carros!$D$21*('Plan mensual'!I68+IF(parametros_carros!$H$21="Todos",'Plan mensual'!I72,0))+parametros_carros!$E$21*('Plan mensual'!I69+IF(parametros_carros!$H$21="Todos",'Plan mensual'!I73,0))+parametros_carros!$F$21*('Plan mensual'!I70+IF(parametros_carros!$H$21="Todos",'Plan mensual'!I74,0))+parametros_carros!$G$21*('Plan mensual'!I71+IF(parametros_carros!$H$21="Todos",'Plan mensual'!I75,0)))/60</f>
        <v>3.856</v>
      </c>
      <c r="H124" s="9">
        <f>(parametros_carros!$D$21*('Plan mensual'!J68+IF(parametros_carros!$H$21="Todos",'Plan mensual'!J72,0))+parametros_carros!$E$21*('Plan mensual'!J69+IF(parametros_carros!$H$21="Todos",'Plan mensual'!J73,0))+parametros_carros!$F$21*('Plan mensual'!J70+IF(parametros_carros!$H$21="Todos",'Plan mensual'!J74,0))+parametros_carros!$G$21*('Plan mensual'!J71+IF(parametros_carros!$H$21="Todos",'Plan mensual'!J75,0)))/60</f>
        <v>4.338</v>
      </c>
      <c r="I124" s="9">
        <f>(parametros_carros!$D$21*('Plan mensual'!K68+IF(parametros_carros!$H$21="Todos",'Plan mensual'!K72,0))+parametros_carros!$E$21*('Plan mensual'!K69+IF(parametros_carros!$H$21="Todos",'Plan mensual'!K73,0))+parametros_carros!$F$21*('Plan mensual'!K70+IF(parametros_carros!$H$21="Todos",'Plan mensual'!K74,0))+parametros_carros!$G$21*('Plan mensual'!K71+IF(parametros_carros!$H$21="Todos",'Plan mensual'!K75,0)))/60</f>
        <v>4.338</v>
      </c>
      <c r="J124" s="9">
        <f>(parametros_carros!$D$21*('Plan mensual'!L68+IF(parametros_carros!$H$21="Todos",'Plan mensual'!L72,0))+parametros_carros!$E$21*('Plan mensual'!L69+IF(parametros_carros!$H$21="Todos",'Plan mensual'!L73,0))+parametros_carros!$F$21*('Plan mensual'!L70+IF(parametros_carros!$H$21="Todos",'Plan mensual'!L74,0))+parametros_carros!$G$21*('Plan mensual'!L71+IF(parametros_carros!$H$21="Todos",'Plan mensual'!L75,0)))/60</f>
        <v>4.097</v>
      </c>
      <c r="K124" s="9">
        <f>(parametros_carros!$D$21*('Plan mensual'!M68+IF(parametros_carros!$H$21="Todos",'Plan mensual'!M72,0))+parametros_carros!$E$21*('Plan mensual'!M69+IF(parametros_carros!$H$21="Todos",'Plan mensual'!M73,0))+parametros_carros!$F$21*('Plan mensual'!M70+IF(parametros_carros!$H$21="Todos",'Plan mensual'!M74,0))+parametros_carros!$G$21*('Plan mensual'!M71+IF(parametros_carros!$H$21="Todos",'Plan mensual'!M75,0)))/60</f>
        <v>3.615</v>
      </c>
      <c r="L124" s="9">
        <f>(parametros_carros!$D$21*('Plan mensual'!N68+IF(parametros_carros!$H$21="Todos",'Plan mensual'!N72,0))+parametros_carros!$E$21*('Plan mensual'!N69+IF(parametros_carros!$H$21="Todos",'Plan mensual'!N73,0))+parametros_carros!$F$21*('Plan mensual'!N70+IF(parametros_carros!$H$21="Todos",'Plan mensual'!N74,0))+parametros_carros!$G$21*('Plan mensual'!N71+IF(parametros_carros!$H$21="Todos",'Plan mensual'!N75,0)))/60</f>
        <v>3.374</v>
      </c>
      <c r="M124" s="9">
        <f>(parametros_carros!$D$21*('Plan mensual'!O68+IF(parametros_carros!$H$21="Todos",'Plan mensual'!O72,0))+parametros_carros!$E$21*('Plan mensual'!O69+IF(parametros_carros!$H$21="Todos",'Plan mensual'!O73,0))+parametros_carros!$F$21*('Plan mensual'!O70+IF(parametros_carros!$H$21="Todos",'Plan mensual'!O74,0))+parametros_carros!$G$21*('Plan mensual'!O71+IF(parametros_carros!$H$21="Todos",'Plan mensual'!O75,0)))/60</f>
        <v>3.856</v>
      </c>
      <c r="N124" s="9">
        <f t="shared" si="19"/>
        <v>48.2</v>
      </c>
      <c r="O124" s="9">
        <f t="shared" si="20"/>
        <v>4.338</v>
      </c>
      <c r="P124" s="32">
        <f>IF(parametros_carros!$B$7=0,0,(O124+parametros_carros!$G$47)/parametros_carros!$B$7)</f>
        <v>0.04114222222</v>
      </c>
      <c r="Q124" s="21" t="str">
        <f t="shared" si="21"/>
        <v>Mar</v>
      </c>
    </row>
    <row r="125" ht="14.25" customHeight="1">
      <c r="A125" s="2" t="str">
        <f>parametros_carros!$B$22</f>
        <v>Cilindrado</v>
      </c>
      <c r="B125" s="9">
        <f>(parametros_carros!$D$22*('Plan mensual'!D68+IF(parametros_carros!$H$22="Todos",'Plan mensual'!D72,0))+parametros_carros!$E$22*('Plan mensual'!D69+IF(parametros_carros!$H$22="Todos",'Plan mensual'!D73,0))+parametros_carros!$F$22*('Plan mensual'!D70+IF(parametros_carros!$H$22="Todos",'Plan mensual'!D74,0))+parametros_carros!$G$22*('Plan mensual'!D71+IF(parametros_carros!$H$22="Todos",'Plan mensual'!D75,0)))/60</f>
        <v>8.764898188</v>
      </c>
      <c r="C125" s="9">
        <f>(parametros_carros!$D$22*('Plan mensual'!E68+IF(parametros_carros!$H$22="Todos",'Plan mensual'!E72,0))+parametros_carros!$E$22*('Plan mensual'!E69+IF(parametros_carros!$H$22="Todos",'Plan mensual'!E73,0))+parametros_carros!$F$22*('Plan mensual'!E70+IF(parametros_carros!$H$22="Todos",'Plan mensual'!E74,0))+parametros_carros!$G$22*('Plan mensual'!E71+IF(parametros_carros!$H$22="Todos",'Plan mensual'!E75,0)))/60</f>
        <v>7.733733696</v>
      </c>
      <c r="D125" s="9">
        <f>(parametros_carros!$D$22*('Plan mensual'!F68+IF(parametros_carros!$H$22="Todos",'Plan mensual'!F72,0))+parametros_carros!$E$22*('Plan mensual'!F69+IF(parametros_carros!$H$22="Todos",'Plan mensual'!F73,0))+parametros_carros!$F$22*('Plan mensual'!F70+IF(parametros_carros!$H$22="Todos",'Plan mensual'!F74,0))+parametros_carros!$G$22*('Plan mensual'!F71+IF(parametros_carros!$H$22="Todos",'Plan mensual'!F75,0)))/60</f>
        <v>9.280480435</v>
      </c>
      <c r="E125" s="9">
        <f>(parametros_carros!$D$22*('Plan mensual'!G68+IF(parametros_carros!$H$22="Todos",'Plan mensual'!G72,0))+parametros_carros!$E$22*('Plan mensual'!G69+IF(parametros_carros!$H$22="Todos",'Plan mensual'!G73,0))+parametros_carros!$F$22*('Plan mensual'!G70+IF(parametros_carros!$H$22="Todos",'Plan mensual'!G74,0))+parametros_carros!$G$22*('Plan mensual'!G71+IF(parametros_carros!$H$22="Todos",'Plan mensual'!G75,0)))/60</f>
        <v>9.280480435</v>
      </c>
      <c r="F125" s="9">
        <f>(parametros_carros!$D$22*('Plan mensual'!H68+IF(parametros_carros!$H$22="Todos",'Plan mensual'!H72,0))+parametros_carros!$E$22*('Plan mensual'!H69+IF(parametros_carros!$H$22="Todos",'Plan mensual'!H73,0))+parametros_carros!$F$22*('Plan mensual'!H70+IF(parametros_carros!$H$22="Todos",'Plan mensual'!H74,0))+parametros_carros!$G$22*('Plan mensual'!H71+IF(parametros_carros!$H$22="Todos",'Plan mensual'!H75,0)))/60</f>
        <v>9.280480435</v>
      </c>
      <c r="G125" s="9">
        <f>(parametros_carros!$D$22*('Plan mensual'!I68+IF(parametros_carros!$H$22="Todos",'Plan mensual'!I72,0))+parametros_carros!$E$22*('Plan mensual'!I69+IF(parametros_carros!$H$22="Todos",'Plan mensual'!I73,0))+parametros_carros!$F$22*('Plan mensual'!I70+IF(parametros_carros!$H$22="Todos",'Plan mensual'!I74,0))+parametros_carros!$G$22*('Plan mensual'!I71+IF(parametros_carros!$H$22="Todos",'Plan mensual'!I75,0)))/60</f>
        <v>8.249315942</v>
      </c>
      <c r="H125" s="9">
        <f>(parametros_carros!$D$22*('Plan mensual'!J68+IF(parametros_carros!$H$22="Todos",'Plan mensual'!J72,0))+parametros_carros!$E$22*('Plan mensual'!J69+IF(parametros_carros!$H$22="Todos",'Plan mensual'!J73,0))+parametros_carros!$F$22*('Plan mensual'!J70+IF(parametros_carros!$H$22="Todos",'Plan mensual'!J74,0))+parametros_carros!$G$22*('Plan mensual'!J71+IF(parametros_carros!$H$22="Todos",'Plan mensual'!J75,0)))/60</f>
        <v>9.280480435</v>
      </c>
      <c r="I125" s="9">
        <f>(parametros_carros!$D$22*('Plan mensual'!K68+IF(parametros_carros!$H$22="Todos",'Plan mensual'!K72,0))+parametros_carros!$E$22*('Plan mensual'!K69+IF(parametros_carros!$H$22="Todos",'Plan mensual'!K73,0))+parametros_carros!$F$22*('Plan mensual'!K70+IF(parametros_carros!$H$22="Todos",'Plan mensual'!K74,0))+parametros_carros!$G$22*('Plan mensual'!K71+IF(parametros_carros!$H$22="Todos",'Plan mensual'!K75,0)))/60</f>
        <v>9.280480435</v>
      </c>
      <c r="J125" s="9">
        <f>(parametros_carros!$D$22*('Plan mensual'!L68+IF(parametros_carros!$H$22="Todos",'Plan mensual'!L72,0))+parametros_carros!$E$22*('Plan mensual'!L69+IF(parametros_carros!$H$22="Todos",'Plan mensual'!L73,0))+parametros_carros!$F$22*('Plan mensual'!L70+IF(parametros_carros!$H$22="Todos",'Plan mensual'!L74,0))+parametros_carros!$G$22*('Plan mensual'!L71+IF(parametros_carros!$H$22="Todos",'Plan mensual'!L75,0)))/60</f>
        <v>8.764898188</v>
      </c>
      <c r="K125" s="9">
        <f>(parametros_carros!$D$22*('Plan mensual'!M68+IF(parametros_carros!$H$22="Todos",'Plan mensual'!M72,0))+parametros_carros!$E$22*('Plan mensual'!M69+IF(parametros_carros!$H$22="Todos",'Plan mensual'!M73,0))+parametros_carros!$F$22*('Plan mensual'!M70+IF(parametros_carros!$H$22="Todos",'Plan mensual'!M74,0))+parametros_carros!$G$22*('Plan mensual'!M71+IF(parametros_carros!$H$22="Todos",'Plan mensual'!M75,0)))/60</f>
        <v>7.733733696</v>
      </c>
      <c r="L125" s="9">
        <f>(parametros_carros!$D$22*('Plan mensual'!N68+IF(parametros_carros!$H$22="Todos",'Plan mensual'!N72,0))+parametros_carros!$E$22*('Plan mensual'!N69+IF(parametros_carros!$H$22="Todos",'Plan mensual'!N73,0))+parametros_carros!$F$22*('Plan mensual'!N70+IF(parametros_carros!$H$22="Todos",'Plan mensual'!N74,0))+parametros_carros!$G$22*('Plan mensual'!N71+IF(parametros_carros!$H$22="Todos",'Plan mensual'!N75,0)))/60</f>
        <v>7.218151449</v>
      </c>
      <c r="M125" s="9">
        <f>(parametros_carros!$D$22*('Plan mensual'!O68+IF(parametros_carros!$H$22="Todos",'Plan mensual'!O72,0))+parametros_carros!$E$22*('Plan mensual'!O69+IF(parametros_carros!$H$22="Todos",'Plan mensual'!O73,0))+parametros_carros!$F$22*('Plan mensual'!O70+IF(parametros_carros!$H$22="Todos",'Plan mensual'!O74,0))+parametros_carros!$G$22*('Plan mensual'!O71+IF(parametros_carros!$H$22="Todos",'Plan mensual'!O75,0)))/60</f>
        <v>8.249315942</v>
      </c>
      <c r="N125" s="9">
        <f t="shared" si="19"/>
        <v>103.1164493</v>
      </c>
      <c r="O125" s="9">
        <f t="shared" si="20"/>
        <v>9.280480435</v>
      </c>
      <c r="P125" s="32">
        <f>IF(parametros_carros!$B$7=0,0,(O125+parametros_carros!$G$48)/parametros_carros!$B$7)</f>
        <v>0.1018698696</v>
      </c>
      <c r="Q125" s="21" t="str">
        <f t="shared" si="21"/>
        <v>Mar</v>
      </c>
    </row>
    <row r="126" ht="14.25" customHeight="1">
      <c r="A126" s="2" t="str">
        <f>parametros_carros!$B$23</f>
        <v>Punteo del cuerpo</v>
      </c>
      <c r="B126" s="9">
        <f>(parametros_carros!$D$23*('Plan mensual'!D68+IF(parametros_carros!$H$23="Todos",'Plan mensual'!D72,0))+parametros_carros!$E$23*('Plan mensual'!D69+IF(parametros_carros!$H$23="Todos",'Plan mensual'!D73,0))+parametros_carros!$F$23*('Plan mensual'!D70+IF(parametros_carros!$H$23="Todos",'Plan mensual'!D74,0))+parametros_carros!$G$23*('Plan mensual'!D71+IF(parametros_carros!$H$23="Todos",'Plan mensual'!D75,0)))/60</f>
        <v>12.99010652</v>
      </c>
      <c r="C126" s="9">
        <f>(parametros_carros!$D$23*('Plan mensual'!E68+IF(parametros_carros!$H$23="Todos",'Plan mensual'!E72,0))+parametros_carros!$E$23*('Plan mensual'!E69+IF(parametros_carros!$H$23="Todos",'Plan mensual'!E73,0))+parametros_carros!$F$23*('Plan mensual'!E70+IF(parametros_carros!$H$23="Todos",'Plan mensual'!E74,0))+parametros_carros!$G$23*('Plan mensual'!E71+IF(parametros_carros!$H$23="Todos",'Plan mensual'!E75,0)))/60</f>
        <v>11.4618587</v>
      </c>
      <c r="D126" s="9">
        <f>(parametros_carros!$D$23*('Plan mensual'!F68+IF(parametros_carros!$H$23="Todos",'Plan mensual'!F72,0))+parametros_carros!$E$23*('Plan mensual'!F69+IF(parametros_carros!$H$23="Todos",'Plan mensual'!F73,0))+parametros_carros!$F$23*('Plan mensual'!F70+IF(parametros_carros!$H$23="Todos",'Plan mensual'!F74,0))+parametros_carros!$G$23*('Plan mensual'!F71+IF(parametros_carros!$H$23="Todos",'Plan mensual'!F75,0)))/60</f>
        <v>13.75423043</v>
      </c>
      <c r="E126" s="9">
        <f>(parametros_carros!$D$23*('Plan mensual'!G68+IF(parametros_carros!$H$23="Todos",'Plan mensual'!G72,0))+parametros_carros!$E$23*('Plan mensual'!G69+IF(parametros_carros!$H$23="Todos",'Plan mensual'!G73,0))+parametros_carros!$F$23*('Plan mensual'!G70+IF(parametros_carros!$H$23="Todos",'Plan mensual'!G74,0))+parametros_carros!$G$23*('Plan mensual'!G71+IF(parametros_carros!$H$23="Todos",'Plan mensual'!G75,0)))/60</f>
        <v>13.75423043</v>
      </c>
      <c r="F126" s="9">
        <f>(parametros_carros!$D$23*('Plan mensual'!H68+IF(parametros_carros!$H$23="Todos",'Plan mensual'!H72,0))+parametros_carros!$E$23*('Plan mensual'!H69+IF(parametros_carros!$H$23="Todos",'Plan mensual'!H73,0))+parametros_carros!$F$23*('Plan mensual'!H70+IF(parametros_carros!$H$23="Todos",'Plan mensual'!H74,0))+parametros_carros!$G$23*('Plan mensual'!H71+IF(parametros_carros!$H$23="Todos",'Plan mensual'!H75,0)))/60</f>
        <v>13.75423043</v>
      </c>
      <c r="G126" s="9">
        <f>(parametros_carros!$D$23*('Plan mensual'!I68+IF(parametros_carros!$H$23="Todos",'Plan mensual'!I72,0))+parametros_carros!$E$23*('Plan mensual'!I69+IF(parametros_carros!$H$23="Todos",'Plan mensual'!I73,0))+parametros_carros!$F$23*('Plan mensual'!I70+IF(parametros_carros!$H$23="Todos",'Plan mensual'!I74,0))+parametros_carros!$G$23*('Plan mensual'!I71+IF(parametros_carros!$H$23="Todos",'Plan mensual'!I75,0)))/60</f>
        <v>12.22598261</v>
      </c>
      <c r="H126" s="9">
        <f>(parametros_carros!$D$23*('Plan mensual'!J68+IF(parametros_carros!$H$23="Todos",'Plan mensual'!J72,0))+parametros_carros!$E$23*('Plan mensual'!J69+IF(parametros_carros!$H$23="Todos",'Plan mensual'!J73,0))+parametros_carros!$F$23*('Plan mensual'!J70+IF(parametros_carros!$H$23="Todos",'Plan mensual'!J74,0))+parametros_carros!$G$23*('Plan mensual'!J71+IF(parametros_carros!$H$23="Todos",'Plan mensual'!J75,0)))/60</f>
        <v>13.75423043</v>
      </c>
      <c r="I126" s="9">
        <f>(parametros_carros!$D$23*('Plan mensual'!K68+IF(parametros_carros!$H$23="Todos",'Plan mensual'!K72,0))+parametros_carros!$E$23*('Plan mensual'!K69+IF(parametros_carros!$H$23="Todos",'Plan mensual'!K73,0))+parametros_carros!$F$23*('Plan mensual'!K70+IF(parametros_carros!$H$23="Todos",'Plan mensual'!K74,0))+parametros_carros!$G$23*('Plan mensual'!K71+IF(parametros_carros!$H$23="Todos",'Plan mensual'!K75,0)))/60</f>
        <v>13.75423043</v>
      </c>
      <c r="J126" s="9">
        <f>(parametros_carros!$D$23*('Plan mensual'!L68+IF(parametros_carros!$H$23="Todos",'Plan mensual'!L72,0))+parametros_carros!$E$23*('Plan mensual'!L69+IF(parametros_carros!$H$23="Todos",'Plan mensual'!L73,0))+parametros_carros!$F$23*('Plan mensual'!L70+IF(parametros_carros!$H$23="Todos",'Plan mensual'!L74,0))+parametros_carros!$G$23*('Plan mensual'!L71+IF(parametros_carros!$H$23="Todos",'Plan mensual'!L75,0)))/60</f>
        <v>12.99010652</v>
      </c>
      <c r="K126" s="9">
        <f>(parametros_carros!$D$23*('Plan mensual'!M68+IF(parametros_carros!$H$23="Todos",'Plan mensual'!M72,0))+parametros_carros!$E$23*('Plan mensual'!M69+IF(parametros_carros!$H$23="Todos",'Plan mensual'!M73,0))+parametros_carros!$F$23*('Plan mensual'!M70+IF(parametros_carros!$H$23="Todos",'Plan mensual'!M74,0))+parametros_carros!$G$23*('Plan mensual'!M71+IF(parametros_carros!$H$23="Todos",'Plan mensual'!M75,0)))/60</f>
        <v>11.4618587</v>
      </c>
      <c r="L126" s="9">
        <f>(parametros_carros!$D$23*('Plan mensual'!N68+IF(parametros_carros!$H$23="Todos",'Plan mensual'!N72,0))+parametros_carros!$E$23*('Plan mensual'!N69+IF(parametros_carros!$H$23="Todos",'Plan mensual'!N73,0))+parametros_carros!$F$23*('Plan mensual'!N70+IF(parametros_carros!$H$23="Todos",'Plan mensual'!N74,0))+parametros_carros!$G$23*('Plan mensual'!N71+IF(parametros_carros!$H$23="Todos",'Plan mensual'!N75,0)))/60</f>
        <v>10.69773478</v>
      </c>
      <c r="M126" s="9">
        <f>(parametros_carros!$D$23*('Plan mensual'!O68+IF(parametros_carros!$H$23="Todos",'Plan mensual'!O72,0))+parametros_carros!$E$23*('Plan mensual'!O69+IF(parametros_carros!$H$23="Todos",'Plan mensual'!O73,0))+parametros_carros!$F$23*('Plan mensual'!O70+IF(parametros_carros!$H$23="Todos",'Plan mensual'!O74,0))+parametros_carros!$G$23*('Plan mensual'!O71+IF(parametros_carros!$H$23="Todos",'Plan mensual'!O75,0)))/60</f>
        <v>12.22598261</v>
      </c>
      <c r="N126" s="9">
        <f t="shared" si="19"/>
        <v>152.8247826</v>
      </c>
      <c r="O126" s="9">
        <f t="shared" si="20"/>
        <v>13.75423043</v>
      </c>
      <c r="P126" s="32">
        <f>IF(parametros_carros!$B$7=0,0,(O126+parametros_carros!$G$49)/parametros_carros!$B$7)</f>
        <v>0.1028059807</v>
      </c>
      <c r="Q126" s="21" t="str">
        <f t="shared" si="21"/>
        <v>Mar</v>
      </c>
    </row>
    <row r="127" ht="14.25" customHeight="1">
      <c r="A127" s="2" t="str">
        <f>parametros_carros!$B$24</f>
        <v>Soldadura longitudinal</v>
      </c>
      <c r="B127" s="9">
        <f>(parametros_carros!$D$24*('Plan mensual'!D68+IF(parametros_carros!$H$24="Todos",'Plan mensual'!D72,0))+parametros_carros!$E$24*('Plan mensual'!D69+IF(parametros_carros!$H$24="Todos",'Plan mensual'!D73,0))+parametros_carros!$F$24*('Plan mensual'!D70+IF(parametros_carros!$H$24="Todos",'Plan mensual'!D74,0))+parametros_carros!$G$24*('Plan mensual'!D71+IF(parametros_carros!$H$24="Todos",'Plan mensual'!D75,0)))/60</f>
        <v>8.930525</v>
      </c>
      <c r="C127" s="9">
        <f>(parametros_carros!$D$24*('Plan mensual'!E68+IF(parametros_carros!$H$24="Todos",'Plan mensual'!E72,0))+parametros_carros!$E$24*('Plan mensual'!E69+IF(parametros_carros!$H$24="Todos",'Plan mensual'!E73,0))+parametros_carros!$F$24*('Plan mensual'!E70+IF(parametros_carros!$H$24="Todos",'Plan mensual'!E74,0))+parametros_carros!$G$24*('Plan mensual'!E71+IF(parametros_carros!$H$24="Todos",'Plan mensual'!E75,0)))/60</f>
        <v>7.879875</v>
      </c>
      <c r="D127" s="9">
        <f>(parametros_carros!$D$24*('Plan mensual'!F68+IF(parametros_carros!$H$24="Todos",'Plan mensual'!F72,0))+parametros_carros!$E$24*('Plan mensual'!F69+IF(parametros_carros!$H$24="Todos",'Plan mensual'!F73,0))+parametros_carros!$F$24*('Plan mensual'!F70+IF(parametros_carros!$H$24="Todos",'Plan mensual'!F74,0))+parametros_carros!$G$24*('Plan mensual'!F71+IF(parametros_carros!$H$24="Todos",'Plan mensual'!F75,0)))/60</f>
        <v>9.45585</v>
      </c>
      <c r="E127" s="9">
        <f>(parametros_carros!$D$24*('Plan mensual'!G68+IF(parametros_carros!$H$24="Todos",'Plan mensual'!G72,0))+parametros_carros!$E$24*('Plan mensual'!G69+IF(parametros_carros!$H$24="Todos",'Plan mensual'!G73,0))+parametros_carros!$F$24*('Plan mensual'!G70+IF(parametros_carros!$H$24="Todos",'Plan mensual'!G74,0))+parametros_carros!$G$24*('Plan mensual'!G71+IF(parametros_carros!$H$24="Todos",'Plan mensual'!G75,0)))/60</f>
        <v>9.45585</v>
      </c>
      <c r="F127" s="9">
        <f>(parametros_carros!$D$24*('Plan mensual'!H68+IF(parametros_carros!$H$24="Todos",'Plan mensual'!H72,0))+parametros_carros!$E$24*('Plan mensual'!H69+IF(parametros_carros!$H$24="Todos",'Plan mensual'!H73,0))+parametros_carros!$F$24*('Plan mensual'!H70+IF(parametros_carros!$H$24="Todos",'Plan mensual'!H74,0))+parametros_carros!$G$24*('Plan mensual'!H71+IF(parametros_carros!$H$24="Todos",'Plan mensual'!H75,0)))/60</f>
        <v>9.45585</v>
      </c>
      <c r="G127" s="9">
        <f>(parametros_carros!$D$24*('Plan mensual'!I68+IF(parametros_carros!$H$24="Todos",'Plan mensual'!I72,0))+parametros_carros!$E$24*('Plan mensual'!I69+IF(parametros_carros!$H$24="Todos",'Plan mensual'!I73,0))+parametros_carros!$F$24*('Plan mensual'!I70+IF(parametros_carros!$H$24="Todos",'Plan mensual'!I74,0))+parametros_carros!$G$24*('Plan mensual'!I71+IF(parametros_carros!$H$24="Todos",'Plan mensual'!I75,0)))/60</f>
        <v>8.4052</v>
      </c>
      <c r="H127" s="9">
        <f>(parametros_carros!$D$24*('Plan mensual'!J68+IF(parametros_carros!$H$24="Todos",'Plan mensual'!J72,0))+parametros_carros!$E$24*('Plan mensual'!J69+IF(parametros_carros!$H$24="Todos",'Plan mensual'!J73,0))+parametros_carros!$F$24*('Plan mensual'!J70+IF(parametros_carros!$H$24="Todos",'Plan mensual'!J74,0))+parametros_carros!$G$24*('Plan mensual'!J71+IF(parametros_carros!$H$24="Todos",'Plan mensual'!J75,0)))/60</f>
        <v>9.45585</v>
      </c>
      <c r="I127" s="9">
        <f>(parametros_carros!$D$24*('Plan mensual'!K68+IF(parametros_carros!$H$24="Todos",'Plan mensual'!K72,0))+parametros_carros!$E$24*('Plan mensual'!K69+IF(parametros_carros!$H$24="Todos",'Plan mensual'!K73,0))+parametros_carros!$F$24*('Plan mensual'!K70+IF(parametros_carros!$H$24="Todos",'Plan mensual'!K74,0))+parametros_carros!$G$24*('Plan mensual'!K71+IF(parametros_carros!$H$24="Todos",'Plan mensual'!K75,0)))/60</f>
        <v>9.45585</v>
      </c>
      <c r="J127" s="9">
        <f>(parametros_carros!$D$24*('Plan mensual'!L68+IF(parametros_carros!$H$24="Todos",'Plan mensual'!L72,0))+parametros_carros!$E$24*('Plan mensual'!L69+IF(parametros_carros!$H$24="Todos",'Plan mensual'!L73,0))+parametros_carros!$F$24*('Plan mensual'!L70+IF(parametros_carros!$H$24="Todos",'Plan mensual'!L74,0))+parametros_carros!$G$24*('Plan mensual'!L71+IF(parametros_carros!$H$24="Todos",'Plan mensual'!L75,0)))/60</f>
        <v>8.930525</v>
      </c>
      <c r="K127" s="9">
        <f>(parametros_carros!$D$24*('Plan mensual'!M68+IF(parametros_carros!$H$24="Todos",'Plan mensual'!M72,0))+parametros_carros!$E$24*('Plan mensual'!M69+IF(parametros_carros!$H$24="Todos",'Plan mensual'!M73,0))+parametros_carros!$F$24*('Plan mensual'!M70+IF(parametros_carros!$H$24="Todos",'Plan mensual'!M74,0))+parametros_carros!$G$24*('Plan mensual'!M71+IF(parametros_carros!$H$24="Todos",'Plan mensual'!M75,0)))/60</f>
        <v>7.879875</v>
      </c>
      <c r="L127" s="9">
        <f>(parametros_carros!$D$24*('Plan mensual'!N68+IF(parametros_carros!$H$24="Todos",'Plan mensual'!N72,0))+parametros_carros!$E$24*('Plan mensual'!N69+IF(parametros_carros!$H$24="Todos",'Plan mensual'!N73,0))+parametros_carros!$F$24*('Plan mensual'!N70+IF(parametros_carros!$H$24="Todos",'Plan mensual'!N74,0))+parametros_carros!$G$24*('Plan mensual'!N71+IF(parametros_carros!$H$24="Todos",'Plan mensual'!N75,0)))/60</f>
        <v>7.35455</v>
      </c>
      <c r="M127" s="9">
        <f>(parametros_carros!$D$24*('Plan mensual'!O68+IF(parametros_carros!$H$24="Todos",'Plan mensual'!O72,0))+parametros_carros!$E$24*('Plan mensual'!O69+IF(parametros_carros!$H$24="Todos",'Plan mensual'!O73,0))+parametros_carros!$F$24*('Plan mensual'!O70+IF(parametros_carros!$H$24="Todos",'Plan mensual'!O74,0))+parametros_carros!$G$24*('Plan mensual'!O71+IF(parametros_carros!$H$24="Todos",'Plan mensual'!O75,0)))/60</f>
        <v>8.4052</v>
      </c>
      <c r="N127" s="9">
        <f t="shared" si="19"/>
        <v>105.065</v>
      </c>
      <c r="O127" s="9">
        <f t="shared" si="20"/>
        <v>9.45585</v>
      </c>
      <c r="P127" s="32">
        <f>IF(parametros_carros!$B$7=0,0,(O127+parametros_carros!$G$50)/parametros_carros!$B$7)</f>
        <v>0.08081677778</v>
      </c>
      <c r="Q127" s="21" t="str">
        <f t="shared" si="21"/>
        <v>Mar</v>
      </c>
    </row>
    <row r="128" ht="14.25" customHeight="1">
      <c r="A128" s="2" t="str">
        <f>parametros_carros!$B$25</f>
        <v>Soldadura de cupla en la cúpula</v>
      </c>
      <c r="B128" s="9">
        <f>(parametros_carros!$D$25*('Plan mensual'!D68+IF(parametros_carros!$H$25="Todos",'Plan mensual'!D72,0))+parametros_carros!$E$25*('Plan mensual'!D69+IF(parametros_carros!$H$25="Todos",'Plan mensual'!D73,0))+parametros_carros!$F$25*('Plan mensual'!D70+IF(parametros_carros!$H$25="Todos",'Plan mensual'!D74,0))+parametros_carros!$G$25*('Plan mensual'!D71+IF(parametros_carros!$H$25="Todos",'Plan mensual'!D75,0)))/60</f>
        <v>8.824133333</v>
      </c>
      <c r="C128" s="9">
        <f>(parametros_carros!$D$25*('Plan mensual'!E68+IF(parametros_carros!$H$25="Todos",'Plan mensual'!E72,0))+parametros_carros!$E$25*('Plan mensual'!E69+IF(parametros_carros!$H$25="Todos",'Plan mensual'!E73,0))+parametros_carros!$F$25*('Plan mensual'!E70+IF(parametros_carros!$H$25="Todos",'Plan mensual'!E74,0))+parametros_carros!$G$25*('Plan mensual'!E71+IF(parametros_carros!$H$25="Todos",'Plan mensual'!E75,0)))/60</f>
        <v>7.786</v>
      </c>
      <c r="D128" s="9">
        <f>(parametros_carros!$D$25*('Plan mensual'!F68+IF(parametros_carros!$H$25="Todos",'Plan mensual'!F72,0))+parametros_carros!$E$25*('Plan mensual'!F69+IF(parametros_carros!$H$25="Todos",'Plan mensual'!F73,0))+parametros_carros!$F$25*('Plan mensual'!F70+IF(parametros_carros!$H$25="Todos",'Plan mensual'!F74,0))+parametros_carros!$G$25*('Plan mensual'!F71+IF(parametros_carros!$H$25="Todos",'Plan mensual'!F75,0)))/60</f>
        <v>9.3432</v>
      </c>
      <c r="E128" s="9">
        <f>(parametros_carros!$D$25*('Plan mensual'!G68+IF(parametros_carros!$H$25="Todos",'Plan mensual'!G72,0))+parametros_carros!$E$25*('Plan mensual'!G69+IF(parametros_carros!$H$25="Todos",'Plan mensual'!G73,0))+parametros_carros!$F$25*('Plan mensual'!G70+IF(parametros_carros!$H$25="Todos",'Plan mensual'!G74,0))+parametros_carros!$G$25*('Plan mensual'!G71+IF(parametros_carros!$H$25="Todos",'Plan mensual'!G75,0)))/60</f>
        <v>9.3432</v>
      </c>
      <c r="F128" s="9">
        <f>(parametros_carros!$D$25*('Plan mensual'!H68+IF(parametros_carros!$H$25="Todos",'Plan mensual'!H72,0))+parametros_carros!$E$25*('Plan mensual'!H69+IF(parametros_carros!$H$25="Todos",'Plan mensual'!H73,0))+parametros_carros!$F$25*('Plan mensual'!H70+IF(parametros_carros!$H$25="Todos",'Plan mensual'!H74,0))+parametros_carros!$G$25*('Plan mensual'!H71+IF(parametros_carros!$H$25="Todos",'Plan mensual'!H75,0)))/60</f>
        <v>9.3432</v>
      </c>
      <c r="G128" s="9">
        <f>(parametros_carros!$D$25*('Plan mensual'!I68+IF(parametros_carros!$H$25="Todos",'Plan mensual'!I72,0))+parametros_carros!$E$25*('Plan mensual'!I69+IF(parametros_carros!$H$25="Todos",'Plan mensual'!I73,0))+parametros_carros!$F$25*('Plan mensual'!I70+IF(parametros_carros!$H$25="Todos",'Plan mensual'!I74,0))+parametros_carros!$G$25*('Plan mensual'!I71+IF(parametros_carros!$H$25="Todos",'Plan mensual'!I75,0)))/60</f>
        <v>8.305066667</v>
      </c>
      <c r="H128" s="9">
        <f>(parametros_carros!$D$25*('Plan mensual'!J68+IF(parametros_carros!$H$25="Todos",'Plan mensual'!J72,0))+parametros_carros!$E$25*('Plan mensual'!J69+IF(parametros_carros!$H$25="Todos",'Plan mensual'!J73,0))+parametros_carros!$F$25*('Plan mensual'!J70+IF(parametros_carros!$H$25="Todos",'Plan mensual'!J74,0))+parametros_carros!$G$25*('Plan mensual'!J71+IF(parametros_carros!$H$25="Todos",'Plan mensual'!J75,0)))/60</f>
        <v>9.3432</v>
      </c>
      <c r="I128" s="9">
        <f>(parametros_carros!$D$25*('Plan mensual'!K68+IF(parametros_carros!$H$25="Todos",'Plan mensual'!K72,0))+parametros_carros!$E$25*('Plan mensual'!K69+IF(parametros_carros!$H$25="Todos",'Plan mensual'!K73,0))+parametros_carros!$F$25*('Plan mensual'!K70+IF(parametros_carros!$H$25="Todos",'Plan mensual'!K74,0))+parametros_carros!$G$25*('Plan mensual'!K71+IF(parametros_carros!$H$25="Todos",'Plan mensual'!K75,0)))/60</f>
        <v>9.3432</v>
      </c>
      <c r="J128" s="9">
        <f>(parametros_carros!$D$25*('Plan mensual'!L68+IF(parametros_carros!$H$25="Todos",'Plan mensual'!L72,0))+parametros_carros!$E$25*('Plan mensual'!L69+IF(parametros_carros!$H$25="Todos",'Plan mensual'!L73,0))+parametros_carros!$F$25*('Plan mensual'!L70+IF(parametros_carros!$H$25="Todos",'Plan mensual'!L74,0))+parametros_carros!$G$25*('Plan mensual'!L71+IF(parametros_carros!$H$25="Todos",'Plan mensual'!L75,0)))/60</f>
        <v>8.824133333</v>
      </c>
      <c r="K128" s="9">
        <f>(parametros_carros!$D$25*('Plan mensual'!M68+IF(parametros_carros!$H$25="Todos",'Plan mensual'!M72,0))+parametros_carros!$E$25*('Plan mensual'!M69+IF(parametros_carros!$H$25="Todos",'Plan mensual'!M73,0))+parametros_carros!$F$25*('Plan mensual'!M70+IF(parametros_carros!$H$25="Todos",'Plan mensual'!M74,0))+parametros_carros!$G$25*('Plan mensual'!M71+IF(parametros_carros!$H$25="Todos",'Plan mensual'!M75,0)))/60</f>
        <v>7.786</v>
      </c>
      <c r="L128" s="9">
        <f>(parametros_carros!$D$25*('Plan mensual'!N68+IF(parametros_carros!$H$25="Todos",'Plan mensual'!N72,0))+parametros_carros!$E$25*('Plan mensual'!N69+IF(parametros_carros!$H$25="Todos",'Plan mensual'!N73,0))+parametros_carros!$F$25*('Plan mensual'!N70+IF(parametros_carros!$H$25="Todos",'Plan mensual'!N74,0))+parametros_carros!$G$25*('Plan mensual'!N71+IF(parametros_carros!$H$25="Todos",'Plan mensual'!N75,0)))/60</f>
        <v>7.266933333</v>
      </c>
      <c r="M128" s="9">
        <f>(parametros_carros!$D$25*('Plan mensual'!O68+IF(parametros_carros!$H$25="Todos",'Plan mensual'!O72,0))+parametros_carros!$E$25*('Plan mensual'!O69+IF(parametros_carros!$H$25="Todos",'Plan mensual'!O73,0))+parametros_carros!$F$25*('Plan mensual'!O70+IF(parametros_carros!$H$25="Todos",'Plan mensual'!O74,0))+parametros_carros!$G$25*('Plan mensual'!O71+IF(parametros_carros!$H$25="Todos",'Plan mensual'!O75,0)))/60</f>
        <v>8.305066667</v>
      </c>
      <c r="N128" s="9">
        <f t="shared" si="19"/>
        <v>103.8133333</v>
      </c>
      <c r="O128" s="9">
        <f t="shared" si="20"/>
        <v>9.3432</v>
      </c>
      <c r="P128" s="32">
        <f>IF(parametros_carros!$B$7=0,0,(O128+parametros_carros!$G$51)/parametros_carros!$B$7)</f>
        <v>0.082288</v>
      </c>
      <c r="Q128" s="21" t="str">
        <f t="shared" si="21"/>
        <v>Mar</v>
      </c>
    </row>
    <row r="129" ht="14.25" customHeight="1">
      <c r="A129" s="2" t="str">
        <f>parametros_carros!$B$26</f>
        <v>Armado y soldadura circunferencial</v>
      </c>
      <c r="B129" s="9">
        <f>(parametros_carros!$D$26*('Plan mensual'!D68+IF(parametros_carros!$H$26="Todos",'Plan mensual'!D72,0))+parametros_carros!$E$26*('Plan mensual'!D69+IF(parametros_carros!$H$26="Todos",'Plan mensual'!D73,0))+parametros_carros!$F$26*('Plan mensual'!D70+IF(parametros_carros!$H$26="Todos",'Plan mensual'!D74,0))+parametros_carros!$G$26*('Plan mensual'!D71+IF(parametros_carros!$H$26="Todos",'Plan mensual'!D75,0)))/60</f>
        <v>41.7299</v>
      </c>
      <c r="C129" s="9">
        <f>(parametros_carros!$D$26*('Plan mensual'!E68+IF(parametros_carros!$H$26="Todos",'Plan mensual'!E72,0))+parametros_carros!$E$26*('Plan mensual'!E69+IF(parametros_carros!$H$26="Todos",'Plan mensual'!E73,0))+parametros_carros!$F$26*('Plan mensual'!E70+IF(parametros_carros!$H$26="Todos",'Plan mensual'!E74,0))+parametros_carros!$G$26*('Plan mensual'!E71+IF(parametros_carros!$H$26="Todos",'Plan mensual'!E75,0)))/60</f>
        <v>36.8205</v>
      </c>
      <c r="D129" s="9">
        <f>(parametros_carros!$D$26*('Plan mensual'!F68+IF(parametros_carros!$H$26="Todos",'Plan mensual'!F72,0))+parametros_carros!$E$26*('Plan mensual'!F69+IF(parametros_carros!$H$26="Todos",'Plan mensual'!F73,0))+parametros_carros!$F$26*('Plan mensual'!F70+IF(parametros_carros!$H$26="Todos",'Plan mensual'!F74,0))+parametros_carros!$G$26*('Plan mensual'!F71+IF(parametros_carros!$H$26="Todos",'Plan mensual'!F75,0)))/60</f>
        <v>44.1846</v>
      </c>
      <c r="E129" s="9">
        <f>(parametros_carros!$D$26*('Plan mensual'!G68+IF(parametros_carros!$H$26="Todos",'Plan mensual'!G72,0))+parametros_carros!$E$26*('Plan mensual'!G69+IF(parametros_carros!$H$26="Todos",'Plan mensual'!G73,0))+parametros_carros!$F$26*('Plan mensual'!G70+IF(parametros_carros!$H$26="Todos",'Plan mensual'!G74,0))+parametros_carros!$G$26*('Plan mensual'!G71+IF(parametros_carros!$H$26="Todos",'Plan mensual'!G75,0)))/60</f>
        <v>44.1846</v>
      </c>
      <c r="F129" s="9">
        <f>(parametros_carros!$D$26*('Plan mensual'!H68+IF(parametros_carros!$H$26="Todos",'Plan mensual'!H72,0))+parametros_carros!$E$26*('Plan mensual'!H69+IF(parametros_carros!$H$26="Todos",'Plan mensual'!H73,0))+parametros_carros!$F$26*('Plan mensual'!H70+IF(parametros_carros!$H$26="Todos",'Plan mensual'!H74,0))+parametros_carros!$G$26*('Plan mensual'!H71+IF(parametros_carros!$H$26="Todos",'Plan mensual'!H75,0)))/60</f>
        <v>44.1846</v>
      </c>
      <c r="G129" s="9">
        <f>(parametros_carros!$D$26*('Plan mensual'!I68+IF(parametros_carros!$H$26="Todos",'Plan mensual'!I72,0))+parametros_carros!$E$26*('Plan mensual'!I69+IF(parametros_carros!$H$26="Todos",'Plan mensual'!I73,0))+parametros_carros!$F$26*('Plan mensual'!I70+IF(parametros_carros!$H$26="Todos",'Plan mensual'!I74,0))+parametros_carros!$G$26*('Plan mensual'!I71+IF(parametros_carros!$H$26="Todos",'Plan mensual'!I75,0)))/60</f>
        <v>39.2752</v>
      </c>
      <c r="H129" s="9">
        <f>(parametros_carros!$D$26*('Plan mensual'!J68+IF(parametros_carros!$H$26="Todos",'Plan mensual'!J72,0))+parametros_carros!$E$26*('Plan mensual'!J69+IF(parametros_carros!$H$26="Todos",'Plan mensual'!J73,0))+parametros_carros!$F$26*('Plan mensual'!J70+IF(parametros_carros!$H$26="Todos",'Plan mensual'!J74,0))+parametros_carros!$G$26*('Plan mensual'!J71+IF(parametros_carros!$H$26="Todos",'Plan mensual'!J75,0)))/60</f>
        <v>44.1846</v>
      </c>
      <c r="I129" s="9">
        <f>(parametros_carros!$D$26*('Plan mensual'!K68+IF(parametros_carros!$H$26="Todos",'Plan mensual'!K72,0))+parametros_carros!$E$26*('Plan mensual'!K69+IF(parametros_carros!$H$26="Todos",'Plan mensual'!K73,0))+parametros_carros!$F$26*('Plan mensual'!K70+IF(parametros_carros!$H$26="Todos",'Plan mensual'!K74,0))+parametros_carros!$G$26*('Plan mensual'!K71+IF(parametros_carros!$H$26="Todos",'Plan mensual'!K75,0)))/60</f>
        <v>44.1846</v>
      </c>
      <c r="J129" s="9">
        <f>(parametros_carros!$D$26*('Plan mensual'!L68+IF(parametros_carros!$H$26="Todos",'Plan mensual'!L72,0))+parametros_carros!$E$26*('Plan mensual'!L69+IF(parametros_carros!$H$26="Todos",'Plan mensual'!L73,0))+parametros_carros!$F$26*('Plan mensual'!L70+IF(parametros_carros!$H$26="Todos",'Plan mensual'!L74,0))+parametros_carros!$G$26*('Plan mensual'!L71+IF(parametros_carros!$H$26="Todos",'Plan mensual'!L75,0)))/60</f>
        <v>41.7299</v>
      </c>
      <c r="K129" s="9">
        <f>(parametros_carros!$D$26*('Plan mensual'!M68+IF(parametros_carros!$H$26="Todos",'Plan mensual'!M72,0))+parametros_carros!$E$26*('Plan mensual'!M69+IF(parametros_carros!$H$26="Todos",'Plan mensual'!M73,0))+parametros_carros!$F$26*('Plan mensual'!M70+IF(parametros_carros!$H$26="Todos",'Plan mensual'!M74,0))+parametros_carros!$G$26*('Plan mensual'!M71+IF(parametros_carros!$H$26="Todos",'Plan mensual'!M75,0)))/60</f>
        <v>36.8205</v>
      </c>
      <c r="L129" s="9">
        <f>(parametros_carros!$D$26*('Plan mensual'!N68+IF(parametros_carros!$H$26="Todos",'Plan mensual'!N72,0))+parametros_carros!$E$26*('Plan mensual'!N69+IF(parametros_carros!$H$26="Todos",'Plan mensual'!N73,0))+parametros_carros!$F$26*('Plan mensual'!N70+IF(parametros_carros!$H$26="Todos",'Plan mensual'!N74,0))+parametros_carros!$G$26*('Plan mensual'!N71+IF(parametros_carros!$H$26="Todos",'Plan mensual'!N75,0)))/60</f>
        <v>34.3658</v>
      </c>
      <c r="M129" s="9">
        <f>(parametros_carros!$D$26*('Plan mensual'!O68+IF(parametros_carros!$H$26="Todos",'Plan mensual'!O72,0))+parametros_carros!$E$26*('Plan mensual'!O69+IF(parametros_carros!$H$26="Todos",'Plan mensual'!O73,0))+parametros_carros!$F$26*('Plan mensual'!O70+IF(parametros_carros!$H$26="Todos",'Plan mensual'!O74,0))+parametros_carros!$G$26*('Plan mensual'!O71+IF(parametros_carros!$H$26="Todos",'Plan mensual'!O75,0)))/60</f>
        <v>39.2752</v>
      </c>
      <c r="N129" s="9">
        <f t="shared" si="19"/>
        <v>490.94</v>
      </c>
      <c r="O129" s="9">
        <f t="shared" si="20"/>
        <v>44.1846</v>
      </c>
      <c r="P129" s="32">
        <f>IF(parametros_carros!$B$7=0,0,(O129+parametros_carros!$G$52)/parametros_carros!$B$7)</f>
        <v>0.314564</v>
      </c>
      <c r="Q129" s="21" t="str">
        <f t="shared" si="21"/>
        <v>Mar</v>
      </c>
    </row>
    <row r="130" ht="14.25" customHeight="1">
      <c r="A130" s="2" t="str">
        <f>parametros_carros!$B$27</f>
        <v>Soldadura de accesorios</v>
      </c>
      <c r="B130" s="9">
        <f>(parametros_carros!$D$27*('Plan mensual'!D68+IF(parametros_carros!$H$27="Todos",'Plan mensual'!D72,0))+parametros_carros!$E$27*('Plan mensual'!D69+IF(parametros_carros!$H$27="Todos",'Plan mensual'!D73,0))+parametros_carros!$F$27*('Plan mensual'!D70+IF(parametros_carros!$H$27="Todos",'Plan mensual'!D74,0))+parametros_carros!$G$27*('Plan mensual'!D71+IF(parametros_carros!$H$27="Todos",'Plan mensual'!D75,0)))/60</f>
        <v>42.52096667</v>
      </c>
      <c r="C130" s="9">
        <f>(parametros_carros!$D$27*('Plan mensual'!E68+IF(parametros_carros!$H$27="Todos",'Plan mensual'!E72,0))+parametros_carros!$E$27*('Plan mensual'!E69+IF(parametros_carros!$H$27="Todos",'Plan mensual'!E73,0))+parametros_carros!$F$27*('Plan mensual'!E70+IF(parametros_carros!$H$27="Todos",'Plan mensual'!E74,0))+parametros_carros!$G$27*('Plan mensual'!E71+IF(parametros_carros!$H$27="Todos",'Plan mensual'!E75,0)))/60</f>
        <v>37.5185</v>
      </c>
      <c r="D130" s="9">
        <f>(parametros_carros!$D$27*('Plan mensual'!F68+IF(parametros_carros!$H$27="Todos",'Plan mensual'!F72,0))+parametros_carros!$E$27*('Plan mensual'!F69+IF(parametros_carros!$H$27="Todos",'Plan mensual'!F73,0))+parametros_carros!$F$27*('Plan mensual'!F70+IF(parametros_carros!$H$27="Todos",'Plan mensual'!F74,0))+parametros_carros!$G$27*('Plan mensual'!F71+IF(parametros_carros!$H$27="Todos",'Plan mensual'!F75,0)))/60</f>
        <v>45.0222</v>
      </c>
      <c r="E130" s="9">
        <f>(parametros_carros!$D$27*('Plan mensual'!G68+IF(parametros_carros!$H$27="Todos",'Plan mensual'!G72,0))+parametros_carros!$E$27*('Plan mensual'!G69+IF(parametros_carros!$H$27="Todos",'Plan mensual'!G73,0))+parametros_carros!$F$27*('Plan mensual'!G70+IF(parametros_carros!$H$27="Todos",'Plan mensual'!G74,0))+parametros_carros!$G$27*('Plan mensual'!G71+IF(parametros_carros!$H$27="Todos",'Plan mensual'!G75,0)))/60</f>
        <v>45.0222</v>
      </c>
      <c r="F130" s="9">
        <f>(parametros_carros!$D$27*('Plan mensual'!H68+IF(parametros_carros!$H$27="Todos",'Plan mensual'!H72,0))+parametros_carros!$E$27*('Plan mensual'!H69+IF(parametros_carros!$H$27="Todos",'Plan mensual'!H73,0))+parametros_carros!$F$27*('Plan mensual'!H70+IF(parametros_carros!$H$27="Todos",'Plan mensual'!H74,0))+parametros_carros!$G$27*('Plan mensual'!H71+IF(parametros_carros!$H$27="Todos",'Plan mensual'!H75,0)))/60</f>
        <v>45.0222</v>
      </c>
      <c r="G130" s="9">
        <f>(parametros_carros!$D$27*('Plan mensual'!I68+IF(parametros_carros!$H$27="Todos",'Plan mensual'!I72,0))+parametros_carros!$E$27*('Plan mensual'!I69+IF(parametros_carros!$H$27="Todos",'Plan mensual'!I73,0))+parametros_carros!$F$27*('Plan mensual'!I70+IF(parametros_carros!$H$27="Todos",'Plan mensual'!I74,0))+parametros_carros!$G$27*('Plan mensual'!I71+IF(parametros_carros!$H$27="Todos",'Plan mensual'!I75,0)))/60</f>
        <v>40.01973333</v>
      </c>
      <c r="H130" s="9">
        <f>(parametros_carros!$D$27*('Plan mensual'!J68+IF(parametros_carros!$H$27="Todos",'Plan mensual'!J72,0))+parametros_carros!$E$27*('Plan mensual'!J69+IF(parametros_carros!$H$27="Todos",'Plan mensual'!J73,0))+parametros_carros!$F$27*('Plan mensual'!J70+IF(parametros_carros!$H$27="Todos",'Plan mensual'!J74,0))+parametros_carros!$G$27*('Plan mensual'!J71+IF(parametros_carros!$H$27="Todos",'Plan mensual'!J75,0)))/60</f>
        <v>45.0222</v>
      </c>
      <c r="I130" s="9">
        <f>(parametros_carros!$D$27*('Plan mensual'!K68+IF(parametros_carros!$H$27="Todos",'Plan mensual'!K72,0))+parametros_carros!$E$27*('Plan mensual'!K69+IF(parametros_carros!$H$27="Todos",'Plan mensual'!K73,0))+parametros_carros!$F$27*('Plan mensual'!K70+IF(parametros_carros!$H$27="Todos",'Plan mensual'!K74,0))+parametros_carros!$G$27*('Plan mensual'!K71+IF(parametros_carros!$H$27="Todos",'Plan mensual'!K75,0)))/60</f>
        <v>45.0222</v>
      </c>
      <c r="J130" s="9">
        <f>(parametros_carros!$D$27*('Plan mensual'!L68+IF(parametros_carros!$H$27="Todos",'Plan mensual'!L72,0))+parametros_carros!$E$27*('Plan mensual'!L69+IF(parametros_carros!$H$27="Todos",'Plan mensual'!L73,0))+parametros_carros!$F$27*('Plan mensual'!L70+IF(parametros_carros!$H$27="Todos",'Plan mensual'!L74,0))+parametros_carros!$G$27*('Plan mensual'!L71+IF(parametros_carros!$H$27="Todos",'Plan mensual'!L75,0)))/60</f>
        <v>42.52096667</v>
      </c>
      <c r="K130" s="9">
        <f>(parametros_carros!$D$27*('Plan mensual'!M68+IF(parametros_carros!$H$27="Todos",'Plan mensual'!M72,0))+parametros_carros!$E$27*('Plan mensual'!M69+IF(parametros_carros!$H$27="Todos",'Plan mensual'!M73,0))+parametros_carros!$F$27*('Plan mensual'!M70+IF(parametros_carros!$H$27="Todos",'Plan mensual'!M74,0))+parametros_carros!$G$27*('Plan mensual'!M71+IF(parametros_carros!$H$27="Todos",'Plan mensual'!M75,0)))/60</f>
        <v>37.5185</v>
      </c>
      <c r="L130" s="9">
        <f>(parametros_carros!$D$27*('Plan mensual'!N68+IF(parametros_carros!$H$27="Todos",'Plan mensual'!N72,0))+parametros_carros!$E$27*('Plan mensual'!N69+IF(parametros_carros!$H$27="Todos",'Plan mensual'!N73,0))+parametros_carros!$F$27*('Plan mensual'!N70+IF(parametros_carros!$H$27="Todos",'Plan mensual'!N74,0))+parametros_carros!$G$27*('Plan mensual'!N71+IF(parametros_carros!$H$27="Todos",'Plan mensual'!N75,0)))/60</f>
        <v>35.01726667</v>
      </c>
      <c r="M130" s="9">
        <f>(parametros_carros!$D$27*('Plan mensual'!O68+IF(parametros_carros!$H$27="Todos",'Plan mensual'!O72,0))+parametros_carros!$E$27*('Plan mensual'!O69+IF(parametros_carros!$H$27="Todos",'Plan mensual'!O73,0))+parametros_carros!$F$27*('Plan mensual'!O70+IF(parametros_carros!$H$27="Todos",'Plan mensual'!O74,0))+parametros_carros!$G$27*('Plan mensual'!O71+IF(parametros_carros!$H$27="Todos",'Plan mensual'!O75,0)))/60</f>
        <v>40.01973333</v>
      </c>
      <c r="N130" s="9">
        <f t="shared" si="19"/>
        <v>500.2466667</v>
      </c>
      <c r="O130" s="9">
        <f t="shared" si="20"/>
        <v>45.0222</v>
      </c>
      <c r="P130" s="32">
        <f>IF(parametros_carros!$B$7=0,0,(O130+parametros_carros!$G$53)/parametros_carros!$B$7)</f>
        <v>0.320148</v>
      </c>
      <c r="Q130" s="21" t="str">
        <f t="shared" si="21"/>
        <v>Mar</v>
      </c>
    </row>
    <row r="131" ht="14.25" customHeight="1">
      <c r="A131" s="2" t="str">
        <f>parametros_carros!$B$28</f>
        <v>Fabricación de accesorios</v>
      </c>
      <c r="B131" s="9">
        <f>(parametros_carros!$D$28*('Plan mensual'!D68+IF(parametros_carros!$H$28="Todos",'Plan mensual'!D72,0))+parametros_carros!$E$28*('Plan mensual'!D69+IF(parametros_carros!$H$28="Todos",'Plan mensual'!D73,0))+parametros_carros!$F$28*('Plan mensual'!D70+IF(parametros_carros!$H$28="Todos",'Plan mensual'!D74,0))+parametros_carros!$G$28*('Plan mensual'!D71+IF(parametros_carros!$H$28="Todos",'Plan mensual'!D75,0)))/60</f>
        <v>28.8915</v>
      </c>
      <c r="C131" s="9">
        <f>(parametros_carros!$D$28*('Plan mensual'!E68+IF(parametros_carros!$H$28="Todos",'Plan mensual'!E72,0))+parametros_carros!$E$28*('Plan mensual'!E69+IF(parametros_carros!$H$28="Todos",'Plan mensual'!E73,0))+parametros_carros!$F$28*('Plan mensual'!E70+IF(parametros_carros!$H$28="Todos",'Plan mensual'!E74,0))+parametros_carros!$G$28*('Plan mensual'!E71+IF(parametros_carros!$H$28="Todos",'Plan mensual'!E75,0)))/60</f>
        <v>25.4925</v>
      </c>
      <c r="D131" s="9">
        <f>(parametros_carros!$D$28*('Plan mensual'!F68+IF(parametros_carros!$H$28="Todos",'Plan mensual'!F72,0))+parametros_carros!$E$28*('Plan mensual'!F69+IF(parametros_carros!$H$28="Todos",'Plan mensual'!F73,0))+parametros_carros!$F$28*('Plan mensual'!F70+IF(parametros_carros!$H$28="Todos",'Plan mensual'!F74,0))+parametros_carros!$G$28*('Plan mensual'!F71+IF(parametros_carros!$H$28="Todos",'Plan mensual'!F75,0)))/60</f>
        <v>30.591</v>
      </c>
      <c r="E131" s="9">
        <f>(parametros_carros!$D$28*('Plan mensual'!G68+IF(parametros_carros!$H$28="Todos",'Plan mensual'!G72,0))+parametros_carros!$E$28*('Plan mensual'!G69+IF(parametros_carros!$H$28="Todos",'Plan mensual'!G73,0))+parametros_carros!$F$28*('Plan mensual'!G70+IF(parametros_carros!$H$28="Todos",'Plan mensual'!G74,0))+parametros_carros!$G$28*('Plan mensual'!G71+IF(parametros_carros!$H$28="Todos",'Plan mensual'!G75,0)))/60</f>
        <v>30.591</v>
      </c>
      <c r="F131" s="9">
        <f>(parametros_carros!$D$28*('Plan mensual'!H68+IF(parametros_carros!$H$28="Todos",'Plan mensual'!H72,0))+parametros_carros!$E$28*('Plan mensual'!H69+IF(parametros_carros!$H$28="Todos",'Plan mensual'!H73,0))+parametros_carros!$F$28*('Plan mensual'!H70+IF(parametros_carros!$H$28="Todos",'Plan mensual'!H74,0))+parametros_carros!$G$28*('Plan mensual'!H71+IF(parametros_carros!$H$28="Todos",'Plan mensual'!H75,0)))/60</f>
        <v>30.591</v>
      </c>
      <c r="G131" s="9">
        <f>(parametros_carros!$D$28*('Plan mensual'!I68+IF(parametros_carros!$H$28="Todos",'Plan mensual'!I72,0))+parametros_carros!$E$28*('Plan mensual'!I69+IF(parametros_carros!$H$28="Todos",'Plan mensual'!I73,0))+parametros_carros!$F$28*('Plan mensual'!I70+IF(parametros_carros!$H$28="Todos",'Plan mensual'!I74,0))+parametros_carros!$G$28*('Plan mensual'!I71+IF(parametros_carros!$H$28="Todos",'Plan mensual'!I75,0)))/60</f>
        <v>27.192</v>
      </c>
      <c r="H131" s="9">
        <f>(parametros_carros!$D$28*('Plan mensual'!J68+IF(parametros_carros!$H$28="Todos",'Plan mensual'!J72,0))+parametros_carros!$E$28*('Plan mensual'!J69+IF(parametros_carros!$H$28="Todos",'Plan mensual'!J73,0))+parametros_carros!$F$28*('Plan mensual'!J70+IF(parametros_carros!$H$28="Todos",'Plan mensual'!J74,0))+parametros_carros!$G$28*('Plan mensual'!J71+IF(parametros_carros!$H$28="Todos",'Plan mensual'!J75,0)))/60</f>
        <v>30.591</v>
      </c>
      <c r="I131" s="9">
        <f>(parametros_carros!$D$28*('Plan mensual'!K68+IF(parametros_carros!$H$28="Todos",'Plan mensual'!K72,0))+parametros_carros!$E$28*('Plan mensual'!K69+IF(parametros_carros!$H$28="Todos",'Plan mensual'!K73,0))+parametros_carros!$F$28*('Plan mensual'!K70+IF(parametros_carros!$H$28="Todos",'Plan mensual'!K74,0))+parametros_carros!$G$28*('Plan mensual'!K71+IF(parametros_carros!$H$28="Todos",'Plan mensual'!K75,0)))/60</f>
        <v>30.591</v>
      </c>
      <c r="J131" s="9">
        <f>(parametros_carros!$D$28*('Plan mensual'!L68+IF(parametros_carros!$H$28="Todos",'Plan mensual'!L72,0))+parametros_carros!$E$28*('Plan mensual'!L69+IF(parametros_carros!$H$28="Todos",'Plan mensual'!L73,0))+parametros_carros!$F$28*('Plan mensual'!L70+IF(parametros_carros!$H$28="Todos",'Plan mensual'!L74,0))+parametros_carros!$G$28*('Plan mensual'!L71+IF(parametros_carros!$H$28="Todos",'Plan mensual'!L75,0)))/60</f>
        <v>28.8915</v>
      </c>
      <c r="K131" s="9">
        <f>(parametros_carros!$D$28*('Plan mensual'!M68+IF(parametros_carros!$H$28="Todos",'Plan mensual'!M72,0))+parametros_carros!$E$28*('Plan mensual'!M69+IF(parametros_carros!$H$28="Todos",'Plan mensual'!M73,0))+parametros_carros!$F$28*('Plan mensual'!M70+IF(parametros_carros!$H$28="Todos",'Plan mensual'!M74,0))+parametros_carros!$G$28*('Plan mensual'!M71+IF(parametros_carros!$H$28="Todos",'Plan mensual'!M75,0)))/60</f>
        <v>25.4925</v>
      </c>
      <c r="L131" s="9">
        <f>(parametros_carros!$D$28*('Plan mensual'!N68+IF(parametros_carros!$H$28="Todos",'Plan mensual'!N72,0))+parametros_carros!$E$28*('Plan mensual'!N69+IF(parametros_carros!$H$28="Todos",'Plan mensual'!N73,0))+parametros_carros!$F$28*('Plan mensual'!N70+IF(parametros_carros!$H$28="Todos",'Plan mensual'!N74,0))+parametros_carros!$G$28*('Plan mensual'!N71+IF(parametros_carros!$H$28="Todos",'Plan mensual'!N75,0)))/60</f>
        <v>23.793</v>
      </c>
      <c r="M131" s="9">
        <f>(parametros_carros!$D$28*('Plan mensual'!O68+IF(parametros_carros!$H$28="Todos",'Plan mensual'!O72,0))+parametros_carros!$E$28*('Plan mensual'!O69+IF(parametros_carros!$H$28="Todos",'Plan mensual'!O73,0))+parametros_carros!$F$28*('Plan mensual'!O70+IF(parametros_carros!$H$28="Todos",'Plan mensual'!O74,0))+parametros_carros!$G$28*('Plan mensual'!O71+IF(parametros_carros!$H$28="Todos",'Plan mensual'!O75,0)))/60</f>
        <v>27.192</v>
      </c>
      <c r="N131" s="9">
        <f t="shared" si="19"/>
        <v>339.9</v>
      </c>
      <c r="O131" s="9">
        <f t="shared" si="20"/>
        <v>30.591</v>
      </c>
      <c r="P131" s="32">
        <f>IF(parametros_carros!$B$7=0,0,(O131+parametros_carros!$G$54)/parametros_carros!$B$7)</f>
        <v>0.2372733333</v>
      </c>
      <c r="Q131" s="21" t="str">
        <f t="shared" si="21"/>
        <v>Mar</v>
      </c>
    </row>
    <row r="132" ht="14.25" customHeight="1">
      <c r="A132" s="2" t="str">
        <f>parametros_carros!$B$29</f>
        <v>Prueba hidráulica</v>
      </c>
      <c r="B132" s="9">
        <f>(parametros_carros!$D$29*('Plan mensual'!D68+IF(parametros_carros!$H$29="Todos",'Plan mensual'!D72,0))+parametros_carros!$E$29*('Plan mensual'!D69+IF(parametros_carros!$H$29="Todos",'Plan mensual'!D73,0))+parametros_carros!$F$29*('Plan mensual'!D70+IF(parametros_carros!$H$29="Todos",'Plan mensual'!D74,0))+parametros_carros!$G$29*('Plan mensual'!D71+IF(parametros_carros!$H$29="Todos",'Plan mensual'!D75,0)))/60</f>
        <v>23.58540333</v>
      </c>
      <c r="C132" s="9">
        <f>(parametros_carros!$D$29*('Plan mensual'!E68+IF(parametros_carros!$H$29="Todos",'Plan mensual'!E72,0))+parametros_carros!$E$29*('Plan mensual'!E69+IF(parametros_carros!$H$29="Todos",'Plan mensual'!E73,0))+parametros_carros!$F$29*('Plan mensual'!E70+IF(parametros_carros!$H$29="Todos",'Plan mensual'!E74,0))+parametros_carros!$G$29*('Plan mensual'!E71+IF(parametros_carros!$H$29="Todos",'Plan mensual'!E75,0)))/60</f>
        <v>20.81065</v>
      </c>
      <c r="D132" s="9">
        <f>(parametros_carros!$D$29*('Plan mensual'!F68+IF(parametros_carros!$H$29="Todos",'Plan mensual'!F72,0))+parametros_carros!$E$29*('Plan mensual'!F69+IF(parametros_carros!$H$29="Todos",'Plan mensual'!F73,0))+parametros_carros!$F$29*('Plan mensual'!F70+IF(parametros_carros!$H$29="Todos",'Plan mensual'!F74,0))+parametros_carros!$G$29*('Plan mensual'!F71+IF(parametros_carros!$H$29="Todos",'Plan mensual'!F75,0)))/60</f>
        <v>24.97278</v>
      </c>
      <c r="E132" s="9">
        <f>(parametros_carros!$D$29*('Plan mensual'!G68+IF(parametros_carros!$H$29="Todos",'Plan mensual'!G72,0))+parametros_carros!$E$29*('Plan mensual'!G69+IF(parametros_carros!$H$29="Todos",'Plan mensual'!G73,0))+parametros_carros!$F$29*('Plan mensual'!G70+IF(parametros_carros!$H$29="Todos",'Plan mensual'!G74,0))+parametros_carros!$G$29*('Plan mensual'!G71+IF(parametros_carros!$H$29="Todos",'Plan mensual'!G75,0)))/60</f>
        <v>24.97278</v>
      </c>
      <c r="F132" s="9">
        <f>(parametros_carros!$D$29*('Plan mensual'!H68+IF(parametros_carros!$H$29="Todos",'Plan mensual'!H72,0))+parametros_carros!$E$29*('Plan mensual'!H69+IF(parametros_carros!$H$29="Todos",'Plan mensual'!H73,0))+parametros_carros!$F$29*('Plan mensual'!H70+IF(parametros_carros!$H$29="Todos",'Plan mensual'!H74,0))+parametros_carros!$G$29*('Plan mensual'!H71+IF(parametros_carros!$H$29="Todos",'Plan mensual'!H75,0)))/60</f>
        <v>24.97278</v>
      </c>
      <c r="G132" s="9">
        <f>(parametros_carros!$D$29*('Plan mensual'!I68+IF(parametros_carros!$H$29="Todos",'Plan mensual'!I72,0))+parametros_carros!$E$29*('Plan mensual'!I69+IF(parametros_carros!$H$29="Todos",'Plan mensual'!I73,0))+parametros_carros!$F$29*('Plan mensual'!I70+IF(parametros_carros!$H$29="Todos",'Plan mensual'!I74,0))+parametros_carros!$G$29*('Plan mensual'!I71+IF(parametros_carros!$H$29="Todos",'Plan mensual'!I75,0)))/60</f>
        <v>22.19802667</v>
      </c>
      <c r="H132" s="9">
        <f>(parametros_carros!$D$29*('Plan mensual'!J68+IF(parametros_carros!$H$29="Todos",'Plan mensual'!J72,0))+parametros_carros!$E$29*('Plan mensual'!J69+IF(parametros_carros!$H$29="Todos",'Plan mensual'!J73,0))+parametros_carros!$F$29*('Plan mensual'!J70+IF(parametros_carros!$H$29="Todos",'Plan mensual'!J74,0))+parametros_carros!$G$29*('Plan mensual'!J71+IF(parametros_carros!$H$29="Todos",'Plan mensual'!J75,0)))/60</f>
        <v>24.97278</v>
      </c>
      <c r="I132" s="9">
        <f>(parametros_carros!$D$29*('Plan mensual'!K68+IF(parametros_carros!$H$29="Todos",'Plan mensual'!K72,0))+parametros_carros!$E$29*('Plan mensual'!K69+IF(parametros_carros!$H$29="Todos",'Plan mensual'!K73,0))+parametros_carros!$F$29*('Plan mensual'!K70+IF(parametros_carros!$H$29="Todos",'Plan mensual'!K74,0))+parametros_carros!$G$29*('Plan mensual'!K71+IF(parametros_carros!$H$29="Todos",'Plan mensual'!K75,0)))/60</f>
        <v>24.97278</v>
      </c>
      <c r="J132" s="9">
        <f>(parametros_carros!$D$29*('Plan mensual'!L68+IF(parametros_carros!$H$29="Todos",'Plan mensual'!L72,0))+parametros_carros!$E$29*('Plan mensual'!L69+IF(parametros_carros!$H$29="Todos",'Plan mensual'!L73,0))+parametros_carros!$F$29*('Plan mensual'!L70+IF(parametros_carros!$H$29="Todos",'Plan mensual'!L74,0))+parametros_carros!$G$29*('Plan mensual'!L71+IF(parametros_carros!$H$29="Todos",'Plan mensual'!L75,0)))/60</f>
        <v>23.58540333</v>
      </c>
      <c r="K132" s="9">
        <f>(parametros_carros!$D$29*('Plan mensual'!M68+IF(parametros_carros!$H$29="Todos",'Plan mensual'!M72,0))+parametros_carros!$E$29*('Plan mensual'!M69+IF(parametros_carros!$H$29="Todos",'Plan mensual'!M73,0))+parametros_carros!$F$29*('Plan mensual'!M70+IF(parametros_carros!$H$29="Todos",'Plan mensual'!M74,0))+parametros_carros!$G$29*('Plan mensual'!M71+IF(parametros_carros!$H$29="Todos",'Plan mensual'!M75,0)))/60</f>
        <v>20.81065</v>
      </c>
      <c r="L132" s="9">
        <f>(parametros_carros!$D$29*('Plan mensual'!N68+IF(parametros_carros!$H$29="Todos",'Plan mensual'!N72,0))+parametros_carros!$E$29*('Plan mensual'!N69+IF(parametros_carros!$H$29="Todos",'Plan mensual'!N73,0))+parametros_carros!$F$29*('Plan mensual'!N70+IF(parametros_carros!$H$29="Todos",'Plan mensual'!N74,0))+parametros_carros!$G$29*('Plan mensual'!N71+IF(parametros_carros!$H$29="Todos",'Plan mensual'!N75,0)))/60</f>
        <v>19.42327333</v>
      </c>
      <c r="M132" s="9">
        <f>(parametros_carros!$D$29*('Plan mensual'!O68+IF(parametros_carros!$H$29="Todos",'Plan mensual'!O72,0))+parametros_carros!$E$29*('Plan mensual'!O69+IF(parametros_carros!$H$29="Todos",'Plan mensual'!O73,0))+parametros_carros!$F$29*('Plan mensual'!O70+IF(parametros_carros!$H$29="Todos",'Plan mensual'!O74,0))+parametros_carros!$G$29*('Plan mensual'!O71+IF(parametros_carros!$H$29="Todos",'Plan mensual'!O75,0)))/60</f>
        <v>22.19802667</v>
      </c>
      <c r="N132" s="9">
        <f t="shared" si="19"/>
        <v>277.4753333</v>
      </c>
      <c r="O132" s="9">
        <f t="shared" si="20"/>
        <v>24.97278</v>
      </c>
      <c r="P132" s="32">
        <f>IF(parametros_carros!$B$7=0,0,(O132+parametros_carros!$G$55)/parametros_carros!$B$7)</f>
        <v>0.1887074222</v>
      </c>
      <c r="Q132" s="21" t="str">
        <f t="shared" si="21"/>
        <v>Mar</v>
      </c>
    </row>
    <row r="133" ht="14.25" customHeight="1">
      <c r="A133" s="2" t="str">
        <f>parametros_carros!$B$30</f>
        <v>Secado</v>
      </c>
      <c r="B133" s="9">
        <f>(parametros_carros!$D$30*('Plan mensual'!D68+IF(parametros_carros!$H$30="Todos",'Plan mensual'!D72,0))+parametros_carros!$E$30*('Plan mensual'!D69+IF(parametros_carros!$H$30="Todos",'Plan mensual'!D73,0))+parametros_carros!$F$30*('Plan mensual'!D70+IF(parametros_carros!$H$30="Todos",'Plan mensual'!D74,0))+parametros_carros!$G$30*('Plan mensual'!D71+IF(parametros_carros!$H$30="Todos",'Plan mensual'!D75,0)))/60</f>
        <v>26.41516667</v>
      </c>
      <c r="C133" s="9">
        <f>(parametros_carros!$D$30*('Plan mensual'!E68+IF(parametros_carros!$H$30="Todos",'Plan mensual'!E72,0))+parametros_carros!$E$30*('Plan mensual'!E69+IF(parametros_carros!$H$30="Todos",'Plan mensual'!E73,0))+parametros_carros!$F$30*('Plan mensual'!E70+IF(parametros_carros!$H$30="Todos",'Plan mensual'!E74,0))+parametros_carros!$G$30*('Plan mensual'!E71+IF(parametros_carros!$H$30="Todos",'Plan mensual'!E75,0)))/60</f>
        <v>23.3075</v>
      </c>
      <c r="D133" s="9">
        <f>(parametros_carros!$D$30*('Plan mensual'!F68+IF(parametros_carros!$H$30="Todos",'Plan mensual'!F72,0))+parametros_carros!$E$30*('Plan mensual'!F69+IF(parametros_carros!$H$30="Todos",'Plan mensual'!F73,0))+parametros_carros!$F$30*('Plan mensual'!F70+IF(parametros_carros!$H$30="Todos",'Plan mensual'!F74,0))+parametros_carros!$G$30*('Plan mensual'!F71+IF(parametros_carros!$H$30="Todos",'Plan mensual'!F75,0)))/60</f>
        <v>27.969</v>
      </c>
      <c r="E133" s="9">
        <f>(parametros_carros!$D$30*('Plan mensual'!G68+IF(parametros_carros!$H$30="Todos",'Plan mensual'!G72,0))+parametros_carros!$E$30*('Plan mensual'!G69+IF(parametros_carros!$H$30="Todos",'Plan mensual'!G73,0))+parametros_carros!$F$30*('Plan mensual'!G70+IF(parametros_carros!$H$30="Todos",'Plan mensual'!G74,0))+parametros_carros!$G$30*('Plan mensual'!G71+IF(parametros_carros!$H$30="Todos",'Plan mensual'!G75,0)))/60</f>
        <v>27.969</v>
      </c>
      <c r="F133" s="9">
        <f>(parametros_carros!$D$30*('Plan mensual'!H68+IF(parametros_carros!$H$30="Todos",'Plan mensual'!H72,0))+parametros_carros!$E$30*('Plan mensual'!H69+IF(parametros_carros!$H$30="Todos",'Plan mensual'!H73,0))+parametros_carros!$F$30*('Plan mensual'!H70+IF(parametros_carros!$H$30="Todos",'Plan mensual'!H74,0))+parametros_carros!$G$30*('Plan mensual'!H71+IF(parametros_carros!$H$30="Todos",'Plan mensual'!H75,0)))/60</f>
        <v>27.969</v>
      </c>
      <c r="G133" s="9">
        <f>(parametros_carros!$D$30*('Plan mensual'!I68+IF(parametros_carros!$H$30="Todos",'Plan mensual'!I72,0))+parametros_carros!$E$30*('Plan mensual'!I69+IF(parametros_carros!$H$30="Todos",'Plan mensual'!I73,0))+parametros_carros!$F$30*('Plan mensual'!I70+IF(parametros_carros!$H$30="Todos",'Plan mensual'!I74,0))+parametros_carros!$G$30*('Plan mensual'!I71+IF(parametros_carros!$H$30="Todos",'Plan mensual'!I75,0)))/60</f>
        <v>24.86133333</v>
      </c>
      <c r="H133" s="9">
        <f>(parametros_carros!$D$30*('Plan mensual'!J68+IF(parametros_carros!$H$30="Todos",'Plan mensual'!J72,0))+parametros_carros!$E$30*('Plan mensual'!J69+IF(parametros_carros!$H$30="Todos",'Plan mensual'!J73,0))+parametros_carros!$F$30*('Plan mensual'!J70+IF(parametros_carros!$H$30="Todos",'Plan mensual'!J74,0))+parametros_carros!$G$30*('Plan mensual'!J71+IF(parametros_carros!$H$30="Todos",'Plan mensual'!J75,0)))/60</f>
        <v>27.969</v>
      </c>
      <c r="I133" s="9">
        <f>(parametros_carros!$D$30*('Plan mensual'!K68+IF(parametros_carros!$H$30="Todos",'Plan mensual'!K72,0))+parametros_carros!$E$30*('Plan mensual'!K69+IF(parametros_carros!$H$30="Todos",'Plan mensual'!K73,0))+parametros_carros!$F$30*('Plan mensual'!K70+IF(parametros_carros!$H$30="Todos",'Plan mensual'!K74,0))+parametros_carros!$G$30*('Plan mensual'!K71+IF(parametros_carros!$H$30="Todos",'Plan mensual'!K75,0)))/60</f>
        <v>27.969</v>
      </c>
      <c r="J133" s="9">
        <f>(parametros_carros!$D$30*('Plan mensual'!L68+IF(parametros_carros!$H$30="Todos",'Plan mensual'!L72,0))+parametros_carros!$E$30*('Plan mensual'!L69+IF(parametros_carros!$H$30="Todos",'Plan mensual'!L73,0))+parametros_carros!$F$30*('Plan mensual'!L70+IF(parametros_carros!$H$30="Todos",'Plan mensual'!L74,0))+parametros_carros!$G$30*('Plan mensual'!L71+IF(parametros_carros!$H$30="Todos",'Plan mensual'!L75,0)))/60</f>
        <v>26.41516667</v>
      </c>
      <c r="K133" s="9">
        <f>(parametros_carros!$D$30*('Plan mensual'!M68+IF(parametros_carros!$H$30="Todos",'Plan mensual'!M72,0))+parametros_carros!$E$30*('Plan mensual'!M69+IF(parametros_carros!$H$30="Todos",'Plan mensual'!M73,0))+parametros_carros!$F$30*('Plan mensual'!M70+IF(parametros_carros!$H$30="Todos",'Plan mensual'!M74,0))+parametros_carros!$G$30*('Plan mensual'!M71+IF(parametros_carros!$H$30="Todos",'Plan mensual'!M75,0)))/60</f>
        <v>23.3075</v>
      </c>
      <c r="L133" s="9">
        <f>(parametros_carros!$D$30*('Plan mensual'!N68+IF(parametros_carros!$H$30="Todos",'Plan mensual'!N72,0))+parametros_carros!$E$30*('Plan mensual'!N69+IF(parametros_carros!$H$30="Todos",'Plan mensual'!N73,0))+parametros_carros!$F$30*('Plan mensual'!N70+IF(parametros_carros!$H$30="Todos",'Plan mensual'!N74,0))+parametros_carros!$G$30*('Plan mensual'!N71+IF(parametros_carros!$H$30="Todos",'Plan mensual'!N75,0)))/60</f>
        <v>21.75366667</v>
      </c>
      <c r="M133" s="9">
        <f>(parametros_carros!$D$30*('Plan mensual'!O68+IF(parametros_carros!$H$30="Todos",'Plan mensual'!O72,0))+parametros_carros!$E$30*('Plan mensual'!O69+IF(parametros_carros!$H$30="Todos",'Plan mensual'!O73,0))+parametros_carros!$F$30*('Plan mensual'!O70+IF(parametros_carros!$H$30="Todos",'Plan mensual'!O74,0))+parametros_carros!$G$30*('Plan mensual'!O71+IF(parametros_carros!$H$30="Todos",'Plan mensual'!O75,0)))/60</f>
        <v>24.86133333</v>
      </c>
      <c r="N133" s="9">
        <f t="shared" si="19"/>
        <v>310.7666667</v>
      </c>
      <c r="O133" s="9">
        <f t="shared" si="20"/>
        <v>27.969</v>
      </c>
      <c r="P133" s="32">
        <f>IF(parametros_carros!$B$7=0,0,(O133+parametros_carros!$G$56)/parametros_carros!$B$7)</f>
        <v>0.18646</v>
      </c>
      <c r="Q133" s="21" t="str">
        <f t="shared" si="21"/>
        <v>Mar</v>
      </c>
    </row>
    <row r="134" ht="14.25" customHeight="1">
      <c r="A134" s="2" t="str">
        <f>parametros_carros!$B$31</f>
        <v>Pulmón de despacho y carga a pintura</v>
      </c>
      <c r="B134" s="9">
        <f>(parametros_carros!$D$31*('Plan mensual'!D68+IF(parametros_carros!$H$31="Todos",'Plan mensual'!D72,0))+parametros_carros!$E$31*('Plan mensual'!D69+IF(parametros_carros!$H$31="Todos",'Plan mensual'!D73,0))+parametros_carros!$F$31*('Plan mensual'!D70+IF(parametros_carros!$H$31="Todos",'Plan mensual'!D74,0))+parametros_carros!$G$31*('Plan mensual'!D71+IF(parametros_carros!$H$31="Todos",'Plan mensual'!D75,0)))/60</f>
        <v>4.20155</v>
      </c>
      <c r="C134" s="9">
        <f>(parametros_carros!$D$31*('Plan mensual'!E68+IF(parametros_carros!$H$31="Todos",'Plan mensual'!E72,0))+parametros_carros!$E$31*('Plan mensual'!E69+IF(parametros_carros!$H$31="Todos",'Plan mensual'!E73,0))+parametros_carros!$F$31*('Plan mensual'!E70+IF(parametros_carros!$H$31="Todos",'Plan mensual'!E74,0))+parametros_carros!$G$31*('Plan mensual'!E71+IF(parametros_carros!$H$31="Todos",'Plan mensual'!E75,0)))/60</f>
        <v>3.70725</v>
      </c>
      <c r="D134" s="9">
        <f>(parametros_carros!$D$31*('Plan mensual'!F68+IF(parametros_carros!$H$31="Todos",'Plan mensual'!F72,0))+parametros_carros!$E$31*('Plan mensual'!F69+IF(parametros_carros!$H$31="Todos",'Plan mensual'!F73,0))+parametros_carros!$F$31*('Plan mensual'!F70+IF(parametros_carros!$H$31="Todos",'Plan mensual'!F74,0))+parametros_carros!$G$31*('Plan mensual'!F71+IF(parametros_carros!$H$31="Todos",'Plan mensual'!F75,0)))/60</f>
        <v>4.4487</v>
      </c>
      <c r="E134" s="9">
        <f>(parametros_carros!$D$31*('Plan mensual'!G68+IF(parametros_carros!$H$31="Todos",'Plan mensual'!G72,0))+parametros_carros!$E$31*('Plan mensual'!G69+IF(parametros_carros!$H$31="Todos",'Plan mensual'!G73,0))+parametros_carros!$F$31*('Plan mensual'!G70+IF(parametros_carros!$H$31="Todos",'Plan mensual'!G74,0))+parametros_carros!$G$31*('Plan mensual'!G71+IF(parametros_carros!$H$31="Todos",'Plan mensual'!G75,0)))/60</f>
        <v>4.4487</v>
      </c>
      <c r="F134" s="9">
        <f>(parametros_carros!$D$31*('Plan mensual'!H68+IF(parametros_carros!$H$31="Todos",'Plan mensual'!H72,0))+parametros_carros!$E$31*('Plan mensual'!H69+IF(parametros_carros!$H$31="Todos",'Plan mensual'!H73,0))+parametros_carros!$F$31*('Plan mensual'!H70+IF(parametros_carros!$H$31="Todos",'Plan mensual'!H74,0))+parametros_carros!$G$31*('Plan mensual'!H71+IF(parametros_carros!$H$31="Todos",'Plan mensual'!H75,0)))/60</f>
        <v>4.4487</v>
      </c>
      <c r="G134" s="9">
        <f>(parametros_carros!$D$31*('Plan mensual'!I68+IF(parametros_carros!$H$31="Todos",'Plan mensual'!I72,0))+parametros_carros!$E$31*('Plan mensual'!I69+IF(parametros_carros!$H$31="Todos",'Plan mensual'!I73,0))+parametros_carros!$F$31*('Plan mensual'!I70+IF(parametros_carros!$H$31="Todos",'Plan mensual'!I74,0))+parametros_carros!$G$31*('Plan mensual'!I71+IF(parametros_carros!$H$31="Todos",'Plan mensual'!I75,0)))/60</f>
        <v>3.9544</v>
      </c>
      <c r="H134" s="9">
        <f>(parametros_carros!$D$31*('Plan mensual'!J68+IF(parametros_carros!$H$31="Todos",'Plan mensual'!J72,0))+parametros_carros!$E$31*('Plan mensual'!J69+IF(parametros_carros!$H$31="Todos",'Plan mensual'!J73,0))+parametros_carros!$F$31*('Plan mensual'!J70+IF(parametros_carros!$H$31="Todos",'Plan mensual'!J74,0))+parametros_carros!$G$31*('Plan mensual'!J71+IF(parametros_carros!$H$31="Todos",'Plan mensual'!J75,0)))/60</f>
        <v>4.4487</v>
      </c>
      <c r="I134" s="9">
        <f>(parametros_carros!$D$31*('Plan mensual'!K68+IF(parametros_carros!$H$31="Todos",'Plan mensual'!K72,0))+parametros_carros!$E$31*('Plan mensual'!K69+IF(parametros_carros!$H$31="Todos",'Plan mensual'!K73,0))+parametros_carros!$F$31*('Plan mensual'!K70+IF(parametros_carros!$H$31="Todos",'Plan mensual'!K74,0))+parametros_carros!$G$31*('Plan mensual'!K71+IF(parametros_carros!$H$31="Todos",'Plan mensual'!K75,0)))/60</f>
        <v>4.4487</v>
      </c>
      <c r="J134" s="9">
        <f>(parametros_carros!$D$31*('Plan mensual'!L68+IF(parametros_carros!$H$31="Todos",'Plan mensual'!L72,0))+parametros_carros!$E$31*('Plan mensual'!L69+IF(parametros_carros!$H$31="Todos",'Plan mensual'!L73,0))+parametros_carros!$F$31*('Plan mensual'!L70+IF(parametros_carros!$H$31="Todos",'Plan mensual'!L74,0))+parametros_carros!$G$31*('Plan mensual'!L71+IF(parametros_carros!$H$31="Todos",'Plan mensual'!L75,0)))/60</f>
        <v>4.20155</v>
      </c>
      <c r="K134" s="9">
        <f>(parametros_carros!$D$31*('Plan mensual'!M68+IF(parametros_carros!$H$31="Todos",'Plan mensual'!M72,0))+parametros_carros!$E$31*('Plan mensual'!M69+IF(parametros_carros!$H$31="Todos",'Plan mensual'!M73,0))+parametros_carros!$F$31*('Plan mensual'!M70+IF(parametros_carros!$H$31="Todos",'Plan mensual'!M74,0))+parametros_carros!$G$31*('Plan mensual'!M71+IF(parametros_carros!$H$31="Todos",'Plan mensual'!M75,0)))/60</f>
        <v>3.70725</v>
      </c>
      <c r="L134" s="9">
        <f>(parametros_carros!$D$31*('Plan mensual'!N68+IF(parametros_carros!$H$31="Todos",'Plan mensual'!N72,0))+parametros_carros!$E$31*('Plan mensual'!N69+IF(parametros_carros!$H$31="Todos",'Plan mensual'!N73,0))+parametros_carros!$F$31*('Plan mensual'!N70+IF(parametros_carros!$H$31="Todos",'Plan mensual'!N74,0))+parametros_carros!$G$31*('Plan mensual'!N71+IF(parametros_carros!$H$31="Todos",'Plan mensual'!N75,0)))/60</f>
        <v>3.4601</v>
      </c>
      <c r="M134" s="9">
        <f>(parametros_carros!$D$31*('Plan mensual'!O68+IF(parametros_carros!$H$31="Todos",'Plan mensual'!O72,0))+parametros_carros!$E$31*('Plan mensual'!O69+IF(parametros_carros!$H$31="Todos",'Plan mensual'!O73,0))+parametros_carros!$F$31*('Plan mensual'!O70+IF(parametros_carros!$H$31="Todos",'Plan mensual'!O74,0))+parametros_carros!$G$31*('Plan mensual'!O71+IF(parametros_carros!$H$31="Todos",'Plan mensual'!O75,0)))/60</f>
        <v>3.9544</v>
      </c>
      <c r="N134" s="9">
        <f t="shared" si="19"/>
        <v>49.43</v>
      </c>
      <c r="O134" s="9">
        <f t="shared" si="20"/>
        <v>4.4487</v>
      </c>
      <c r="P134" s="32">
        <f>IF(parametros_carros!$B$7=0,0,(O134+parametros_carros!$G$57)/parametros_carros!$B$7)</f>
        <v>0.03854688889</v>
      </c>
      <c r="Q134" s="21" t="str">
        <f t="shared" si="21"/>
        <v>Mar</v>
      </c>
    </row>
    <row r="135" ht="14.25" customHeight="1">
      <c r="A135" s="2" t="str">
        <f>parametros_carros!$B$32</f>
        <v>Recepción de pintados y cambio de juego</v>
      </c>
      <c r="B135" s="9">
        <f>(parametros_carros!$D$32*('Plan mensual'!D68+IF(parametros_carros!$H$32="Todos",'Plan mensual'!D72,0))+parametros_carros!$E$32*('Plan mensual'!D69+IF(parametros_carros!$H$32="Todos",'Plan mensual'!D73,0))+parametros_carros!$F$32*('Plan mensual'!D70+IF(parametros_carros!$H$32="Todos",'Plan mensual'!D74,0))+parametros_carros!$G$32*('Plan mensual'!D71+IF(parametros_carros!$H$32="Todos",'Plan mensual'!D75,0)))/60</f>
        <v>8.219925</v>
      </c>
      <c r="C135" s="9">
        <f>(parametros_carros!$D$32*('Plan mensual'!E68+IF(parametros_carros!$H$32="Todos",'Plan mensual'!E72,0))+parametros_carros!$E$32*('Plan mensual'!E69+IF(parametros_carros!$H$32="Todos",'Plan mensual'!E73,0))+parametros_carros!$F$32*('Plan mensual'!E70+IF(parametros_carros!$H$32="Todos",'Plan mensual'!E74,0))+parametros_carros!$G$32*('Plan mensual'!E71+IF(parametros_carros!$H$32="Todos",'Plan mensual'!E75,0)))/60</f>
        <v>7.252875</v>
      </c>
      <c r="D135" s="9">
        <f>(parametros_carros!$D$32*('Plan mensual'!F68+IF(parametros_carros!$H$32="Todos",'Plan mensual'!F72,0))+parametros_carros!$E$32*('Plan mensual'!F69+IF(parametros_carros!$H$32="Todos",'Plan mensual'!F73,0))+parametros_carros!$F$32*('Plan mensual'!F70+IF(parametros_carros!$H$32="Todos",'Plan mensual'!F74,0))+parametros_carros!$G$32*('Plan mensual'!F71+IF(parametros_carros!$H$32="Todos",'Plan mensual'!F75,0)))/60</f>
        <v>8.70345</v>
      </c>
      <c r="E135" s="9">
        <f>(parametros_carros!$D$32*('Plan mensual'!G68+IF(parametros_carros!$H$32="Todos",'Plan mensual'!G72,0))+parametros_carros!$E$32*('Plan mensual'!G69+IF(parametros_carros!$H$32="Todos",'Plan mensual'!G73,0))+parametros_carros!$F$32*('Plan mensual'!G70+IF(parametros_carros!$H$32="Todos",'Plan mensual'!G74,0))+parametros_carros!$G$32*('Plan mensual'!G71+IF(parametros_carros!$H$32="Todos",'Plan mensual'!G75,0)))/60</f>
        <v>8.70345</v>
      </c>
      <c r="F135" s="9">
        <f>(parametros_carros!$D$32*('Plan mensual'!H68+IF(parametros_carros!$H$32="Todos",'Plan mensual'!H72,0))+parametros_carros!$E$32*('Plan mensual'!H69+IF(parametros_carros!$H$32="Todos",'Plan mensual'!H73,0))+parametros_carros!$F$32*('Plan mensual'!H70+IF(parametros_carros!$H$32="Todos",'Plan mensual'!H74,0))+parametros_carros!$G$32*('Plan mensual'!H71+IF(parametros_carros!$H$32="Todos",'Plan mensual'!H75,0)))/60</f>
        <v>8.70345</v>
      </c>
      <c r="G135" s="9">
        <f>(parametros_carros!$D$32*('Plan mensual'!I68+IF(parametros_carros!$H$32="Todos",'Plan mensual'!I72,0))+parametros_carros!$E$32*('Plan mensual'!I69+IF(parametros_carros!$H$32="Todos",'Plan mensual'!I73,0))+parametros_carros!$F$32*('Plan mensual'!I70+IF(parametros_carros!$H$32="Todos",'Plan mensual'!I74,0))+parametros_carros!$G$32*('Plan mensual'!I71+IF(parametros_carros!$H$32="Todos",'Plan mensual'!I75,0)))/60</f>
        <v>7.7364</v>
      </c>
      <c r="H135" s="9">
        <f>(parametros_carros!$D$32*('Plan mensual'!J68+IF(parametros_carros!$H$32="Todos",'Plan mensual'!J72,0))+parametros_carros!$E$32*('Plan mensual'!J69+IF(parametros_carros!$H$32="Todos",'Plan mensual'!J73,0))+parametros_carros!$F$32*('Plan mensual'!J70+IF(parametros_carros!$H$32="Todos",'Plan mensual'!J74,0))+parametros_carros!$G$32*('Plan mensual'!J71+IF(parametros_carros!$H$32="Todos",'Plan mensual'!J75,0)))/60</f>
        <v>8.70345</v>
      </c>
      <c r="I135" s="9">
        <f>(parametros_carros!$D$32*('Plan mensual'!K68+IF(parametros_carros!$H$32="Todos",'Plan mensual'!K72,0))+parametros_carros!$E$32*('Plan mensual'!K69+IF(parametros_carros!$H$32="Todos",'Plan mensual'!K73,0))+parametros_carros!$F$32*('Plan mensual'!K70+IF(parametros_carros!$H$32="Todos",'Plan mensual'!K74,0))+parametros_carros!$G$32*('Plan mensual'!K71+IF(parametros_carros!$H$32="Todos",'Plan mensual'!K75,0)))/60</f>
        <v>8.70345</v>
      </c>
      <c r="J135" s="9">
        <f>(parametros_carros!$D$32*('Plan mensual'!L68+IF(parametros_carros!$H$32="Todos",'Plan mensual'!L72,0))+parametros_carros!$E$32*('Plan mensual'!L69+IF(parametros_carros!$H$32="Todos",'Plan mensual'!L73,0))+parametros_carros!$F$32*('Plan mensual'!L70+IF(parametros_carros!$H$32="Todos",'Plan mensual'!L74,0))+parametros_carros!$G$32*('Plan mensual'!L71+IF(parametros_carros!$H$32="Todos",'Plan mensual'!L75,0)))/60</f>
        <v>8.219925</v>
      </c>
      <c r="K135" s="9">
        <f>(parametros_carros!$D$32*('Plan mensual'!M68+IF(parametros_carros!$H$32="Todos",'Plan mensual'!M72,0))+parametros_carros!$E$32*('Plan mensual'!M69+IF(parametros_carros!$H$32="Todos",'Plan mensual'!M73,0))+parametros_carros!$F$32*('Plan mensual'!M70+IF(parametros_carros!$H$32="Todos",'Plan mensual'!M74,0))+parametros_carros!$G$32*('Plan mensual'!M71+IF(parametros_carros!$H$32="Todos",'Plan mensual'!M75,0)))/60</f>
        <v>7.252875</v>
      </c>
      <c r="L135" s="9">
        <f>(parametros_carros!$D$32*('Plan mensual'!N68+IF(parametros_carros!$H$32="Todos",'Plan mensual'!N72,0))+parametros_carros!$E$32*('Plan mensual'!N69+IF(parametros_carros!$H$32="Todos",'Plan mensual'!N73,0))+parametros_carros!$F$32*('Plan mensual'!N70+IF(parametros_carros!$H$32="Todos",'Plan mensual'!N74,0))+parametros_carros!$G$32*('Plan mensual'!N71+IF(parametros_carros!$H$32="Todos",'Plan mensual'!N75,0)))/60</f>
        <v>6.76935</v>
      </c>
      <c r="M135" s="9">
        <f>(parametros_carros!$D$32*('Plan mensual'!O68+IF(parametros_carros!$H$32="Todos",'Plan mensual'!O72,0))+parametros_carros!$E$32*('Plan mensual'!O69+IF(parametros_carros!$H$32="Todos",'Plan mensual'!O73,0))+parametros_carros!$F$32*('Plan mensual'!O70+IF(parametros_carros!$H$32="Todos",'Plan mensual'!O74,0))+parametros_carros!$G$32*('Plan mensual'!O71+IF(parametros_carros!$H$32="Todos",'Plan mensual'!O75,0)))/60</f>
        <v>7.7364</v>
      </c>
      <c r="N135" s="9">
        <f t="shared" si="19"/>
        <v>96.705</v>
      </c>
      <c r="O135" s="9">
        <f t="shared" si="20"/>
        <v>8.70345</v>
      </c>
      <c r="P135" s="32">
        <f>IF(parametros_carros!$B$7=0,0,(O135+parametros_carros!$G$58)/parametros_carros!$B$7)</f>
        <v>0.06691188889</v>
      </c>
      <c r="Q135" s="21" t="str">
        <f t="shared" si="21"/>
        <v>Mar</v>
      </c>
    </row>
    <row r="136" ht="14.25" customHeight="1">
      <c r="A136" s="2" t="str">
        <f>parametros_carros!$B$33</f>
        <v>Carga de polvo y presurización</v>
      </c>
      <c r="B136" s="9">
        <f>(parametros_carros!$D$33*('Plan mensual'!D68+IF(parametros_carros!$H$33="Todos",'Plan mensual'!D72,0))+parametros_carros!$E$33*('Plan mensual'!D69+IF(parametros_carros!$H$33="Todos",'Plan mensual'!D73,0))+parametros_carros!$F$33*('Plan mensual'!D70+IF(parametros_carros!$H$33="Todos",'Plan mensual'!D74,0))+parametros_carros!$G$33*('Plan mensual'!D71+IF(parametros_carros!$H$33="Todos",'Plan mensual'!D75,0)))/60</f>
        <v>17.49229167</v>
      </c>
      <c r="C136" s="9">
        <f>(parametros_carros!$D$33*('Plan mensual'!E68+IF(parametros_carros!$H$33="Todos",'Plan mensual'!E72,0))+parametros_carros!$E$33*('Plan mensual'!E69+IF(parametros_carros!$H$33="Todos",'Plan mensual'!E73,0))+parametros_carros!$F$33*('Plan mensual'!E70+IF(parametros_carros!$H$33="Todos",'Plan mensual'!E74,0))+parametros_carros!$G$33*('Plan mensual'!E71+IF(parametros_carros!$H$33="Todos",'Plan mensual'!E75,0)))/60</f>
        <v>15.434375</v>
      </c>
      <c r="D136" s="9">
        <f>(parametros_carros!$D$33*('Plan mensual'!F68+IF(parametros_carros!$H$33="Todos",'Plan mensual'!F72,0))+parametros_carros!$E$33*('Plan mensual'!F69+IF(parametros_carros!$H$33="Todos",'Plan mensual'!F73,0))+parametros_carros!$F$33*('Plan mensual'!F70+IF(parametros_carros!$H$33="Todos",'Plan mensual'!F74,0))+parametros_carros!$G$33*('Plan mensual'!F71+IF(parametros_carros!$H$33="Todos",'Plan mensual'!F75,0)))/60</f>
        <v>18.52125</v>
      </c>
      <c r="E136" s="9">
        <f>(parametros_carros!$D$33*('Plan mensual'!G68+IF(parametros_carros!$H$33="Todos",'Plan mensual'!G72,0))+parametros_carros!$E$33*('Plan mensual'!G69+IF(parametros_carros!$H$33="Todos",'Plan mensual'!G73,0))+parametros_carros!$F$33*('Plan mensual'!G70+IF(parametros_carros!$H$33="Todos",'Plan mensual'!G74,0))+parametros_carros!$G$33*('Plan mensual'!G71+IF(parametros_carros!$H$33="Todos",'Plan mensual'!G75,0)))/60</f>
        <v>18.52125</v>
      </c>
      <c r="F136" s="9">
        <f>(parametros_carros!$D$33*('Plan mensual'!H68+IF(parametros_carros!$H$33="Todos",'Plan mensual'!H72,0))+parametros_carros!$E$33*('Plan mensual'!H69+IF(parametros_carros!$H$33="Todos",'Plan mensual'!H73,0))+parametros_carros!$F$33*('Plan mensual'!H70+IF(parametros_carros!$H$33="Todos",'Plan mensual'!H74,0))+parametros_carros!$G$33*('Plan mensual'!H71+IF(parametros_carros!$H$33="Todos",'Plan mensual'!H75,0)))/60</f>
        <v>18.52125</v>
      </c>
      <c r="G136" s="9">
        <f>(parametros_carros!$D$33*('Plan mensual'!I68+IF(parametros_carros!$H$33="Todos",'Plan mensual'!I72,0))+parametros_carros!$E$33*('Plan mensual'!I69+IF(parametros_carros!$H$33="Todos",'Plan mensual'!I73,0))+parametros_carros!$F$33*('Plan mensual'!I70+IF(parametros_carros!$H$33="Todos",'Plan mensual'!I74,0))+parametros_carros!$G$33*('Plan mensual'!I71+IF(parametros_carros!$H$33="Todos",'Plan mensual'!I75,0)))/60</f>
        <v>16.46333333</v>
      </c>
      <c r="H136" s="9">
        <f>(parametros_carros!$D$33*('Plan mensual'!J68+IF(parametros_carros!$H$33="Todos",'Plan mensual'!J72,0))+parametros_carros!$E$33*('Plan mensual'!J69+IF(parametros_carros!$H$33="Todos",'Plan mensual'!J73,0))+parametros_carros!$F$33*('Plan mensual'!J70+IF(parametros_carros!$H$33="Todos",'Plan mensual'!J74,0))+parametros_carros!$G$33*('Plan mensual'!J71+IF(parametros_carros!$H$33="Todos",'Plan mensual'!J75,0)))/60</f>
        <v>18.52125</v>
      </c>
      <c r="I136" s="9">
        <f>(parametros_carros!$D$33*('Plan mensual'!K68+IF(parametros_carros!$H$33="Todos",'Plan mensual'!K72,0))+parametros_carros!$E$33*('Plan mensual'!K69+IF(parametros_carros!$H$33="Todos",'Plan mensual'!K73,0))+parametros_carros!$F$33*('Plan mensual'!K70+IF(parametros_carros!$H$33="Todos",'Plan mensual'!K74,0))+parametros_carros!$G$33*('Plan mensual'!K71+IF(parametros_carros!$H$33="Todos",'Plan mensual'!K75,0)))/60</f>
        <v>18.52125</v>
      </c>
      <c r="J136" s="9">
        <f>(parametros_carros!$D$33*('Plan mensual'!L68+IF(parametros_carros!$H$33="Todos",'Plan mensual'!L72,0))+parametros_carros!$E$33*('Plan mensual'!L69+IF(parametros_carros!$H$33="Todos",'Plan mensual'!L73,0))+parametros_carros!$F$33*('Plan mensual'!L70+IF(parametros_carros!$H$33="Todos",'Plan mensual'!L74,0))+parametros_carros!$G$33*('Plan mensual'!L71+IF(parametros_carros!$H$33="Todos",'Plan mensual'!L75,0)))/60</f>
        <v>17.49229167</v>
      </c>
      <c r="K136" s="9">
        <f>(parametros_carros!$D$33*('Plan mensual'!M68+IF(parametros_carros!$H$33="Todos",'Plan mensual'!M72,0))+parametros_carros!$E$33*('Plan mensual'!M69+IF(parametros_carros!$H$33="Todos",'Plan mensual'!M73,0))+parametros_carros!$F$33*('Plan mensual'!M70+IF(parametros_carros!$H$33="Todos",'Plan mensual'!M74,0))+parametros_carros!$G$33*('Plan mensual'!M71+IF(parametros_carros!$H$33="Todos",'Plan mensual'!M75,0)))/60</f>
        <v>15.434375</v>
      </c>
      <c r="L136" s="9">
        <f>(parametros_carros!$D$33*('Plan mensual'!N68+IF(parametros_carros!$H$33="Todos",'Plan mensual'!N72,0))+parametros_carros!$E$33*('Plan mensual'!N69+IF(parametros_carros!$H$33="Todos",'Plan mensual'!N73,0))+parametros_carros!$F$33*('Plan mensual'!N70+IF(parametros_carros!$H$33="Todos",'Plan mensual'!N74,0))+parametros_carros!$G$33*('Plan mensual'!N71+IF(parametros_carros!$H$33="Todos",'Plan mensual'!N75,0)))/60</f>
        <v>14.40541667</v>
      </c>
      <c r="M136" s="9">
        <f>(parametros_carros!$D$33*('Plan mensual'!O68+IF(parametros_carros!$H$33="Todos",'Plan mensual'!O72,0))+parametros_carros!$E$33*('Plan mensual'!O69+IF(parametros_carros!$H$33="Todos",'Plan mensual'!O73,0))+parametros_carros!$F$33*('Plan mensual'!O70+IF(parametros_carros!$H$33="Todos",'Plan mensual'!O74,0))+parametros_carros!$G$33*('Plan mensual'!O71+IF(parametros_carros!$H$33="Todos",'Plan mensual'!O75,0)))/60</f>
        <v>16.46333333</v>
      </c>
      <c r="N136" s="9">
        <f t="shared" si="19"/>
        <v>205.7916667</v>
      </c>
      <c r="O136" s="9">
        <f t="shared" si="20"/>
        <v>18.52125</v>
      </c>
      <c r="P136" s="32">
        <f>IF(parametros_carros!$B$7=0,0,(O136+parametros_carros!$G$59)/parametros_carros!$B$7)</f>
        <v>0.2301416667</v>
      </c>
      <c r="Q136" s="21" t="str">
        <f t="shared" si="21"/>
        <v>Mar</v>
      </c>
    </row>
    <row r="137" ht="14.25" customHeight="1">
      <c r="A137" s="2" t="str">
        <f>parametros_carros!$B$34</f>
        <v>Montaje, manga, precinto y etiquetado</v>
      </c>
      <c r="B137" s="9">
        <f>(parametros_carros!$D$34*('Plan mensual'!D68+IF(parametros_carros!$H$34="Todos",'Plan mensual'!D72,0))+parametros_carros!$E$34*('Plan mensual'!D69+IF(parametros_carros!$H$34="Todos",'Plan mensual'!D73,0))+parametros_carros!$F$34*('Plan mensual'!D70+IF(parametros_carros!$H$34="Todos",'Plan mensual'!D74,0))+parametros_carros!$G$34*('Plan mensual'!D71+IF(parametros_carros!$H$34="Todos",'Plan mensual'!D75,0)))/60</f>
        <v>9.75885</v>
      </c>
      <c r="C137" s="9">
        <f>(parametros_carros!$D$34*('Plan mensual'!E68+IF(parametros_carros!$H$34="Todos",'Plan mensual'!E72,0))+parametros_carros!$E$34*('Plan mensual'!E69+IF(parametros_carros!$H$34="Todos",'Plan mensual'!E73,0))+parametros_carros!$F$34*('Plan mensual'!E70+IF(parametros_carros!$H$34="Todos",'Plan mensual'!E74,0))+parametros_carros!$G$34*('Plan mensual'!E71+IF(parametros_carros!$H$34="Todos",'Plan mensual'!E75,0)))/60</f>
        <v>8.61075</v>
      </c>
      <c r="D137" s="9">
        <f>(parametros_carros!$D$34*('Plan mensual'!F68+IF(parametros_carros!$H$34="Todos",'Plan mensual'!F72,0))+parametros_carros!$E$34*('Plan mensual'!F69+IF(parametros_carros!$H$34="Todos",'Plan mensual'!F73,0))+parametros_carros!$F$34*('Plan mensual'!F70+IF(parametros_carros!$H$34="Todos",'Plan mensual'!F74,0))+parametros_carros!$G$34*('Plan mensual'!F71+IF(parametros_carros!$H$34="Todos",'Plan mensual'!F75,0)))/60</f>
        <v>10.3329</v>
      </c>
      <c r="E137" s="9">
        <f>(parametros_carros!$D$34*('Plan mensual'!G68+IF(parametros_carros!$H$34="Todos",'Plan mensual'!G72,0))+parametros_carros!$E$34*('Plan mensual'!G69+IF(parametros_carros!$H$34="Todos",'Plan mensual'!G73,0))+parametros_carros!$F$34*('Plan mensual'!G70+IF(parametros_carros!$H$34="Todos",'Plan mensual'!G74,0))+parametros_carros!$G$34*('Plan mensual'!G71+IF(parametros_carros!$H$34="Todos",'Plan mensual'!G75,0)))/60</f>
        <v>10.3329</v>
      </c>
      <c r="F137" s="9">
        <f>(parametros_carros!$D$34*('Plan mensual'!H68+IF(parametros_carros!$H$34="Todos",'Plan mensual'!H72,0))+parametros_carros!$E$34*('Plan mensual'!H69+IF(parametros_carros!$H$34="Todos",'Plan mensual'!H73,0))+parametros_carros!$F$34*('Plan mensual'!H70+IF(parametros_carros!$H$34="Todos",'Plan mensual'!H74,0))+parametros_carros!$G$34*('Plan mensual'!H71+IF(parametros_carros!$H$34="Todos",'Plan mensual'!H75,0)))/60</f>
        <v>10.3329</v>
      </c>
      <c r="G137" s="9">
        <f>(parametros_carros!$D$34*('Plan mensual'!I68+IF(parametros_carros!$H$34="Todos",'Plan mensual'!I72,0))+parametros_carros!$E$34*('Plan mensual'!I69+IF(parametros_carros!$H$34="Todos",'Plan mensual'!I73,0))+parametros_carros!$F$34*('Plan mensual'!I70+IF(parametros_carros!$H$34="Todos",'Plan mensual'!I74,0))+parametros_carros!$G$34*('Plan mensual'!I71+IF(parametros_carros!$H$34="Todos",'Plan mensual'!I75,0)))/60</f>
        <v>9.1848</v>
      </c>
      <c r="H137" s="9">
        <f>(parametros_carros!$D$34*('Plan mensual'!J68+IF(parametros_carros!$H$34="Todos",'Plan mensual'!J72,0))+parametros_carros!$E$34*('Plan mensual'!J69+IF(parametros_carros!$H$34="Todos",'Plan mensual'!J73,0))+parametros_carros!$F$34*('Plan mensual'!J70+IF(parametros_carros!$H$34="Todos",'Plan mensual'!J74,0))+parametros_carros!$G$34*('Plan mensual'!J71+IF(parametros_carros!$H$34="Todos",'Plan mensual'!J75,0)))/60</f>
        <v>10.3329</v>
      </c>
      <c r="I137" s="9">
        <f>(parametros_carros!$D$34*('Plan mensual'!K68+IF(parametros_carros!$H$34="Todos",'Plan mensual'!K72,0))+parametros_carros!$E$34*('Plan mensual'!K69+IF(parametros_carros!$H$34="Todos",'Plan mensual'!K73,0))+parametros_carros!$F$34*('Plan mensual'!K70+IF(parametros_carros!$H$34="Todos",'Plan mensual'!K74,0))+parametros_carros!$G$34*('Plan mensual'!K71+IF(parametros_carros!$H$34="Todos",'Plan mensual'!K75,0)))/60</f>
        <v>10.3329</v>
      </c>
      <c r="J137" s="9">
        <f>(parametros_carros!$D$34*('Plan mensual'!L68+IF(parametros_carros!$H$34="Todos",'Plan mensual'!L72,0))+parametros_carros!$E$34*('Plan mensual'!L69+IF(parametros_carros!$H$34="Todos",'Plan mensual'!L73,0))+parametros_carros!$F$34*('Plan mensual'!L70+IF(parametros_carros!$H$34="Todos",'Plan mensual'!L74,0))+parametros_carros!$G$34*('Plan mensual'!L71+IF(parametros_carros!$H$34="Todos",'Plan mensual'!L75,0)))/60</f>
        <v>9.75885</v>
      </c>
      <c r="K137" s="9">
        <f>(parametros_carros!$D$34*('Plan mensual'!M68+IF(parametros_carros!$H$34="Todos",'Plan mensual'!M72,0))+parametros_carros!$E$34*('Plan mensual'!M69+IF(parametros_carros!$H$34="Todos",'Plan mensual'!M73,0))+parametros_carros!$F$34*('Plan mensual'!M70+IF(parametros_carros!$H$34="Todos",'Plan mensual'!M74,0))+parametros_carros!$G$34*('Plan mensual'!M71+IF(parametros_carros!$H$34="Todos",'Plan mensual'!M75,0)))/60</f>
        <v>8.61075</v>
      </c>
      <c r="L137" s="9">
        <f>(parametros_carros!$D$34*('Plan mensual'!N68+IF(parametros_carros!$H$34="Todos",'Plan mensual'!N72,0))+parametros_carros!$E$34*('Plan mensual'!N69+IF(parametros_carros!$H$34="Todos",'Plan mensual'!N73,0))+parametros_carros!$F$34*('Plan mensual'!N70+IF(parametros_carros!$H$34="Todos",'Plan mensual'!N74,0))+parametros_carros!$G$34*('Plan mensual'!N71+IF(parametros_carros!$H$34="Todos",'Plan mensual'!N75,0)))/60</f>
        <v>8.0367</v>
      </c>
      <c r="M137" s="9">
        <f>(parametros_carros!$D$34*('Plan mensual'!O68+IF(parametros_carros!$H$34="Todos",'Plan mensual'!O72,0))+parametros_carros!$E$34*('Plan mensual'!O69+IF(parametros_carros!$H$34="Todos",'Plan mensual'!O73,0))+parametros_carros!$F$34*('Plan mensual'!O70+IF(parametros_carros!$H$34="Todos",'Plan mensual'!O74,0))+parametros_carros!$G$34*('Plan mensual'!O71+IF(parametros_carros!$H$34="Todos",'Plan mensual'!O75,0)))/60</f>
        <v>9.1848</v>
      </c>
      <c r="N137" s="9">
        <f t="shared" si="19"/>
        <v>114.81</v>
      </c>
      <c r="O137" s="9">
        <f t="shared" si="20"/>
        <v>10.3329</v>
      </c>
      <c r="P137" s="32">
        <f>IF(parametros_carros!$B$7=0,0,(O137+parametros_carros!$G$60)/parametros_carros!$B$7)</f>
        <v>0.1155526667</v>
      </c>
      <c r="Q137" s="21" t="str">
        <f t="shared" si="21"/>
        <v>Mar</v>
      </c>
    </row>
    <row r="138" ht="14.25" customHeight="1">
      <c r="A138" s="2" t="str">
        <f>parametros_carros!$B$35</f>
        <v>Calidad: pérdidas, inspección final, liberación y ensayos de lote</v>
      </c>
      <c r="B138" s="9">
        <f>(parametros_carros!$D$35*('Plan mensual'!D68+IF(parametros_carros!$H$35="Todos",'Plan mensual'!D72,0))+parametros_carros!$E$35*('Plan mensual'!D69+IF(parametros_carros!$H$35="Todos",'Plan mensual'!D73,0))+parametros_carros!$F$35*('Plan mensual'!D70+IF(parametros_carros!$H$35="Todos",'Plan mensual'!D74,0))+parametros_carros!$G$35*('Plan mensual'!D71+IF(parametros_carros!$H$35="Todos",'Plan mensual'!D75,0)))/60</f>
        <v>7.396558333</v>
      </c>
      <c r="C138" s="9">
        <f>(parametros_carros!$D$35*('Plan mensual'!E68+IF(parametros_carros!$H$35="Todos",'Plan mensual'!E72,0))+parametros_carros!$E$35*('Plan mensual'!E69+IF(parametros_carros!$H$35="Todos",'Plan mensual'!E73,0))+parametros_carros!$F$35*('Plan mensual'!E70+IF(parametros_carros!$H$35="Todos",'Plan mensual'!E74,0))+parametros_carros!$G$35*('Plan mensual'!E71+IF(parametros_carros!$H$35="Todos",'Plan mensual'!E75,0)))/60</f>
        <v>6.526375</v>
      </c>
      <c r="D138" s="9">
        <f>(parametros_carros!$D$35*('Plan mensual'!F68+IF(parametros_carros!$H$35="Todos",'Plan mensual'!F72,0))+parametros_carros!$E$35*('Plan mensual'!F69+IF(parametros_carros!$H$35="Todos",'Plan mensual'!F73,0))+parametros_carros!$F$35*('Plan mensual'!F70+IF(parametros_carros!$H$35="Todos",'Plan mensual'!F74,0))+parametros_carros!$G$35*('Plan mensual'!F71+IF(parametros_carros!$H$35="Todos",'Plan mensual'!F75,0)))/60</f>
        <v>7.83165</v>
      </c>
      <c r="E138" s="9">
        <f>(parametros_carros!$D$35*('Plan mensual'!G68+IF(parametros_carros!$H$35="Todos",'Plan mensual'!G72,0))+parametros_carros!$E$35*('Plan mensual'!G69+IF(parametros_carros!$H$35="Todos",'Plan mensual'!G73,0))+parametros_carros!$F$35*('Plan mensual'!G70+IF(parametros_carros!$H$35="Todos",'Plan mensual'!G74,0))+parametros_carros!$G$35*('Plan mensual'!G71+IF(parametros_carros!$H$35="Todos",'Plan mensual'!G75,0)))/60</f>
        <v>7.83165</v>
      </c>
      <c r="F138" s="9">
        <f>(parametros_carros!$D$35*('Plan mensual'!H68+IF(parametros_carros!$H$35="Todos",'Plan mensual'!H72,0))+parametros_carros!$E$35*('Plan mensual'!H69+IF(parametros_carros!$H$35="Todos",'Plan mensual'!H73,0))+parametros_carros!$F$35*('Plan mensual'!H70+IF(parametros_carros!$H$35="Todos",'Plan mensual'!H74,0))+parametros_carros!$G$35*('Plan mensual'!H71+IF(parametros_carros!$H$35="Todos",'Plan mensual'!H75,0)))/60</f>
        <v>7.83165</v>
      </c>
      <c r="G138" s="9">
        <f>(parametros_carros!$D$35*('Plan mensual'!I68+IF(parametros_carros!$H$35="Todos",'Plan mensual'!I72,0))+parametros_carros!$E$35*('Plan mensual'!I69+IF(parametros_carros!$H$35="Todos",'Plan mensual'!I73,0))+parametros_carros!$F$35*('Plan mensual'!I70+IF(parametros_carros!$H$35="Todos",'Plan mensual'!I74,0))+parametros_carros!$G$35*('Plan mensual'!I71+IF(parametros_carros!$H$35="Todos",'Plan mensual'!I75,0)))/60</f>
        <v>6.961466667</v>
      </c>
      <c r="H138" s="9">
        <f>(parametros_carros!$D$35*('Plan mensual'!J68+IF(parametros_carros!$H$35="Todos",'Plan mensual'!J72,0))+parametros_carros!$E$35*('Plan mensual'!J69+IF(parametros_carros!$H$35="Todos",'Plan mensual'!J73,0))+parametros_carros!$F$35*('Plan mensual'!J70+IF(parametros_carros!$H$35="Todos",'Plan mensual'!J74,0))+parametros_carros!$G$35*('Plan mensual'!J71+IF(parametros_carros!$H$35="Todos",'Plan mensual'!J75,0)))/60</f>
        <v>7.83165</v>
      </c>
      <c r="I138" s="9">
        <f>(parametros_carros!$D$35*('Plan mensual'!K68+IF(parametros_carros!$H$35="Todos",'Plan mensual'!K72,0))+parametros_carros!$E$35*('Plan mensual'!K69+IF(parametros_carros!$H$35="Todos",'Plan mensual'!K73,0))+parametros_carros!$F$35*('Plan mensual'!K70+IF(parametros_carros!$H$35="Todos",'Plan mensual'!K74,0))+parametros_carros!$G$35*('Plan mensual'!K71+IF(parametros_carros!$H$35="Todos",'Plan mensual'!K75,0)))/60</f>
        <v>7.83165</v>
      </c>
      <c r="J138" s="9">
        <f>(parametros_carros!$D$35*('Plan mensual'!L68+IF(parametros_carros!$H$35="Todos",'Plan mensual'!L72,0))+parametros_carros!$E$35*('Plan mensual'!L69+IF(parametros_carros!$H$35="Todos",'Plan mensual'!L73,0))+parametros_carros!$F$35*('Plan mensual'!L70+IF(parametros_carros!$H$35="Todos",'Plan mensual'!L74,0))+parametros_carros!$G$35*('Plan mensual'!L71+IF(parametros_carros!$H$35="Todos",'Plan mensual'!L75,0)))/60</f>
        <v>7.396558333</v>
      </c>
      <c r="K138" s="9">
        <f>(parametros_carros!$D$35*('Plan mensual'!M68+IF(parametros_carros!$H$35="Todos",'Plan mensual'!M72,0))+parametros_carros!$E$35*('Plan mensual'!M69+IF(parametros_carros!$H$35="Todos",'Plan mensual'!M73,0))+parametros_carros!$F$35*('Plan mensual'!M70+IF(parametros_carros!$H$35="Todos",'Plan mensual'!M74,0))+parametros_carros!$G$35*('Plan mensual'!M71+IF(parametros_carros!$H$35="Todos",'Plan mensual'!M75,0)))/60</f>
        <v>6.526375</v>
      </c>
      <c r="L138" s="9">
        <f>(parametros_carros!$D$35*('Plan mensual'!N68+IF(parametros_carros!$H$35="Todos",'Plan mensual'!N72,0))+parametros_carros!$E$35*('Plan mensual'!N69+IF(parametros_carros!$H$35="Todos",'Plan mensual'!N73,0))+parametros_carros!$F$35*('Plan mensual'!N70+IF(parametros_carros!$H$35="Todos",'Plan mensual'!N74,0))+parametros_carros!$G$35*('Plan mensual'!N71+IF(parametros_carros!$H$35="Todos",'Plan mensual'!N75,0)))/60</f>
        <v>6.091283333</v>
      </c>
      <c r="M138" s="9">
        <f>(parametros_carros!$D$35*('Plan mensual'!O68+IF(parametros_carros!$H$35="Todos",'Plan mensual'!O72,0))+parametros_carros!$E$35*('Plan mensual'!O69+IF(parametros_carros!$H$35="Todos",'Plan mensual'!O73,0))+parametros_carros!$F$35*('Plan mensual'!O70+IF(parametros_carros!$H$35="Todos",'Plan mensual'!O74,0))+parametros_carros!$G$35*('Plan mensual'!O71+IF(parametros_carros!$H$35="Todos",'Plan mensual'!O75,0)))/60</f>
        <v>6.961466667</v>
      </c>
      <c r="N138" s="9">
        <f t="shared" si="19"/>
        <v>87.01833333</v>
      </c>
      <c r="O138" s="9">
        <f t="shared" si="20"/>
        <v>7.83165</v>
      </c>
      <c r="P138" s="32">
        <f>IF(parametros_carros!$B$7=0,0,(O138+parametros_carros!$G$61)/parametros_carros!$B$7)</f>
        <v>0.4224332222</v>
      </c>
      <c r="Q138" s="21" t="str">
        <f t="shared" si="21"/>
        <v>Mar</v>
      </c>
    </row>
    <row r="139" ht="14.25" customHeight="1">
      <c r="A139" s="2" t="str">
        <f>parametros_carros!$B$36</f>
        <v>Depósito de producto terminado y despacho</v>
      </c>
      <c r="B139" s="9">
        <f>(parametros_carros!$D$36*('Plan mensual'!D68+IF(parametros_carros!$H$36="Todos",'Plan mensual'!D72,0))+parametros_carros!$E$36*('Plan mensual'!D69+IF(parametros_carros!$H$36="Todos",'Plan mensual'!D73,0))+parametros_carros!$F$36*('Plan mensual'!D70+IF(parametros_carros!$H$36="Todos",'Plan mensual'!D74,0))+parametros_carros!$G$36*('Plan mensual'!D71+IF(parametros_carros!$H$36="Todos",'Plan mensual'!D75,0)))/60</f>
        <v>3.571133333</v>
      </c>
      <c r="C139" s="9">
        <f>(parametros_carros!$D$36*('Plan mensual'!E68+IF(parametros_carros!$H$36="Todos",'Plan mensual'!E72,0))+parametros_carros!$E$36*('Plan mensual'!E69+IF(parametros_carros!$H$36="Todos",'Plan mensual'!E73,0))+parametros_carros!$F$36*('Plan mensual'!E70+IF(parametros_carros!$H$36="Todos",'Plan mensual'!E74,0))+parametros_carros!$G$36*('Plan mensual'!E71+IF(parametros_carros!$H$36="Todos",'Plan mensual'!E75,0)))/60</f>
        <v>3.151</v>
      </c>
      <c r="D139" s="9">
        <f>(parametros_carros!$D$36*('Plan mensual'!F68+IF(parametros_carros!$H$36="Todos",'Plan mensual'!F72,0))+parametros_carros!$E$36*('Plan mensual'!F69+IF(parametros_carros!$H$36="Todos",'Plan mensual'!F73,0))+parametros_carros!$F$36*('Plan mensual'!F70+IF(parametros_carros!$H$36="Todos",'Plan mensual'!F74,0))+parametros_carros!$G$36*('Plan mensual'!F71+IF(parametros_carros!$H$36="Todos",'Plan mensual'!F75,0)))/60</f>
        <v>3.7812</v>
      </c>
      <c r="E139" s="9">
        <f>(parametros_carros!$D$36*('Plan mensual'!G68+IF(parametros_carros!$H$36="Todos",'Plan mensual'!G72,0))+parametros_carros!$E$36*('Plan mensual'!G69+IF(parametros_carros!$H$36="Todos",'Plan mensual'!G73,0))+parametros_carros!$F$36*('Plan mensual'!G70+IF(parametros_carros!$H$36="Todos",'Plan mensual'!G74,0))+parametros_carros!$G$36*('Plan mensual'!G71+IF(parametros_carros!$H$36="Todos",'Plan mensual'!G75,0)))/60</f>
        <v>3.7812</v>
      </c>
      <c r="F139" s="9">
        <f>(parametros_carros!$D$36*('Plan mensual'!H68+IF(parametros_carros!$H$36="Todos",'Plan mensual'!H72,0))+parametros_carros!$E$36*('Plan mensual'!H69+IF(parametros_carros!$H$36="Todos",'Plan mensual'!H73,0))+parametros_carros!$F$36*('Plan mensual'!H70+IF(parametros_carros!$H$36="Todos",'Plan mensual'!H74,0))+parametros_carros!$G$36*('Plan mensual'!H71+IF(parametros_carros!$H$36="Todos",'Plan mensual'!H75,0)))/60</f>
        <v>3.7812</v>
      </c>
      <c r="G139" s="9">
        <f>(parametros_carros!$D$36*('Plan mensual'!I68+IF(parametros_carros!$H$36="Todos",'Plan mensual'!I72,0))+parametros_carros!$E$36*('Plan mensual'!I69+IF(parametros_carros!$H$36="Todos",'Plan mensual'!I73,0))+parametros_carros!$F$36*('Plan mensual'!I70+IF(parametros_carros!$H$36="Todos",'Plan mensual'!I74,0))+parametros_carros!$G$36*('Plan mensual'!I71+IF(parametros_carros!$H$36="Todos",'Plan mensual'!I75,0)))/60</f>
        <v>3.361066667</v>
      </c>
      <c r="H139" s="9">
        <f>(parametros_carros!$D$36*('Plan mensual'!J68+IF(parametros_carros!$H$36="Todos",'Plan mensual'!J72,0))+parametros_carros!$E$36*('Plan mensual'!J69+IF(parametros_carros!$H$36="Todos",'Plan mensual'!J73,0))+parametros_carros!$F$36*('Plan mensual'!J70+IF(parametros_carros!$H$36="Todos",'Plan mensual'!J74,0))+parametros_carros!$G$36*('Plan mensual'!J71+IF(parametros_carros!$H$36="Todos",'Plan mensual'!J75,0)))/60</f>
        <v>3.7812</v>
      </c>
      <c r="I139" s="9">
        <f>(parametros_carros!$D$36*('Plan mensual'!K68+IF(parametros_carros!$H$36="Todos",'Plan mensual'!K72,0))+parametros_carros!$E$36*('Plan mensual'!K69+IF(parametros_carros!$H$36="Todos",'Plan mensual'!K73,0))+parametros_carros!$F$36*('Plan mensual'!K70+IF(parametros_carros!$H$36="Todos",'Plan mensual'!K74,0))+parametros_carros!$G$36*('Plan mensual'!K71+IF(parametros_carros!$H$36="Todos",'Plan mensual'!K75,0)))/60</f>
        <v>3.7812</v>
      </c>
      <c r="J139" s="9">
        <f>(parametros_carros!$D$36*('Plan mensual'!L68+IF(parametros_carros!$H$36="Todos",'Plan mensual'!L72,0))+parametros_carros!$E$36*('Plan mensual'!L69+IF(parametros_carros!$H$36="Todos",'Plan mensual'!L73,0))+parametros_carros!$F$36*('Plan mensual'!L70+IF(parametros_carros!$H$36="Todos",'Plan mensual'!L74,0))+parametros_carros!$G$36*('Plan mensual'!L71+IF(parametros_carros!$H$36="Todos",'Plan mensual'!L75,0)))/60</f>
        <v>3.571133333</v>
      </c>
      <c r="K139" s="9">
        <f>(parametros_carros!$D$36*('Plan mensual'!M68+IF(parametros_carros!$H$36="Todos",'Plan mensual'!M72,0))+parametros_carros!$E$36*('Plan mensual'!M69+IF(parametros_carros!$H$36="Todos",'Plan mensual'!M73,0))+parametros_carros!$F$36*('Plan mensual'!M70+IF(parametros_carros!$H$36="Todos",'Plan mensual'!M74,0))+parametros_carros!$G$36*('Plan mensual'!M71+IF(parametros_carros!$H$36="Todos",'Plan mensual'!M75,0)))/60</f>
        <v>3.151</v>
      </c>
      <c r="L139" s="9">
        <f>(parametros_carros!$D$36*('Plan mensual'!N68+IF(parametros_carros!$H$36="Todos",'Plan mensual'!N72,0))+parametros_carros!$E$36*('Plan mensual'!N69+IF(parametros_carros!$H$36="Todos",'Plan mensual'!N73,0))+parametros_carros!$F$36*('Plan mensual'!N70+IF(parametros_carros!$H$36="Todos",'Plan mensual'!N74,0))+parametros_carros!$G$36*('Plan mensual'!N71+IF(parametros_carros!$H$36="Todos",'Plan mensual'!N75,0)))/60</f>
        <v>2.940933333</v>
      </c>
      <c r="M139" s="9">
        <f>(parametros_carros!$D$36*('Plan mensual'!O68+IF(parametros_carros!$H$36="Todos",'Plan mensual'!O72,0))+parametros_carros!$E$36*('Plan mensual'!O69+IF(parametros_carros!$H$36="Todos",'Plan mensual'!O73,0))+parametros_carros!$F$36*('Plan mensual'!O70+IF(parametros_carros!$H$36="Todos",'Plan mensual'!O74,0))+parametros_carros!$G$36*('Plan mensual'!O71+IF(parametros_carros!$H$36="Todos",'Plan mensual'!O75,0)))/60</f>
        <v>3.361066667</v>
      </c>
      <c r="N139" s="9">
        <f t="shared" si="19"/>
        <v>42.01333333</v>
      </c>
      <c r="O139" s="9">
        <f t="shared" si="20"/>
        <v>3.7812</v>
      </c>
      <c r="P139" s="32">
        <f>IF(parametros_carros!$B$7=0,0,(O139+parametros_carros!$G$62)/parametros_carros!$B$7)</f>
        <v>0.04743022222</v>
      </c>
      <c r="Q139" s="21" t="str">
        <f t="shared" si="21"/>
        <v>Mar</v>
      </c>
    </row>
    <row r="140" ht="14.25" customHeight="1"/>
    <row r="141" ht="45.0" customHeight="1">
      <c r="A141" s="1" t="s">
        <v>459</v>
      </c>
      <c r="B141" s="1" t="s">
        <v>8</v>
      </c>
      <c r="C141" s="1" t="s">
        <v>9</v>
      </c>
      <c r="D141" s="1" t="s">
        <v>11</v>
      </c>
      <c r="E141" s="1" t="s">
        <v>13</v>
      </c>
      <c r="F141" s="1" t="s">
        <v>14</v>
      </c>
      <c r="G141" s="1" t="s">
        <v>15</v>
      </c>
      <c r="H141" s="1" t="s">
        <v>16</v>
      </c>
      <c r="I141" s="1" t="s">
        <v>18</v>
      </c>
      <c r="J141" s="1" t="s">
        <v>19</v>
      </c>
      <c r="K141" s="1" t="s">
        <v>20</v>
      </c>
      <c r="L141" s="1" t="s">
        <v>21</v>
      </c>
      <c r="M141" s="1" t="s">
        <v>22</v>
      </c>
      <c r="N141" s="1" t="s">
        <v>32</v>
      </c>
      <c r="O141" s="1" t="s">
        <v>33</v>
      </c>
      <c r="P141" s="1" t="s">
        <v>34</v>
      </c>
      <c r="Q141" s="1" t="s">
        <v>36</v>
      </c>
    </row>
    <row r="142" ht="14.25" customHeight="1">
      <c r="A142" s="2" t="str">
        <f>parametros_carros!$B$19</f>
        <v>Recepción de materia prima</v>
      </c>
      <c r="B142" s="9">
        <f>(parametros_carros!$D$19*('Plan mensual'!D79+IF(parametros_carros!$H$19="Todos",'Plan mensual'!D83,0))+parametros_carros!$E$19*('Plan mensual'!D80+IF(parametros_carros!$H$19="Todos",'Plan mensual'!D84,0))+parametros_carros!$F$19*('Plan mensual'!D81+IF(parametros_carros!$H$19="Todos",'Plan mensual'!D85,0))+parametros_carros!$G$19*('Plan mensual'!D82+IF(parametros_carros!$H$19="Todos",'Plan mensual'!D86,0)))/60</f>
        <v>5.9089875</v>
      </c>
      <c r="C142" s="9">
        <f>(parametros_carros!$D$19*('Plan mensual'!E79+IF(parametros_carros!$H$19="Todos",'Plan mensual'!E83,0))+parametros_carros!$E$19*('Plan mensual'!E80+IF(parametros_carros!$H$19="Todos",'Plan mensual'!E84,0))+parametros_carros!$F$19*('Plan mensual'!E81+IF(parametros_carros!$H$19="Todos",'Plan mensual'!E85,0))+parametros_carros!$G$19*('Plan mensual'!E82+IF(parametros_carros!$H$19="Todos",'Plan mensual'!E86,0)))/60</f>
        <v>5.2138125</v>
      </c>
      <c r="D142" s="9">
        <f>(parametros_carros!$D$19*('Plan mensual'!F79+IF(parametros_carros!$H$19="Todos",'Plan mensual'!F83,0))+parametros_carros!$E$19*('Plan mensual'!F80+IF(parametros_carros!$H$19="Todos",'Plan mensual'!F84,0))+parametros_carros!$F$19*('Plan mensual'!F81+IF(parametros_carros!$H$19="Todos",'Plan mensual'!F85,0))+parametros_carros!$G$19*('Plan mensual'!F82+IF(parametros_carros!$H$19="Todos",'Plan mensual'!F86,0)))/60</f>
        <v>6.256575</v>
      </c>
      <c r="E142" s="9">
        <f>(parametros_carros!$D$19*('Plan mensual'!G79+IF(parametros_carros!$H$19="Todos",'Plan mensual'!G83,0))+parametros_carros!$E$19*('Plan mensual'!G80+IF(parametros_carros!$H$19="Todos",'Plan mensual'!G84,0))+parametros_carros!$F$19*('Plan mensual'!G81+IF(parametros_carros!$H$19="Todos",'Plan mensual'!G85,0))+parametros_carros!$G$19*('Plan mensual'!G82+IF(parametros_carros!$H$19="Todos",'Plan mensual'!G86,0)))/60</f>
        <v>6.256575</v>
      </c>
      <c r="F142" s="9">
        <f>(parametros_carros!$D$19*('Plan mensual'!H79+IF(parametros_carros!$H$19="Todos",'Plan mensual'!H83,0))+parametros_carros!$E$19*('Plan mensual'!H80+IF(parametros_carros!$H$19="Todos",'Plan mensual'!H84,0))+parametros_carros!$F$19*('Plan mensual'!H81+IF(parametros_carros!$H$19="Todos",'Plan mensual'!H85,0))+parametros_carros!$G$19*('Plan mensual'!H82+IF(parametros_carros!$H$19="Todos",'Plan mensual'!H86,0)))/60</f>
        <v>6.256575</v>
      </c>
      <c r="G142" s="9">
        <f>(parametros_carros!$D$19*('Plan mensual'!I79+IF(parametros_carros!$H$19="Todos",'Plan mensual'!I83,0))+parametros_carros!$E$19*('Plan mensual'!I80+IF(parametros_carros!$H$19="Todos",'Plan mensual'!I84,0))+parametros_carros!$F$19*('Plan mensual'!I81+IF(parametros_carros!$H$19="Todos",'Plan mensual'!I85,0))+parametros_carros!$G$19*('Plan mensual'!I82+IF(parametros_carros!$H$19="Todos",'Plan mensual'!I86,0)))/60</f>
        <v>5.5614</v>
      </c>
      <c r="H142" s="9">
        <f>(parametros_carros!$D$19*('Plan mensual'!J79+IF(parametros_carros!$H$19="Todos",'Plan mensual'!J83,0))+parametros_carros!$E$19*('Plan mensual'!J80+IF(parametros_carros!$H$19="Todos",'Plan mensual'!J84,0))+parametros_carros!$F$19*('Plan mensual'!J81+IF(parametros_carros!$H$19="Todos",'Plan mensual'!J85,0))+parametros_carros!$G$19*('Plan mensual'!J82+IF(parametros_carros!$H$19="Todos",'Plan mensual'!J86,0)))/60</f>
        <v>6.256575</v>
      </c>
      <c r="I142" s="9">
        <f>(parametros_carros!$D$19*('Plan mensual'!K79+IF(parametros_carros!$H$19="Todos",'Plan mensual'!K83,0))+parametros_carros!$E$19*('Plan mensual'!K80+IF(parametros_carros!$H$19="Todos",'Plan mensual'!K84,0))+parametros_carros!$F$19*('Plan mensual'!K81+IF(parametros_carros!$H$19="Todos",'Plan mensual'!K85,0))+parametros_carros!$G$19*('Plan mensual'!K82+IF(parametros_carros!$H$19="Todos",'Plan mensual'!K86,0)))/60</f>
        <v>6.256575</v>
      </c>
      <c r="J142" s="9">
        <f>(parametros_carros!$D$19*('Plan mensual'!L79+IF(parametros_carros!$H$19="Todos",'Plan mensual'!L83,0))+parametros_carros!$E$19*('Plan mensual'!L80+IF(parametros_carros!$H$19="Todos",'Plan mensual'!L84,0))+parametros_carros!$F$19*('Plan mensual'!L81+IF(parametros_carros!$H$19="Todos",'Plan mensual'!L85,0))+parametros_carros!$G$19*('Plan mensual'!L82+IF(parametros_carros!$H$19="Todos",'Plan mensual'!L86,0)))/60</f>
        <v>5.9089875</v>
      </c>
      <c r="K142" s="9">
        <f>(parametros_carros!$D$19*('Plan mensual'!M79+IF(parametros_carros!$H$19="Todos",'Plan mensual'!M83,0))+parametros_carros!$E$19*('Plan mensual'!M80+IF(parametros_carros!$H$19="Todos",'Plan mensual'!M84,0))+parametros_carros!$F$19*('Plan mensual'!M81+IF(parametros_carros!$H$19="Todos",'Plan mensual'!M85,0))+parametros_carros!$G$19*('Plan mensual'!M82+IF(parametros_carros!$H$19="Todos",'Plan mensual'!M86,0)))/60</f>
        <v>5.2138125</v>
      </c>
      <c r="L142" s="9">
        <f>(parametros_carros!$D$19*('Plan mensual'!N79+IF(parametros_carros!$H$19="Todos",'Plan mensual'!N83,0))+parametros_carros!$E$19*('Plan mensual'!N80+IF(parametros_carros!$H$19="Todos",'Plan mensual'!N84,0))+parametros_carros!$F$19*('Plan mensual'!N81+IF(parametros_carros!$H$19="Todos",'Plan mensual'!N85,0))+parametros_carros!$G$19*('Plan mensual'!N82+IF(parametros_carros!$H$19="Todos",'Plan mensual'!N86,0)))/60</f>
        <v>4.866225</v>
      </c>
      <c r="M142" s="9">
        <f>(parametros_carros!$D$19*('Plan mensual'!O79+IF(parametros_carros!$H$19="Todos",'Plan mensual'!O83,0))+parametros_carros!$E$19*('Plan mensual'!O80+IF(parametros_carros!$H$19="Todos",'Plan mensual'!O84,0))+parametros_carros!$F$19*('Plan mensual'!O81+IF(parametros_carros!$H$19="Todos",'Plan mensual'!O85,0))+parametros_carros!$G$19*('Plan mensual'!O82+IF(parametros_carros!$H$19="Todos",'Plan mensual'!O86,0)))/60</f>
        <v>5.5614</v>
      </c>
      <c r="N142" s="9">
        <f t="shared" ref="N142:N159" si="22">SUM(B142:M142)</f>
        <v>69.5175</v>
      </c>
      <c r="O142" s="9">
        <f t="shared" ref="O142:O159" si="23">MAX(B142:M142)</f>
        <v>6.256575</v>
      </c>
      <c r="P142" s="32">
        <f>IF(parametros_carros!$B$7=0,0,(O142+parametros_carros!$G$45)/parametros_carros!$B$7)</f>
        <v>0.08982161111</v>
      </c>
      <c r="Q142" s="21" t="str">
        <f t="shared" ref="Q142:Q159" si="24">IF(O142=0,"-",INDEX($B$141:$M$141,MATCH(O142,B142:M142,0)))</f>
        <v>Mar</v>
      </c>
    </row>
    <row r="143" ht="14.25" customHeight="1">
      <c r="A143" s="2" t="str">
        <f>parametros_carros!$B$20</f>
        <v>Corte de chapa (guillotina)</v>
      </c>
      <c r="B143" s="9">
        <f>(parametros_carros!$D$20*('Plan mensual'!D79+IF(parametros_carros!$H$20="Todos",'Plan mensual'!D83,0))+parametros_carros!$E$20*('Plan mensual'!D80+IF(parametros_carros!$H$20="Todos",'Plan mensual'!D84,0))+parametros_carros!$F$20*('Plan mensual'!D81+IF(parametros_carros!$H$20="Todos",'Plan mensual'!D85,0))+parametros_carros!$G$20*('Plan mensual'!D82+IF(parametros_carros!$H$20="Todos",'Plan mensual'!D86,0)))/60</f>
        <v>12.98747337</v>
      </c>
      <c r="C143" s="9">
        <f>(parametros_carros!$D$20*('Plan mensual'!E79+IF(parametros_carros!$H$20="Todos",'Plan mensual'!E83,0))+parametros_carros!$E$20*('Plan mensual'!E80+IF(parametros_carros!$H$20="Todos",'Plan mensual'!E84,0))+parametros_carros!$F$20*('Plan mensual'!E81+IF(parametros_carros!$H$20="Todos",'Plan mensual'!E85,0))+parametros_carros!$G$20*('Plan mensual'!E82+IF(parametros_carros!$H$20="Todos",'Plan mensual'!E86,0)))/60</f>
        <v>11.45953533</v>
      </c>
      <c r="D143" s="9">
        <f>(parametros_carros!$D$20*('Plan mensual'!F79+IF(parametros_carros!$H$20="Todos",'Plan mensual'!F83,0))+parametros_carros!$E$20*('Plan mensual'!F80+IF(parametros_carros!$H$20="Todos",'Plan mensual'!F84,0))+parametros_carros!$F$20*('Plan mensual'!F81+IF(parametros_carros!$H$20="Todos",'Plan mensual'!F85,0))+parametros_carros!$G$20*('Plan mensual'!F82+IF(parametros_carros!$H$20="Todos",'Plan mensual'!F86,0)))/60</f>
        <v>13.75144239</v>
      </c>
      <c r="E143" s="9">
        <f>(parametros_carros!$D$20*('Plan mensual'!G79+IF(parametros_carros!$H$20="Todos",'Plan mensual'!G83,0))+parametros_carros!$E$20*('Plan mensual'!G80+IF(parametros_carros!$H$20="Todos",'Plan mensual'!G84,0))+parametros_carros!$F$20*('Plan mensual'!G81+IF(parametros_carros!$H$20="Todos",'Plan mensual'!G85,0))+parametros_carros!$G$20*('Plan mensual'!G82+IF(parametros_carros!$H$20="Todos",'Plan mensual'!G86,0)))/60</f>
        <v>13.75144239</v>
      </c>
      <c r="F143" s="9">
        <f>(parametros_carros!$D$20*('Plan mensual'!H79+IF(parametros_carros!$H$20="Todos",'Plan mensual'!H83,0))+parametros_carros!$E$20*('Plan mensual'!H80+IF(parametros_carros!$H$20="Todos",'Plan mensual'!H84,0))+parametros_carros!$F$20*('Plan mensual'!H81+IF(parametros_carros!$H$20="Todos",'Plan mensual'!H85,0))+parametros_carros!$G$20*('Plan mensual'!H82+IF(parametros_carros!$H$20="Todos",'Plan mensual'!H86,0)))/60</f>
        <v>13.75144239</v>
      </c>
      <c r="G143" s="9">
        <f>(parametros_carros!$D$20*('Plan mensual'!I79+IF(parametros_carros!$H$20="Todos",'Plan mensual'!I83,0))+parametros_carros!$E$20*('Plan mensual'!I80+IF(parametros_carros!$H$20="Todos",'Plan mensual'!I84,0))+parametros_carros!$F$20*('Plan mensual'!I81+IF(parametros_carros!$H$20="Todos",'Plan mensual'!I85,0))+parametros_carros!$G$20*('Plan mensual'!I82+IF(parametros_carros!$H$20="Todos",'Plan mensual'!I86,0)))/60</f>
        <v>12.22350435</v>
      </c>
      <c r="H143" s="9">
        <f>(parametros_carros!$D$20*('Plan mensual'!J79+IF(parametros_carros!$H$20="Todos",'Plan mensual'!J83,0))+parametros_carros!$E$20*('Plan mensual'!J80+IF(parametros_carros!$H$20="Todos",'Plan mensual'!J84,0))+parametros_carros!$F$20*('Plan mensual'!J81+IF(parametros_carros!$H$20="Todos",'Plan mensual'!J85,0))+parametros_carros!$G$20*('Plan mensual'!J82+IF(parametros_carros!$H$20="Todos",'Plan mensual'!J86,0)))/60</f>
        <v>13.75144239</v>
      </c>
      <c r="I143" s="9">
        <f>(parametros_carros!$D$20*('Plan mensual'!K79+IF(parametros_carros!$H$20="Todos",'Plan mensual'!K83,0))+parametros_carros!$E$20*('Plan mensual'!K80+IF(parametros_carros!$H$20="Todos",'Plan mensual'!K84,0))+parametros_carros!$F$20*('Plan mensual'!K81+IF(parametros_carros!$H$20="Todos",'Plan mensual'!K85,0))+parametros_carros!$G$20*('Plan mensual'!K82+IF(parametros_carros!$H$20="Todos",'Plan mensual'!K86,0)))/60</f>
        <v>13.75144239</v>
      </c>
      <c r="J143" s="9">
        <f>(parametros_carros!$D$20*('Plan mensual'!L79+IF(parametros_carros!$H$20="Todos",'Plan mensual'!L83,0))+parametros_carros!$E$20*('Plan mensual'!L80+IF(parametros_carros!$H$20="Todos",'Plan mensual'!L84,0))+parametros_carros!$F$20*('Plan mensual'!L81+IF(parametros_carros!$H$20="Todos",'Plan mensual'!L85,0))+parametros_carros!$G$20*('Plan mensual'!L82+IF(parametros_carros!$H$20="Todos",'Plan mensual'!L86,0)))/60</f>
        <v>12.98747337</v>
      </c>
      <c r="K143" s="9">
        <f>(parametros_carros!$D$20*('Plan mensual'!M79+IF(parametros_carros!$H$20="Todos",'Plan mensual'!M83,0))+parametros_carros!$E$20*('Plan mensual'!M80+IF(parametros_carros!$H$20="Todos",'Plan mensual'!M84,0))+parametros_carros!$F$20*('Plan mensual'!M81+IF(parametros_carros!$H$20="Todos",'Plan mensual'!M85,0))+parametros_carros!$G$20*('Plan mensual'!M82+IF(parametros_carros!$H$20="Todos",'Plan mensual'!M86,0)))/60</f>
        <v>11.45953533</v>
      </c>
      <c r="L143" s="9">
        <f>(parametros_carros!$D$20*('Plan mensual'!N79+IF(parametros_carros!$H$20="Todos",'Plan mensual'!N83,0))+parametros_carros!$E$20*('Plan mensual'!N80+IF(parametros_carros!$H$20="Todos",'Plan mensual'!N84,0))+parametros_carros!$F$20*('Plan mensual'!N81+IF(parametros_carros!$H$20="Todos",'Plan mensual'!N85,0))+parametros_carros!$G$20*('Plan mensual'!N82+IF(parametros_carros!$H$20="Todos",'Plan mensual'!N86,0)))/60</f>
        <v>10.6955663</v>
      </c>
      <c r="M143" s="9">
        <f>(parametros_carros!$D$20*('Plan mensual'!O79+IF(parametros_carros!$H$20="Todos",'Plan mensual'!O83,0))+parametros_carros!$E$20*('Plan mensual'!O80+IF(parametros_carros!$H$20="Todos",'Plan mensual'!O84,0))+parametros_carros!$F$20*('Plan mensual'!O81+IF(parametros_carros!$H$20="Todos",'Plan mensual'!O85,0))+parametros_carros!$G$20*('Plan mensual'!O82+IF(parametros_carros!$H$20="Todos",'Plan mensual'!O86,0)))/60</f>
        <v>12.22350435</v>
      </c>
      <c r="N143" s="9">
        <f t="shared" si="22"/>
        <v>152.7938043</v>
      </c>
      <c r="O143" s="9">
        <f t="shared" si="23"/>
        <v>13.75144239</v>
      </c>
      <c r="P143" s="32">
        <f>IF(parametros_carros!$B$7=0,0,(O143+parametros_carros!$G$46)/parametros_carros!$B$7)</f>
        <v>0.1538985048</v>
      </c>
      <c r="Q143" s="21" t="str">
        <f t="shared" si="24"/>
        <v>Mar</v>
      </c>
    </row>
    <row r="144" ht="14.25" customHeight="1">
      <c r="A144" s="2" t="str">
        <f>parametros_carros!$B$21</f>
        <v>Marcado del cuerpo</v>
      </c>
      <c r="B144" s="9">
        <f>(parametros_carros!$D$21*('Plan mensual'!D79+IF(parametros_carros!$H$21="Todos",'Plan mensual'!D83,0))+parametros_carros!$E$21*('Plan mensual'!D80+IF(parametros_carros!$H$21="Todos",'Plan mensual'!D84,0))+parametros_carros!$F$21*('Plan mensual'!D81+IF(parametros_carros!$H$21="Todos",'Plan mensual'!D85,0))+parametros_carros!$G$21*('Plan mensual'!D82+IF(parametros_carros!$H$21="Todos",'Plan mensual'!D86,0)))/60</f>
        <v>5.1714</v>
      </c>
      <c r="C144" s="9">
        <f>(parametros_carros!$D$21*('Plan mensual'!E79+IF(parametros_carros!$H$21="Todos",'Plan mensual'!E83,0))+parametros_carros!$E$21*('Plan mensual'!E80+IF(parametros_carros!$H$21="Todos",'Plan mensual'!E84,0))+parametros_carros!$F$21*('Plan mensual'!E81+IF(parametros_carros!$H$21="Todos",'Plan mensual'!E85,0))+parametros_carros!$G$21*('Plan mensual'!E82+IF(parametros_carros!$H$21="Todos",'Plan mensual'!E86,0)))/60</f>
        <v>4.563</v>
      </c>
      <c r="D144" s="9">
        <f>(parametros_carros!$D$21*('Plan mensual'!F79+IF(parametros_carros!$H$21="Todos",'Plan mensual'!F83,0))+parametros_carros!$E$21*('Plan mensual'!F80+IF(parametros_carros!$H$21="Todos",'Plan mensual'!F84,0))+parametros_carros!$F$21*('Plan mensual'!F81+IF(parametros_carros!$H$21="Todos",'Plan mensual'!F85,0))+parametros_carros!$G$21*('Plan mensual'!F82+IF(parametros_carros!$H$21="Todos",'Plan mensual'!F86,0)))/60</f>
        <v>5.4756</v>
      </c>
      <c r="E144" s="9">
        <f>(parametros_carros!$D$21*('Plan mensual'!G79+IF(parametros_carros!$H$21="Todos",'Plan mensual'!G83,0))+parametros_carros!$E$21*('Plan mensual'!G80+IF(parametros_carros!$H$21="Todos",'Plan mensual'!G84,0))+parametros_carros!$F$21*('Plan mensual'!G81+IF(parametros_carros!$H$21="Todos",'Plan mensual'!G85,0))+parametros_carros!$G$21*('Plan mensual'!G82+IF(parametros_carros!$H$21="Todos",'Plan mensual'!G86,0)))/60</f>
        <v>5.4756</v>
      </c>
      <c r="F144" s="9">
        <f>(parametros_carros!$D$21*('Plan mensual'!H79+IF(parametros_carros!$H$21="Todos",'Plan mensual'!H83,0))+parametros_carros!$E$21*('Plan mensual'!H80+IF(parametros_carros!$H$21="Todos",'Plan mensual'!H84,0))+parametros_carros!$F$21*('Plan mensual'!H81+IF(parametros_carros!$H$21="Todos",'Plan mensual'!H85,0))+parametros_carros!$G$21*('Plan mensual'!H82+IF(parametros_carros!$H$21="Todos",'Plan mensual'!H86,0)))/60</f>
        <v>5.4756</v>
      </c>
      <c r="G144" s="9">
        <f>(parametros_carros!$D$21*('Plan mensual'!I79+IF(parametros_carros!$H$21="Todos",'Plan mensual'!I83,0))+parametros_carros!$E$21*('Plan mensual'!I80+IF(parametros_carros!$H$21="Todos",'Plan mensual'!I84,0))+parametros_carros!$F$21*('Plan mensual'!I81+IF(parametros_carros!$H$21="Todos",'Plan mensual'!I85,0))+parametros_carros!$G$21*('Plan mensual'!I82+IF(parametros_carros!$H$21="Todos",'Plan mensual'!I86,0)))/60</f>
        <v>4.8672</v>
      </c>
      <c r="H144" s="9">
        <f>(parametros_carros!$D$21*('Plan mensual'!J79+IF(parametros_carros!$H$21="Todos",'Plan mensual'!J83,0))+parametros_carros!$E$21*('Plan mensual'!J80+IF(parametros_carros!$H$21="Todos",'Plan mensual'!J84,0))+parametros_carros!$F$21*('Plan mensual'!J81+IF(parametros_carros!$H$21="Todos",'Plan mensual'!J85,0))+parametros_carros!$G$21*('Plan mensual'!J82+IF(parametros_carros!$H$21="Todos",'Plan mensual'!J86,0)))/60</f>
        <v>5.4756</v>
      </c>
      <c r="I144" s="9">
        <f>(parametros_carros!$D$21*('Plan mensual'!K79+IF(parametros_carros!$H$21="Todos",'Plan mensual'!K83,0))+parametros_carros!$E$21*('Plan mensual'!K80+IF(parametros_carros!$H$21="Todos",'Plan mensual'!K84,0))+parametros_carros!$F$21*('Plan mensual'!K81+IF(parametros_carros!$H$21="Todos",'Plan mensual'!K85,0))+parametros_carros!$G$21*('Plan mensual'!K82+IF(parametros_carros!$H$21="Todos",'Plan mensual'!K86,0)))/60</f>
        <v>5.4756</v>
      </c>
      <c r="J144" s="9">
        <f>(parametros_carros!$D$21*('Plan mensual'!L79+IF(parametros_carros!$H$21="Todos",'Plan mensual'!L83,0))+parametros_carros!$E$21*('Plan mensual'!L80+IF(parametros_carros!$H$21="Todos",'Plan mensual'!L84,0))+parametros_carros!$F$21*('Plan mensual'!L81+IF(parametros_carros!$H$21="Todos",'Plan mensual'!L85,0))+parametros_carros!$G$21*('Plan mensual'!L82+IF(parametros_carros!$H$21="Todos",'Plan mensual'!L86,0)))/60</f>
        <v>5.1714</v>
      </c>
      <c r="K144" s="9">
        <f>(parametros_carros!$D$21*('Plan mensual'!M79+IF(parametros_carros!$H$21="Todos",'Plan mensual'!M83,0))+parametros_carros!$E$21*('Plan mensual'!M80+IF(parametros_carros!$H$21="Todos",'Plan mensual'!M84,0))+parametros_carros!$F$21*('Plan mensual'!M81+IF(parametros_carros!$H$21="Todos",'Plan mensual'!M85,0))+parametros_carros!$G$21*('Plan mensual'!M82+IF(parametros_carros!$H$21="Todos",'Plan mensual'!M86,0)))/60</f>
        <v>4.563</v>
      </c>
      <c r="L144" s="9">
        <f>(parametros_carros!$D$21*('Plan mensual'!N79+IF(parametros_carros!$H$21="Todos",'Plan mensual'!N83,0))+parametros_carros!$E$21*('Plan mensual'!N80+IF(parametros_carros!$H$21="Todos",'Plan mensual'!N84,0))+parametros_carros!$F$21*('Plan mensual'!N81+IF(parametros_carros!$H$21="Todos",'Plan mensual'!N85,0))+parametros_carros!$G$21*('Plan mensual'!N82+IF(parametros_carros!$H$21="Todos",'Plan mensual'!N86,0)))/60</f>
        <v>4.2588</v>
      </c>
      <c r="M144" s="9">
        <f>(parametros_carros!$D$21*('Plan mensual'!O79+IF(parametros_carros!$H$21="Todos",'Plan mensual'!O83,0))+parametros_carros!$E$21*('Plan mensual'!O80+IF(parametros_carros!$H$21="Todos",'Plan mensual'!O84,0))+parametros_carros!$F$21*('Plan mensual'!O81+IF(parametros_carros!$H$21="Todos",'Plan mensual'!O85,0))+parametros_carros!$G$21*('Plan mensual'!O82+IF(parametros_carros!$H$21="Todos",'Plan mensual'!O86,0)))/60</f>
        <v>4.8672</v>
      </c>
      <c r="N144" s="9">
        <f t="shared" si="22"/>
        <v>60.84</v>
      </c>
      <c r="O144" s="9">
        <f t="shared" si="23"/>
        <v>5.4756</v>
      </c>
      <c r="P144" s="32">
        <f>IF(parametros_carros!$B$7=0,0,(O144+parametros_carros!$G$47)/parametros_carros!$B$7)</f>
        <v>0.04872622222</v>
      </c>
      <c r="Q144" s="21" t="str">
        <f t="shared" si="24"/>
        <v>Mar</v>
      </c>
    </row>
    <row r="145" ht="14.25" customHeight="1">
      <c r="A145" s="2" t="str">
        <f>parametros_carros!$B$22</f>
        <v>Cilindrado</v>
      </c>
      <c r="B145" s="9">
        <f>(parametros_carros!$D$22*('Plan mensual'!D79+IF(parametros_carros!$H$22="Todos",'Plan mensual'!D83,0))+parametros_carros!$E$22*('Plan mensual'!D80+IF(parametros_carros!$H$22="Todos",'Plan mensual'!D84,0))+parametros_carros!$F$22*('Plan mensual'!D81+IF(parametros_carros!$H$22="Todos",'Plan mensual'!D85,0))+parametros_carros!$G$22*('Plan mensual'!D82+IF(parametros_carros!$H$22="Todos",'Plan mensual'!D86,0)))/60</f>
        <v>11.06692609</v>
      </c>
      <c r="C145" s="9">
        <f>(parametros_carros!$D$22*('Plan mensual'!E79+IF(parametros_carros!$H$22="Todos",'Plan mensual'!E83,0))+parametros_carros!$E$22*('Plan mensual'!E80+IF(parametros_carros!$H$22="Todos",'Plan mensual'!E84,0))+parametros_carros!$F$22*('Plan mensual'!E81+IF(parametros_carros!$H$22="Todos",'Plan mensual'!E85,0))+parametros_carros!$G$22*('Plan mensual'!E82+IF(parametros_carros!$H$22="Todos",'Plan mensual'!E86,0)))/60</f>
        <v>9.764934783</v>
      </c>
      <c r="D145" s="9">
        <f>(parametros_carros!$D$22*('Plan mensual'!F79+IF(parametros_carros!$H$22="Todos",'Plan mensual'!F83,0))+parametros_carros!$E$22*('Plan mensual'!F80+IF(parametros_carros!$H$22="Todos",'Plan mensual'!F84,0))+parametros_carros!$F$22*('Plan mensual'!F81+IF(parametros_carros!$H$22="Todos",'Plan mensual'!F85,0))+parametros_carros!$G$22*('Plan mensual'!F82+IF(parametros_carros!$H$22="Todos",'Plan mensual'!F86,0)))/60</f>
        <v>11.71792174</v>
      </c>
      <c r="E145" s="9">
        <f>(parametros_carros!$D$22*('Plan mensual'!G79+IF(parametros_carros!$H$22="Todos",'Plan mensual'!G83,0))+parametros_carros!$E$22*('Plan mensual'!G80+IF(parametros_carros!$H$22="Todos",'Plan mensual'!G84,0))+parametros_carros!$F$22*('Plan mensual'!G81+IF(parametros_carros!$H$22="Todos",'Plan mensual'!G85,0))+parametros_carros!$G$22*('Plan mensual'!G82+IF(parametros_carros!$H$22="Todos",'Plan mensual'!G86,0)))/60</f>
        <v>11.71792174</v>
      </c>
      <c r="F145" s="9">
        <f>(parametros_carros!$D$22*('Plan mensual'!H79+IF(parametros_carros!$H$22="Todos",'Plan mensual'!H83,0))+parametros_carros!$E$22*('Plan mensual'!H80+IF(parametros_carros!$H$22="Todos",'Plan mensual'!H84,0))+parametros_carros!$F$22*('Plan mensual'!H81+IF(parametros_carros!$H$22="Todos",'Plan mensual'!H85,0))+parametros_carros!$G$22*('Plan mensual'!H82+IF(parametros_carros!$H$22="Todos",'Plan mensual'!H86,0)))/60</f>
        <v>11.71792174</v>
      </c>
      <c r="G145" s="9">
        <f>(parametros_carros!$D$22*('Plan mensual'!I79+IF(parametros_carros!$H$22="Todos",'Plan mensual'!I83,0))+parametros_carros!$E$22*('Plan mensual'!I80+IF(parametros_carros!$H$22="Todos",'Plan mensual'!I84,0))+parametros_carros!$F$22*('Plan mensual'!I81+IF(parametros_carros!$H$22="Todos",'Plan mensual'!I85,0))+parametros_carros!$G$22*('Plan mensual'!I82+IF(parametros_carros!$H$22="Todos",'Plan mensual'!I86,0)))/60</f>
        <v>10.41593043</v>
      </c>
      <c r="H145" s="9">
        <f>(parametros_carros!$D$22*('Plan mensual'!J79+IF(parametros_carros!$H$22="Todos",'Plan mensual'!J83,0))+parametros_carros!$E$22*('Plan mensual'!J80+IF(parametros_carros!$H$22="Todos",'Plan mensual'!J84,0))+parametros_carros!$F$22*('Plan mensual'!J81+IF(parametros_carros!$H$22="Todos",'Plan mensual'!J85,0))+parametros_carros!$G$22*('Plan mensual'!J82+IF(parametros_carros!$H$22="Todos",'Plan mensual'!J86,0)))/60</f>
        <v>11.71792174</v>
      </c>
      <c r="I145" s="9">
        <f>(parametros_carros!$D$22*('Plan mensual'!K79+IF(parametros_carros!$H$22="Todos",'Plan mensual'!K83,0))+parametros_carros!$E$22*('Plan mensual'!K80+IF(parametros_carros!$H$22="Todos",'Plan mensual'!K84,0))+parametros_carros!$F$22*('Plan mensual'!K81+IF(parametros_carros!$H$22="Todos",'Plan mensual'!K85,0))+parametros_carros!$G$22*('Plan mensual'!K82+IF(parametros_carros!$H$22="Todos",'Plan mensual'!K86,0)))/60</f>
        <v>11.71792174</v>
      </c>
      <c r="J145" s="9">
        <f>(parametros_carros!$D$22*('Plan mensual'!L79+IF(parametros_carros!$H$22="Todos",'Plan mensual'!L83,0))+parametros_carros!$E$22*('Plan mensual'!L80+IF(parametros_carros!$H$22="Todos",'Plan mensual'!L84,0))+parametros_carros!$F$22*('Plan mensual'!L81+IF(parametros_carros!$H$22="Todos",'Plan mensual'!L85,0))+parametros_carros!$G$22*('Plan mensual'!L82+IF(parametros_carros!$H$22="Todos",'Plan mensual'!L86,0)))/60</f>
        <v>11.06692609</v>
      </c>
      <c r="K145" s="9">
        <f>(parametros_carros!$D$22*('Plan mensual'!M79+IF(parametros_carros!$H$22="Todos",'Plan mensual'!M83,0))+parametros_carros!$E$22*('Plan mensual'!M80+IF(parametros_carros!$H$22="Todos",'Plan mensual'!M84,0))+parametros_carros!$F$22*('Plan mensual'!M81+IF(parametros_carros!$H$22="Todos",'Plan mensual'!M85,0))+parametros_carros!$G$22*('Plan mensual'!M82+IF(parametros_carros!$H$22="Todos",'Plan mensual'!M86,0)))/60</f>
        <v>9.764934783</v>
      </c>
      <c r="L145" s="9">
        <f>(parametros_carros!$D$22*('Plan mensual'!N79+IF(parametros_carros!$H$22="Todos",'Plan mensual'!N83,0))+parametros_carros!$E$22*('Plan mensual'!N80+IF(parametros_carros!$H$22="Todos",'Plan mensual'!N84,0))+parametros_carros!$F$22*('Plan mensual'!N81+IF(parametros_carros!$H$22="Todos",'Plan mensual'!N85,0))+parametros_carros!$G$22*('Plan mensual'!N82+IF(parametros_carros!$H$22="Todos",'Plan mensual'!N86,0)))/60</f>
        <v>9.11393913</v>
      </c>
      <c r="M145" s="9">
        <f>(parametros_carros!$D$22*('Plan mensual'!O79+IF(parametros_carros!$H$22="Todos",'Plan mensual'!O83,0))+parametros_carros!$E$22*('Plan mensual'!O80+IF(parametros_carros!$H$22="Todos",'Plan mensual'!O84,0))+parametros_carros!$F$22*('Plan mensual'!O81+IF(parametros_carros!$H$22="Todos",'Plan mensual'!O85,0))+parametros_carros!$G$22*('Plan mensual'!O82+IF(parametros_carros!$H$22="Todos",'Plan mensual'!O86,0)))/60</f>
        <v>10.41593043</v>
      </c>
      <c r="N145" s="9">
        <f t="shared" si="22"/>
        <v>130.1991304</v>
      </c>
      <c r="O145" s="9">
        <f t="shared" si="23"/>
        <v>11.71792174</v>
      </c>
      <c r="P145" s="32">
        <f>IF(parametros_carros!$B$7=0,0,(O145+parametros_carros!$G$48)/parametros_carros!$B$7)</f>
        <v>0.1181194783</v>
      </c>
      <c r="Q145" s="21" t="str">
        <f t="shared" si="24"/>
        <v>Mar</v>
      </c>
    </row>
    <row r="146" ht="14.25" customHeight="1">
      <c r="A146" s="2" t="str">
        <f>parametros_carros!$B$23</f>
        <v>Punteo del cuerpo</v>
      </c>
      <c r="B146" s="9">
        <f>(parametros_carros!$D$23*('Plan mensual'!D79+IF(parametros_carros!$H$23="Todos",'Plan mensual'!D83,0))+parametros_carros!$E$23*('Plan mensual'!D80+IF(parametros_carros!$H$23="Todos",'Plan mensual'!D84,0))+parametros_carros!$F$23*('Plan mensual'!D81+IF(parametros_carros!$H$23="Todos",'Plan mensual'!D85,0))+parametros_carros!$G$23*('Plan mensual'!D82+IF(parametros_carros!$H$23="Todos",'Plan mensual'!D86,0)))/60</f>
        <v>16.40790109</v>
      </c>
      <c r="C146" s="9">
        <f>(parametros_carros!$D$23*('Plan mensual'!E79+IF(parametros_carros!$H$23="Todos",'Plan mensual'!E83,0))+parametros_carros!$E$23*('Plan mensual'!E80+IF(parametros_carros!$H$23="Todos",'Plan mensual'!E84,0))+parametros_carros!$F$23*('Plan mensual'!E81+IF(parametros_carros!$H$23="Todos",'Plan mensual'!E85,0))+parametros_carros!$G$23*('Plan mensual'!E82+IF(parametros_carros!$H$23="Todos",'Plan mensual'!E86,0)))/60</f>
        <v>14.47755978</v>
      </c>
      <c r="D146" s="9">
        <f>(parametros_carros!$D$23*('Plan mensual'!F79+IF(parametros_carros!$H$23="Todos",'Plan mensual'!F83,0))+parametros_carros!$E$23*('Plan mensual'!F80+IF(parametros_carros!$H$23="Todos",'Plan mensual'!F84,0))+parametros_carros!$F$23*('Plan mensual'!F81+IF(parametros_carros!$H$23="Todos",'Plan mensual'!F85,0))+parametros_carros!$G$23*('Plan mensual'!F82+IF(parametros_carros!$H$23="Todos",'Plan mensual'!F86,0)))/60</f>
        <v>17.37307174</v>
      </c>
      <c r="E146" s="9">
        <f>(parametros_carros!$D$23*('Plan mensual'!G79+IF(parametros_carros!$H$23="Todos",'Plan mensual'!G83,0))+parametros_carros!$E$23*('Plan mensual'!G80+IF(parametros_carros!$H$23="Todos",'Plan mensual'!G84,0))+parametros_carros!$F$23*('Plan mensual'!G81+IF(parametros_carros!$H$23="Todos",'Plan mensual'!G85,0))+parametros_carros!$G$23*('Plan mensual'!G82+IF(parametros_carros!$H$23="Todos",'Plan mensual'!G86,0)))/60</f>
        <v>17.37307174</v>
      </c>
      <c r="F146" s="9">
        <f>(parametros_carros!$D$23*('Plan mensual'!H79+IF(parametros_carros!$H$23="Todos",'Plan mensual'!H83,0))+parametros_carros!$E$23*('Plan mensual'!H80+IF(parametros_carros!$H$23="Todos",'Plan mensual'!H84,0))+parametros_carros!$F$23*('Plan mensual'!H81+IF(parametros_carros!$H$23="Todos",'Plan mensual'!H85,0))+parametros_carros!$G$23*('Plan mensual'!H82+IF(parametros_carros!$H$23="Todos",'Plan mensual'!H86,0)))/60</f>
        <v>17.37307174</v>
      </c>
      <c r="G146" s="9">
        <f>(parametros_carros!$D$23*('Plan mensual'!I79+IF(parametros_carros!$H$23="Todos",'Plan mensual'!I83,0))+parametros_carros!$E$23*('Plan mensual'!I80+IF(parametros_carros!$H$23="Todos",'Plan mensual'!I84,0))+parametros_carros!$F$23*('Plan mensual'!I81+IF(parametros_carros!$H$23="Todos",'Plan mensual'!I85,0))+parametros_carros!$G$23*('Plan mensual'!I82+IF(parametros_carros!$H$23="Todos",'Plan mensual'!I86,0)))/60</f>
        <v>15.44273043</v>
      </c>
      <c r="H146" s="9">
        <f>(parametros_carros!$D$23*('Plan mensual'!J79+IF(parametros_carros!$H$23="Todos",'Plan mensual'!J83,0))+parametros_carros!$E$23*('Plan mensual'!J80+IF(parametros_carros!$H$23="Todos",'Plan mensual'!J84,0))+parametros_carros!$F$23*('Plan mensual'!J81+IF(parametros_carros!$H$23="Todos",'Plan mensual'!J85,0))+parametros_carros!$G$23*('Plan mensual'!J82+IF(parametros_carros!$H$23="Todos",'Plan mensual'!J86,0)))/60</f>
        <v>17.37307174</v>
      </c>
      <c r="I146" s="9">
        <f>(parametros_carros!$D$23*('Plan mensual'!K79+IF(parametros_carros!$H$23="Todos",'Plan mensual'!K83,0))+parametros_carros!$E$23*('Plan mensual'!K80+IF(parametros_carros!$H$23="Todos",'Plan mensual'!K84,0))+parametros_carros!$F$23*('Plan mensual'!K81+IF(parametros_carros!$H$23="Todos",'Plan mensual'!K85,0))+parametros_carros!$G$23*('Plan mensual'!K82+IF(parametros_carros!$H$23="Todos",'Plan mensual'!K86,0)))/60</f>
        <v>17.37307174</v>
      </c>
      <c r="J146" s="9">
        <f>(parametros_carros!$D$23*('Plan mensual'!L79+IF(parametros_carros!$H$23="Todos",'Plan mensual'!L83,0))+parametros_carros!$E$23*('Plan mensual'!L80+IF(parametros_carros!$H$23="Todos",'Plan mensual'!L84,0))+parametros_carros!$F$23*('Plan mensual'!L81+IF(parametros_carros!$H$23="Todos",'Plan mensual'!L85,0))+parametros_carros!$G$23*('Plan mensual'!L82+IF(parametros_carros!$H$23="Todos",'Plan mensual'!L86,0)))/60</f>
        <v>16.40790109</v>
      </c>
      <c r="K146" s="9">
        <f>(parametros_carros!$D$23*('Plan mensual'!M79+IF(parametros_carros!$H$23="Todos",'Plan mensual'!M83,0))+parametros_carros!$E$23*('Plan mensual'!M80+IF(parametros_carros!$H$23="Todos",'Plan mensual'!M84,0))+parametros_carros!$F$23*('Plan mensual'!M81+IF(parametros_carros!$H$23="Todos",'Plan mensual'!M85,0))+parametros_carros!$G$23*('Plan mensual'!M82+IF(parametros_carros!$H$23="Todos",'Plan mensual'!M86,0)))/60</f>
        <v>14.47755978</v>
      </c>
      <c r="L146" s="9">
        <f>(parametros_carros!$D$23*('Plan mensual'!N79+IF(parametros_carros!$H$23="Todos",'Plan mensual'!N83,0))+parametros_carros!$E$23*('Plan mensual'!N80+IF(parametros_carros!$H$23="Todos",'Plan mensual'!N84,0))+parametros_carros!$F$23*('Plan mensual'!N81+IF(parametros_carros!$H$23="Todos",'Plan mensual'!N85,0))+parametros_carros!$G$23*('Plan mensual'!N82+IF(parametros_carros!$H$23="Todos",'Plan mensual'!N86,0)))/60</f>
        <v>13.51238913</v>
      </c>
      <c r="M146" s="9">
        <f>(parametros_carros!$D$23*('Plan mensual'!O79+IF(parametros_carros!$H$23="Todos",'Plan mensual'!O83,0))+parametros_carros!$E$23*('Plan mensual'!O80+IF(parametros_carros!$H$23="Todos",'Plan mensual'!O84,0))+parametros_carros!$F$23*('Plan mensual'!O81+IF(parametros_carros!$H$23="Todos",'Plan mensual'!O85,0))+parametros_carros!$G$23*('Plan mensual'!O82+IF(parametros_carros!$H$23="Todos",'Plan mensual'!O86,0)))/60</f>
        <v>15.44273043</v>
      </c>
      <c r="N146" s="9">
        <f t="shared" si="22"/>
        <v>193.0341304</v>
      </c>
      <c r="O146" s="9">
        <f t="shared" si="23"/>
        <v>17.37307174</v>
      </c>
      <c r="P146" s="32">
        <f>IF(parametros_carros!$B$7=0,0,(O146+parametros_carros!$G$49)/parametros_carros!$B$7)</f>
        <v>0.1269315894</v>
      </c>
      <c r="Q146" s="21" t="str">
        <f t="shared" si="24"/>
        <v>Mar</v>
      </c>
    </row>
    <row r="147" ht="14.25" customHeight="1">
      <c r="A147" s="2" t="str">
        <f>parametros_carros!$B$24</f>
        <v>Soldadura longitudinal</v>
      </c>
      <c r="B147" s="9">
        <f>(parametros_carros!$D$24*('Plan mensual'!D79+IF(parametros_carros!$H$24="Todos",'Plan mensual'!D83,0))+parametros_carros!$E$24*('Plan mensual'!D80+IF(parametros_carros!$H$24="Todos",'Plan mensual'!D84,0))+parametros_carros!$F$24*('Plan mensual'!D81+IF(parametros_carros!$H$24="Todos",'Plan mensual'!D85,0))+parametros_carros!$G$24*('Plan mensual'!D82+IF(parametros_carros!$H$24="Todos",'Plan mensual'!D86,0)))/60</f>
        <v>11.273125</v>
      </c>
      <c r="C147" s="9">
        <f>(parametros_carros!$D$24*('Plan mensual'!E79+IF(parametros_carros!$H$24="Todos",'Plan mensual'!E83,0))+parametros_carros!$E$24*('Plan mensual'!E80+IF(parametros_carros!$H$24="Todos",'Plan mensual'!E84,0))+parametros_carros!$F$24*('Plan mensual'!E81+IF(parametros_carros!$H$24="Todos",'Plan mensual'!E85,0))+parametros_carros!$G$24*('Plan mensual'!E82+IF(parametros_carros!$H$24="Todos",'Plan mensual'!E86,0)))/60</f>
        <v>9.946875</v>
      </c>
      <c r="D147" s="9">
        <f>(parametros_carros!$D$24*('Plan mensual'!F79+IF(parametros_carros!$H$24="Todos",'Plan mensual'!F83,0))+parametros_carros!$E$24*('Plan mensual'!F80+IF(parametros_carros!$H$24="Todos",'Plan mensual'!F84,0))+parametros_carros!$F$24*('Plan mensual'!F81+IF(parametros_carros!$H$24="Todos",'Plan mensual'!F85,0))+parametros_carros!$G$24*('Plan mensual'!F82+IF(parametros_carros!$H$24="Todos",'Plan mensual'!F86,0)))/60</f>
        <v>11.93625</v>
      </c>
      <c r="E147" s="9">
        <f>(parametros_carros!$D$24*('Plan mensual'!G79+IF(parametros_carros!$H$24="Todos",'Plan mensual'!G83,0))+parametros_carros!$E$24*('Plan mensual'!G80+IF(parametros_carros!$H$24="Todos",'Plan mensual'!G84,0))+parametros_carros!$F$24*('Plan mensual'!G81+IF(parametros_carros!$H$24="Todos",'Plan mensual'!G85,0))+parametros_carros!$G$24*('Plan mensual'!G82+IF(parametros_carros!$H$24="Todos",'Plan mensual'!G86,0)))/60</f>
        <v>11.93625</v>
      </c>
      <c r="F147" s="9">
        <f>(parametros_carros!$D$24*('Plan mensual'!H79+IF(parametros_carros!$H$24="Todos",'Plan mensual'!H83,0))+parametros_carros!$E$24*('Plan mensual'!H80+IF(parametros_carros!$H$24="Todos",'Plan mensual'!H84,0))+parametros_carros!$F$24*('Plan mensual'!H81+IF(parametros_carros!$H$24="Todos",'Plan mensual'!H85,0))+parametros_carros!$G$24*('Plan mensual'!H82+IF(parametros_carros!$H$24="Todos",'Plan mensual'!H86,0)))/60</f>
        <v>11.93625</v>
      </c>
      <c r="G147" s="9">
        <f>(parametros_carros!$D$24*('Plan mensual'!I79+IF(parametros_carros!$H$24="Todos",'Plan mensual'!I83,0))+parametros_carros!$E$24*('Plan mensual'!I80+IF(parametros_carros!$H$24="Todos",'Plan mensual'!I84,0))+parametros_carros!$F$24*('Plan mensual'!I81+IF(parametros_carros!$H$24="Todos",'Plan mensual'!I85,0))+parametros_carros!$G$24*('Plan mensual'!I82+IF(parametros_carros!$H$24="Todos",'Plan mensual'!I86,0)))/60</f>
        <v>10.61</v>
      </c>
      <c r="H147" s="9">
        <f>(parametros_carros!$D$24*('Plan mensual'!J79+IF(parametros_carros!$H$24="Todos",'Plan mensual'!J83,0))+parametros_carros!$E$24*('Plan mensual'!J80+IF(parametros_carros!$H$24="Todos",'Plan mensual'!J84,0))+parametros_carros!$F$24*('Plan mensual'!J81+IF(parametros_carros!$H$24="Todos",'Plan mensual'!J85,0))+parametros_carros!$G$24*('Plan mensual'!J82+IF(parametros_carros!$H$24="Todos",'Plan mensual'!J86,0)))/60</f>
        <v>11.93625</v>
      </c>
      <c r="I147" s="9">
        <f>(parametros_carros!$D$24*('Plan mensual'!K79+IF(parametros_carros!$H$24="Todos",'Plan mensual'!K83,0))+parametros_carros!$E$24*('Plan mensual'!K80+IF(parametros_carros!$H$24="Todos",'Plan mensual'!K84,0))+parametros_carros!$F$24*('Plan mensual'!K81+IF(parametros_carros!$H$24="Todos",'Plan mensual'!K85,0))+parametros_carros!$G$24*('Plan mensual'!K82+IF(parametros_carros!$H$24="Todos",'Plan mensual'!K86,0)))/60</f>
        <v>11.93625</v>
      </c>
      <c r="J147" s="9">
        <f>(parametros_carros!$D$24*('Plan mensual'!L79+IF(parametros_carros!$H$24="Todos",'Plan mensual'!L83,0))+parametros_carros!$E$24*('Plan mensual'!L80+IF(parametros_carros!$H$24="Todos",'Plan mensual'!L84,0))+parametros_carros!$F$24*('Plan mensual'!L81+IF(parametros_carros!$H$24="Todos",'Plan mensual'!L85,0))+parametros_carros!$G$24*('Plan mensual'!L82+IF(parametros_carros!$H$24="Todos",'Plan mensual'!L86,0)))/60</f>
        <v>11.273125</v>
      </c>
      <c r="K147" s="9">
        <f>(parametros_carros!$D$24*('Plan mensual'!M79+IF(parametros_carros!$H$24="Todos",'Plan mensual'!M83,0))+parametros_carros!$E$24*('Plan mensual'!M80+IF(parametros_carros!$H$24="Todos",'Plan mensual'!M84,0))+parametros_carros!$F$24*('Plan mensual'!M81+IF(parametros_carros!$H$24="Todos",'Plan mensual'!M85,0))+parametros_carros!$G$24*('Plan mensual'!M82+IF(parametros_carros!$H$24="Todos",'Plan mensual'!M86,0)))/60</f>
        <v>9.946875</v>
      </c>
      <c r="L147" s="9">
        <f>(parametros_carros!$D$24*('Plan mensual'!N79+IF(parametros_carros!$H$24="Todos",'Plan mensual'!N83,0))+parametros_carros!$E$24*('Plan mensual'!N80+IF(parametros_carros!$H$24="Todos",'Plan mensual'!N84,0))+parametros_carros!$F$24*('Plan mensual'!N81+IF(parametros_carros!$H$24="Todos",'Plan mensual'!N85,0))+parametros_carros!$G$24*('Plan mensual'!N82+IF(parametros_carros!$H$24="Todos",'Plan mensual'!N86,0)))/60</f>
        <v>9.28375</v>
      </c>
      <c r="M147" s="9">
        <f>(parametros_carros!$D$24*('Plan mensual'!O79+IF(parametros_carros!$H$24="Todos",'Plan mensual'!O83,0))+parametros_carros!$E$24*('Plan mensual'!O80+IF(parametros_carros!$H$24="Todos",'Plan mensual'!O84,0))+parametros_carros!$F$24*('Plan mensual'!O81+IF(parametros_carros!$H$24="Todos",'Plan mensual'!O85,0))+parametros_carros!$G$24*('Plan mensual'!O82+IF(parametros_carros!$H$24="Todos",'Plan mensual'!O86,0)))/60</f>
        <v>10.61</v>
      </c>
      <c r="N147" s="9">
        <f t="shared" si="22"/>
        <v>132.625</v>
      </c>
      <c r="O147" s="9">
        <f t="shared" si="23"/>
        <v>11.93625</v>
      </c>
      <c r="P147" s="32">
        <f>IF(parametros_carros!$B$7=0,0,(O147+parametros_carros!$G$50)/parametros_carros!$B$7)</f>
        <v>0.09735277778</v>
      </c>
      <c r="Q147" s="21" t="str">
        <f t="shared" si="24"/>
        <v>Mar</v>
      </c>
    </row>
    <row r="148" ht="14.25" customHeight="1">
      <c r="A148" s="2" t="str">
        <f>parametros_carros!$B$25</f>
        <v>Soldadura de cupla en la cúpula</v>
      </c>
      <c r="B148" s="9">
        <f>(parametros_carros!$D$25*('Plan mensual'!D79+IF(parametros_carros!$H$25="Todos",'Plan mensual'!D83,0))+parametros_carros!$E$25*('Plan mensual'!D80+IF(parametros_carros!$H$25="Todos",'Plan mensual'!D84,0))+parametros_carros!$F$25*('Plan mensual'!D81+IF(parametros_carros!$H$25="Todos",'Plan mensual'!D85,0))+parametros_carros!$G$25*('Plan mensual'!D82+IF(parametros_carros!$H$25="Todos",'Plan mensual'!D86,0)))/60</f>
        <v>11.1384</v>
      </c>
      <c r="C148" s="9">
        <f>(parametros_carros!$D$25*('Plan mensual'!E79+IF(parametros_carros!$H$25="Todos",'Plan mensual'!E83,0))+parametros_carros!$E$25*('Plan mensual'!E80+IF(parametros_carros!$H$25="Todos",'Plan mensual'!E84,0))+parametros_carros!$F$25*('Plan mensual'!E81+IF(parametros_carros!$H$25="Todos",'Plan mensual'!E85,0))+parametros_carros!$G$25*('Plan mensual'!E82+IF(parametros_carros!$H$25="Todos",'Plan mensual'!E86,0)))/60</f>
        <v>9.828</v>
      </c>
      <c r="D148" s="9">
        <f>(parametros_carros!$D$25*('Plan mensual'!F79+IF(parametros_carros!$H$25="Todos",'Plan mensual'!F83,0))+parametros_carros!$E$25*('Plan mensual'!F80+IF(parametros_carros!$H$25="Todos",'Plan mensual'!F84,0))+parametros_carros!$F$25*('Plan mensual'!F81+IF(parametros_carros!$H$25="Todos",'Plan mensual'!F85,0))+parametros_carros!$G$25*('Plan mensual'!F82+IF(parametros_carros!$H$25="Todos",'Plan mensual'!F86,0)))/60</f>
        <v>11.7936</v>
      </c>
      <c r="E148" s="9">
        <f>(parametros_carros!$D$25*('Plan mensual'!G79+IF(parametros_carros!$H$25="Todos",'Plan mensual'!G83,0))+parametros_carros!$E$25*('Plan mensual'!G80+IF(parametros_carros!$H$25="Todos",'Plan mensual'!G84,0))+parametros_carros!$F$25*('Plan mensual'!G81+IF(parametros_carros!$H$25="Todos",'Plan mensual'!G85,0))+parametros_carros!$G$25*('Plan mensual'!G82+IF(parametros_carros!$H$25="Todos",'Plan mensual'!G86,0)))/60</f>
        <v>11.7936</v>
      </c>
      <c r="F148" s="9">
        <f>(parametros_carros!$D$25*('Plan mensual'!H79+IF(parametros_carros!$H$25="Todos",'Plan mensual'!H83,0))+parametros_carros!$E$25*('Plan mensual'!H80+IF(parametros_carros!$H$25="Todos",'Plan mensual'!H84,0))+parametros_carros!$F$25*('Plan mensual'!H81+IF(parametros_carros!$H$25="Todos",'Plan mensual'!H85,0))+parametros_carros!$G$25*('Plan mensual'!H82+IF(parametros_carros!$H$25="Todos",'Plan mensual'!H86,0)))/60</f>
        <v>11.7936</v>
      </c>
      <c r="G148" s="9">
        <f>(parametros_carros!$D$25*('Plan mensual'!I79+IF(parametros_carros!$H$25="Todos",'Plan mensual'!I83,0))+parametros_carros!$E$25*('Plan mensual'!I80+IF(parametros_carros!$H$25="Todos",'Plan mensual'!I84,0))+parametros_carros!$F$25*('Plan mensual'!I81+IF(parametros_carros!$H$25="Todos",'Plan mensual'!I85,0))+parametros_carros!$G$25*('Plan mensual'!I82+IF(parametros_carros!$H$25="Todos",'Plan mensual'!I86,0)))/60</f>
        <v>10.4832</v>
      </c>
      <c r="H148" s="9">
        <f>(parametros_carros!$D$25*('Plan mensual'!J79+IF(parametros_carros!$H$25="Todos",'Plan mensual'!J83,0))+parametros_carros!$E$25*('Plan mensual'!J80+IF(parametros_carros!$H$25="Todos",'Plan mensual'!J84,0))+parametros_carros!$F$25*('Plan mensual'!J81+IF(parametros_carros!$H$25="Todos",'Plan mensual'!J85,0))+parametros_carros!$G$25*('Plan mensual'!J82+IF(parametros_carros!$H$25="Todos",'Plan mensual'!J86,0)))/60</f>
        <v>11.7936</v>
      </c>
      <c r="I148" s="9">
        <f>(parametros_carros!$D$25*('Plan mensual'!K79+IF(parametros_carros!$H$25="Todos",'Plan mensual'!K83,0))+parametros_carros!$E$25*('Plan mensual'!K80+IF(parametros_carros!$H$25="Todos",'Plan mensual'!K84,0))+parametros_carros!$F$25*('Plan mensual'!K81+IF(parametros_carros!$H$25="Todos",'Plan mensual'!K85,0))+parametros_carros!$G$25*('Plan mensual'!K82+IF(parametros_carros!$H$25="Todos",'Plan mensual'!K86,0)))/60</f>
        <v>11.7936</v>
      </c>
      <c r="J148" s="9">
        <f>(parametros_carros!$D$25*('Plan mensual'!L79+IF(parametros_carros!$H$25="Todos",'Plan mensual'!L83,0))+parametros_carros!$E$25*('Plan mensual'!L80+IF(parametros_carros!$H$25="Todos",'Plan mensual'!L84,0))+parametros_carros!$F$25*('Plan mensual'!L81+IF(parametros_carros!$H$25="Todos",'Plan mensual'!L85,0))+parametros_carros!$G$25*('Plan mensual'!L82+IF(parametros_carros!$H$25="Todos",'Plan mensual'!L86,0)))/60</f>
        <v>11.1384</v>
      </c>
      <c r="K148" s="9">
        <f>(parametros_carros!$D$25*('Plan mensual'!M79+IF(parametros_carros!$H$25="Todos",'Plan mensual'!M83,0))+parametros_carros!$E$25*('Plan mensual'!M80+IF(parametros_carros!$H$25="Todos",'Plan mensual'!M84,0))+parametros_carros!$F$25*('Plan mensual'!M81+IF(parametros_carros!$H$25="Todos",'Plan mensual'!M85,0))+parametros_carros!$G$25*('Plan mensual'!M82+IF(parametros_carros!$H$25="Todos",'Plan mensual'!M86,0)))/60</f>
        <v>9.828</v>
      </c>
      <c r="L148" s="9">
        <f>(parametros_carros!$D$25*('Plan mensual'!N79+IF(parametros_carros!$H$25="Todos",'Plan mensual'!N83,0))+parametros_carros!$E$25*('Plan mensual'!N80+IF(parametros_carros!$H$25="Todos",'Plan mensual'!N84,0))+parametros_carros!$F$25*('Plan mensual'!N81+IF(parametros_carros!$H$25="Todos",'Plan mensual'!N85,0))+parametros_carros!$G$25*('Plan mensual'!N82+IF(parametros_carros!$H$25="Todos",'Plan mensual'!N86,0)))/60</f>
        <v>9.1728</v>
      </c>
      <c r="M148" s="9">
        <f>(parametros_carros!$D$25*('Plan mensual'!O79+IF(parametros_carros!$H$25="Todos",'Plan mensual'!O83,0))+parametros_carros!$E$25*('Plan mensual'!O80+IF(parametros_carros!$H$25="Todos",'Plan mensual'!O84,0))+parametros_carros!$F$25*('Plan mensual'!O81+IF(parametros_carros!$H$25="Todos",'Plan mensual'!O85,0))+parametros_carros!$G$25*('Plan mensual'!O82+IF(parametros_carros!$H$25="Todos",'Plan mensual'!O86,0)))/60</f>
        <v>10.4832</v>
      </c>
      <c r="N148" s="9">
        <f t="shared" si="22"/>
        <v>131.04</v>
      </c>
      <c r="O148" s="9">
        <f t="shared" si="23"/>
        <v>11.7936</v>
      </c>
      <c r="P148" s="32">
        <f>IF(parametros_carros!$B$7=0,0,(O148+parametros_carros!$G$51)/parametros_carros!$B$7)</f>
        <v>0.098624</v>
      </c>
      <c r="Q148" s="21" t="str">
        <f t="shared" si="24"/>
        <v>Mar</v>
      </c>
    </row>
    <row r="149" ht="14.25" customHeight="1">
      <c r="A149" s="2" t="str">
        <f>parametros_carros!$B$26</f>
        <v>Armado y soldadura circunferencial</v>
      </c>
      <c r="B149" s="9">
        <f>(parametros_carros!$D$26*('Plan mensual'!D79+IF(parametros_carros!$H$26="Todos",'Plan mensual'!D83,0))+parametros_carros!$E$26*('Plan mensual'!D80+IF(parametros_carros!$H$26="Todos",'Plan mensual'!D84,0))+parametros_carros!$F$26*('Plan mensual'!D81+IF(parametros_carros!$H$26="Todos",'Plan mensual'!D85,0))+parametros_carros!$G$26*('Plan mensual'!D82+IF(parametros_carros!$H$26="Todos",'Plan mensual'!D86,0)))/60</f>
        <v>52.67535</v>
      </c>
      <c r="C149" s="9">
        <f>(parametros_carros!$D$26*('Plan mensual'!E79+IF(parametros_carros!$H$26="Todos",'Plan mensual'!E83,0))+parametros_carros!$E$26*('Plan mensual'!E80+IF(parametros_carros!$H$26="Todos",'Plan mensual'!E84,0))+parametros_carros!$F$26*('Plan mensual'!E81+IF(parametros_carros!$H$26="Todos",'Plan mensual'!E85,0))+parametros_carros!$G$26*('Plan mensual'!E82+IF(parametros_carros!$H$26="Todos",'Plan mensual'!E86,0)))/60</f>
        <v>46.47825</v>
      </c>
      <c r="D149" s="9">
        <f>(parametros_carros!$D$26*('Plan mensual'!F79+IF(parametros_carros!$H$26="Todos",'Plan mensual'!F83,0))+parametros_carros!$E$26*('Plan mensual'!F80+IF(parametros_carros!$H$26="Todos",'Plan mensual'!F84,0))+parametros_carros!$F$26*('Plan mensual'!F81+IF(parametros_carros!$H$26="Todos",'Plan mensual'!F85,0))+parametros_carros!$G$26*('Plan mensual'!F82+IF(parametros_carros!$H$26="Todos",'Plan mensual'!F86,0)))/60</f>
        <v>55.7739</v>
      </c>
      <c r="E149" s="9">
        <f>(parametros_carros!$D$26*('Plan mensual'!G79+IF(parametros_carros!$H$26="Todos",'Plan mensual'!G83,0))+parametros_carros!$E$26*('Plan mensual'!G80+IF(parametros_carros!$H$26="Todos",'Plan mensual'!G84,0))+parametros_carros!$F$26*('Plan mensual'!G81+IF(parametros_carros!$H$26="Todos",'Plan mensual'!G85,0))+parametros_carros!$G$26*('Plan mensual'!G82+IF(parametros_carros!$H$26="Todos",'Plan mensual'!G86,0)))/60</f>
        <v>55.7739</v>
      </c>
      <c r="F149" s="9">
        <f>(parametros_carros!$D$26*('Plan mensual'!H79+IF(parametros_carros!$H$26="Todos",'Plan mensual'!H83,0))+parametros_carros!$E$26*('Plan mensual'!H80+IF(parametros_carros!$H$26="Todos",'Plan mensual'!H84,0))+parametros_carros!$F$26*('Plan mensual'!H81+IF(parametros_carros!$H$26="Todos",'Plan mensual'!H85,0))+parametros_carros!$G$26*('Plan mensual'!H82+IF(parametros_carros!$H$26="Todos",'Plan mensual'!H86,0)))/60</f>
        <v>55.7739</v>
      </c>
      <c r="G149" s="9">
        <f>(parametros_carros!$D$26*('Plan mensual'!I79+IF(parametros_carros!$H$26="Todos",'Plan mensual'!I83,0))+parametros_carros!$E$26*('Plan mensual'!I80+IF(parametros_carros!$H$26="Todos",'Plan mensual'!I84,0))+parametros_carros!$F$26*('Plan mensual'!I81+IF(parametros_carros!$H$26="Todos",'Plan mensual'!I85,0))+parametros_carros!$G$26*('Plan mensual'!I82+IF(parametros_carros!$H$26="Todos",'Plan mensual'!I86,0)))/60</f>
        <v>49.5768</v>
      </c>
      <c r="H149" s="9">
        <f>(parametros_carros!$D$26*('Plan mensual'!J79+IF(parametros_carros!$H$26="Todos",'Plan mensual'!J83,0))+parametros_carros!$E$26*('Plan mensual'!J80+IF(parametros_carros!$H$26="Todos",'Plan mensual'!J84,0))+parametros_carros!$F$26*('Plan mensual'!J81+IF(parametros_carros!$H$26="Todos",'Plan mensual'!J85,0))+parametros_carros!$G$26*('Plan mensual'!J82+IF(parametros_carros!$H$26="Todos",'Plan mensual'!J86,0)))/60</f>
        <v>55.7739</v>
      </c>
      <c r="I149" s="9">
        <f>(parametros_carros!$D$26*('Plan mensual'!K79+IF(parametros_carros!$H$26="Todos",'Plan mensual'!K83,0))+parametros_carros!$E$26*('Plan mensual'!K80+IF(parametros_carros!$H$26="Todos",'Plan mensual'!K84,0))+parametros_carros!$F$26*('Plan mensual'!K81+IF(parametros_carros!$H$26="Todos",'Plan mensual'!K85,0))+parametros_carros!$G$26*('Plan mensual'!K82+IF(parametros_carros!$H$26="Todos",'Plan mensual'!K86,0)))/60</f>
        <v>55.7739</v>
      </c>
      <c r="J149" s="9">
        <f>(parametros_carros!$D$26*('Plan mensual'!L79+IF(parametros_carros!$H$26="Todos",'Plan mensual'!L83,0))+parametros_carros!$E$26*('Plan mensual'!L80+IF(parametros_carros!$H$26="Todos",'Plan mensual'!L84,0))+parametros_carros!$F$26*('Plan mensual'!L81+IF(parametros_carros!$H$26="Todos",'Plan mensual'!L85,0))+parametros_carros!$G$26*('Plan mensual'!L82+IF(parametros_carros!$H$26="Todos",'Plan mensual'!L86,0)))/60</f>
        <v>52.67535</v>
      </c>
      <c r="K149" s="9">
        <f>(parametros_carros!$D$26*('Plan mensual'!M79+IF(parametros_carros!$H$26="Todos",'Plan mensual'!M83,0))+parametros_carros!$E$26*('Plan mensual'!M80+IF(parametros_carros!$H$26="Todos",'Plan mensual'!M84,0))+parametros_carros!$F$26*('Plan mensual'!M81+IF(parametros_carros!$H$26="Todos",'Plan mensual'!M85,0))+parametros_carros!$G$26*('Plan mensual'!M82+IF(parametros_carros!$H$26="Todos",'Plan mensual'!M86,0)))/60</f>
        <v>46.47825</v>
      </c>
      <c r="L149" s="9">
        <f>(parametros_carros!$D$26*('Plan mensual'!N79+IF(parametros_carros!$H$26="Todos",'Plan mensual'!N83,0))+parametros_carros!$E$26*('Plan mensual'!N80+IF(parametros_carros!$H$26="Todos",'Plan mensual'!N84,0))+parametros_carros!$F$26*('Plan mensual'!N81+IF(parametros_carros!$H$26="Todos",'Plan mensual'!N85,0))+parametros_carros!$G$26*('Plan mensual'!N82+IF(parametros_carros!$H$26="Todos",'Plan mensual'!N86,0)))/60</f>
        <v>43.3797</v>
      </c>
      <c r="M149" s="9">
        <f>(parametros_carros!$D$26*('Plan mensual'!O79+IF(parametros_carros!$H$26="Todos",'Plan mensual'!O83,0))+parametros_carros!$E$26*('Plan mensual'!O80+IF(parametros_carros!$H$26="Todos",'Plan mensual'!O84,0))+parametros_carros!$F$26*('Plan mensual'!O81+IF(parametros_carros!$H$26="Todos",'Plan mensual'!O85,0))+parametros_carros!$G$26*('Plan mensual'!O82+IF(parametros_carros!$H$26="Todos",'Plan mensual'!O86,0)))/60</f>
        <v>49.5768</v>
      </c>
      <c r="N149" s="9">
        <f t="shared" si="22"/>
        <v>619.71</v>
      </c>
      <c r="O149" s="9">
        <f t="shared" si="23"/>
        <v>55.7739</v>
      </c>
      <c r="P149" s="32">
        <f>IF(parametros_carros!$B$7=0,0,(O149+parametros_carros!$G$52)/parametros_carros!$B$7)</f>
        <v>0.391826</v>
      </c>
      <c r="Q149" s="21" t="str">
        <f t="shared" si="24"/>
        <v>Mar</v>
      </c>
    </row>
    <row r="150" ht="14.25" customHeight="1">
      <c r="A150" s="2" t="str">
        <f>parametros_carros!$B$27</f>
        <v>Soldadura de accesorios</v>
      </c>
      <c r="B150" s="9">
        <f>(parametros_carros!$D$27*('Plan mensual'!D79+IF(parametros_carros!$H$27="Todos",'Plan mensual'!D83,0))+parametros_carros!$E$27*('Plan mensual'!D80+IF(parametros_carros!$H$27="Todos",'Plan mensual'!D84,0))+parametros_carros!$F$27*('Plan mensual'!D81+IF(parametros_carros!$H$27="Todos",'Plan mensual'!D85,0))+parametros_carros!$G$27*('Plan mensual'!D82+IF(parametros_carros!$H$27="Todos",'Plan mensual'!D86,0)))/60</f>
        <v>53.66985</v>
      </c>
      <c r="C150" s="9">
        <f>(parametros_carros!$D$27*('Plan mensual'!E79+IF(parametros_carros!$H$27="Todos",'Plan mensual'!E83,0))+parametros_carros!$E$27*('Plan mensual'!E80+IF(parametros_carros!$H$27="Todos",'Plan mensual'!E84,0))+parametros_carros!$F$27*('Plan mensual'!E81+IF(parametros_carros!$H$27="Todos",'Plan mensual'!E85,0))+parametros_carros!$G$27*('Plan mensual'!E82+IF(parametros_carros!$H$27="Todos",'Plan mensual'!E86,0)))/60</f>
        <v>47.35575</v>
      </c>
      <c r="D150" s="9">
        <f>(parametros_carros!$D$27*('Plan mensual'!F79+IF(parametros_carros!$H$27="Todos",'Plan mensual'!F83,0))+parametros_carros!$E$27*('Plan mensual'!F80+IF(parametros_carros!$H$27="Todos",'Plan mensual'!F84,0))+parametros_carros!$F$27*('Plan mensual'!F81+IF(parametros_carros!$H$27="Todos",'Plan mensual'!F85,0))+parametros_carros!$G$27*('Plan mensual'!F82+IF(parametros_carros!$H$27="Todos",'Plan mensual'!F86,0)))/60</f>
        <v>56.8269</v>
      </c>
      <c r="E150" s="9">
        <f>(parametros_carros!$D$27*('Plan mensual'!G79+IF(parametros_carros!$H$27="Todos",'Plan mensual'!G83,0))+parametros_carros!$E$27*('Plan mensual'!G80+IF(parametros_carros!$H$27="Todos",'Plan mensual'!G84,0))+parametros_carros!$F$27*('Plan mensual'!G81+IF(parametros_carros!$H$27="Todos",'Plan mensual'!G85,0))+parametros_carros!$G$27*('Plan mensual'!G82+IF(parametros_carros!$H$27="Todos",'Plan mensual'!G86,0)))/60</f>
        <v>56.8269</v>
      </c>
      <c r="F150" s="9">
        <f>(parametros_carros!$D$27*('Plan mensual'!H79+IF(parametros_carros!$H$27="Todos",'Plan mensual'!H83,0))+parametros_carros!$E$27*('Plan mensual'!H80+IF(parametros_carros!$H$27="Todos",'Plan mensual'!H84,0))+parametros_carros!$F$27*('Plan mensual'!H81+IF(parametros_carros!$H$27="Todos",'Plan mensual'!H85,0))+parametros_carros!$G$27*('Plan mensual'!H82+IF(parametros_carros!$H$27="Todos",'Plan mensual'!H86,0)))/60</f>
        <v>56.8269</v>
      </c>
      <c r="G150" s="9">
        <f>(parametros_carros!$D$27*('Plan mensual'!I79+IF(parametros_carros!$H$27="Todos",'Plan mensual'!I83,0))+parametros_carros!$E$27*('Plan mensual'!I80+IF(parametros_carros!$H$27="Todos",'Plan mensual'!I84,0))+parametros_carros!$F$27*('Plan mensual'!I81+IF(parametros_carros!$H$27="Todos",'Plan mensual'!I85,0))+parametros_carros!$G$27*('Plan mensual'!I82+IF(parametros_carros!$H$27="Todos",'Plan mensual'!I86,0)))/60</f>
        <v>50.5128</v>
      </c>
      <c r="H150" s="9">
        <f>(parametros_carros!$D$27*('Plan mensual'!J79+IF(parametros_carros!$H$27="Todos",'Plan mensual'!J83,0))+parametros_carros!$E$27*('Plan mensual'!J80+IF(parametros_carros!$H$27="Todos",'Plan mensual'!J84,0))+parametros_carros!$F$27*('Plan mensual'!J81+IF(parametros_carros!$H$27="Todos",'Plan mensual'!J85,0))+parametros_carros!$G$27*('Plan mensual'!J82+IF(parametros_carros!$H$27="Todos",'Plan mensual'!J86,0)))/60</f>
        <v>56.8269</v>
      </c>
      <c r="I150" s="9">
        <f>(parametros_carros!$D$27*('Plan mensual'!K79+IF(parametros_carros!$H$27="Todos",'Plan mensual'!K83,0))+parametros_carros!$E$27*('Plan mensual'!K80+IF(parametros_carros!$H$27="Todos",'Plan mensual'!K84,0))+parametros_carros!$F$27*('Plan mensual'!K81+IF(parametros_carros!$H$27="Todos",'Plan mensual'!K85,0))+parametros_carros!$G$27*('Plan mensual'!K82+IF(parametros_carros!$H$27="Todos",'Plan mensual'!K86,0)))/60</f>
        <v>56.8269</v>
      </c>
      <c r="J150" s="9">
        <f>(parametros_carros!$D$27*('Plan mensual'!L79+IF(parametros_carros!$H$27="Todos",'Plan mensual'!L83,0))+parametros_carros!$E$27*('Plan mensual'!L80+IF(parametros_carros!$H$27="Todos",'Plan mensual'!L84,0))+parametros_carros!$F$27*('Plan mensual'!L81+IF(parametros_carros!$H$27="Todos",'Plan mensual'!L85,0))+parametros_carros!$G$27*('Plan mensual'!L82+IF(parametros_carros!$H$27="Todos",'Plan mensual'!L86,0)))/60</f>
        <v>53.66985</v>
      </c>
      <c r="K150" s="9">
        <f>(parametros_carros!$D$27*('Plan mensual'!M79+IF(parametros_carros!$H$27="Todos",'Plan mensual'!M83,0))+parametros_carros!$E$27*('Plan mensual'!M80+IF(parametros_carros!$H$27="Todos",'Plan mensual'!M84,0))+parametros_carros!$F$27*('Plan mensual'!M81+IF(parametros_carros!$H$27="Todos",'Plan mensual'!M85,0))+parametros_carros!$G$27*('Plan mensual'!M82+IF(parametros_carros!$H$27="Todos",'Plan mensual'!M86,0)))/60</f>
        <v>47.35575</v>
      </c>
      <c r="L150" s="9">
        <f>(parametros_carros!$D$27*('Plan mensual'!N79+IF(parametros_carros!$H$27="Todos",'Plan mensual'!N83,0))+parametros_carros!$E$27*('Plan mensual'!N80+IF(parametros_carros!$H$27="Todos",'Plan mensual'!N84,0))+parametros_carros!$F$27*('Plan mensual'!N81+IF(parametros_carros!$H$27="Todos",'Plan mensual'!N85,0))+parametros_carros!$G$27*('Plan mensual'!N82+IF(parametros_carros!$H$27="Todos",'Plan mensual'!N86,0)))/60</f>
        <v>44.1987</v>
      </c>
      <c r="M150" s="9">
        <f>(parametros_carros!$D$27*('Plan mensual'!O79+IF(parametros_carros!$H$27="Todos",'Plan mensual'!O83,0))+parametros_carros!$E$27*('Plan mensual'!O80+IF(parametros_carros!$H$27="Todos",'Plan mensual'!O84,0))+parametros_carros!$F$27*('Plan mensual'!O81+IF(parametros_carros!$H$27="Todos",'Plan mensual'!O85,0))+parametros_carros!$G$27*('Plan mensual'!O82+IF(parametros_carros!$H$27="Todos",'Plan mensual'!O86,0)))/60</f>
        <v>50.5128</v>
      </c>
      <c r="N150" s="9">
        <f t="shared" si="22"/>
        <v>631.41</v>
      </c>
      <c r="O150" s="9">
        <f t="shared" si="23"/>
        <v>56.8269</v>
      </c>
      <c r="P150" s="32">
        <f>IF(parametros_carros!$B$7=0,0,(O150+parametros_carros!$G$53)/parametros_carros!$B$7)</f>
        <v>0.398846</v>
      </c>
      <c r="Q150" s="21" t="str">
        <f t="shared" si="24"/>
        <v>Mar</v>
      </c>
    </row>
    <row r="151" ht="14.25" customHeight="1">
      <c r="A151" s="2" t="str">
        <f>parametros_carros!$B$28</f>
        <v>Fabricación de accesorios</v>
      </c>
      <c r="B151" s="9">
        <f>(parametros_carros!$D$28*('Plan mensual'!D79+IF(parametros_carros!$H$28="Todos",'Plan mensual'!D83,0))+parametros_carros!$E$28*('Plan mensual'!D80+IF(parametros_carros!$H$28="Todos",'Plan mensual'!D84,0))+parametros_carros!$F$28*('Plan mensual'!D81+IF(parametros_carros!$H$28="Todos",'Plan mensual'!D85,0))+parametros_carros!$G$28*('Plan mensual'!D82+IF(parametros_carros!$H$28="Todos",'Plan mensual'!D86,0)))/60</f>
        <v>36.465</v>
      </c>
      <c r="C151" s="9">
        <f>(parametros_carros!$D$28*('Plan mensual'!E79+IF(parametros_carros!$H$28="Todos",'Plan mensual'!E83,0))+parametros_carros!$E$28*('Plan mensual'!E80+IF(parametros_carros!$H$28="Todos",'Plan mensual'!E84,0))+parametros_carros!$F$28*('Plan mensual'!E81+IF(parametros_carros!$H$28="Todos",'Plan mensual'!E85,0))+parametros_carros!$G$28*('Plan mensual'!E82+IF(parametros_carros!$H$28="Todos",'Plan mensual'!E86,0)))/60</f>
        <v>32.175</v>
      </c>
      <c r="D151" s="9">
        <f>(parametros_carros!$D$28*('Plan mensual'!F79+IF(parametros_carros!$H$28="Todos",'Plan mensual'!F83,0))+parametros_carros!$E$28*('Plan mensual'!F80+IF(parametros_carros!$H$28="Todos",'Plan mensual'!F84,0))+parametros_carros!$F$28*('Plan mensual'!F81+IF(parametros_carros!$H$28="Todos",'Plan mensual'!F85,0))+parametros_carros!$G$28*('Plan mensual'!F82+IF(parametros_carros!$H$28="Todos",'Plan mensual'!F86,0)))/60</f>
        <v>38.61</v>
      </c>
      <c r="E151" s="9">
        <f>(parametros_carros!$D$28*('Plan mensual'!G79+IF(parametros_carros!$H$28="Todos",'Plan mensual'!G83,0))+parametros_carros!$E$28*('Plan mensual'!G80+IF(parametros_carros!$H$28="Todos",'Plan mensual'!G84,0))+parametros_carros!$F$28*('Plan mensual'!G81+IF(parametros_carros!$H$28="Todos",'Plan mensual'!G85,0))+parametros_carros!$G$28*('Plan mensual'!G82+IF(parametros_carros!$H$28="Todos",'Plan mensual'!G86,0)))/60</f>
        <v>38.61</v>
      </c>
      <c r="F151" s="9">
        <f>(parametros_carros!$D$28*('Plan mensual'!H79+IF(parametros_carros!$H$28="Todos",'Plan mensual'!H83,0))+parametros_carros!$E$28*('Plan mensual'!H80+IF(parametros_carros!$H$28="Todos",'Plan mensual'!H84,0))+parametros_carros!$F$28*('Plan mensual'!H81+IF(parametros_carros!$H$28="Todos",'Plan mensual'!H85,0))+parametros_carros!$G$28*('Plan mensual'!H82+IF(parametros_carros!$H$28="Todos",'Plan mensual'!H86,0)))/60</f>
        <v>38.61</v>
      </c>
      <c r="G151" s="9">
        <f>(parametros_carros!$D$28*('Plan mensual'!I79+IF(parametros_carros!$H$28="Todos",'Plan mensual'!I83,0))+parametros_carros!$E$28*('Plan mensual'!I80+IF(parametros_carros!$H$28="Todos",'Plan mensual'!I84,0))+parametros_carros!$F$28*('Plan mensual'!I81+IF(parametros_carros!$H$28="Todos",'Plan mensual'!I85,0))+parametros_carros!$G$28*('Plan mensual'!I82+IF(parametros_carros!$H$28="Todos",'Plan mensual'!I86,0)))/60</f>
        <v>34.32</v>
      </c>
      <c r="H151" s="9">
        <f>(parametros_carros!$D$28*('Plan mensual'!J79+IF(parametros_carros!$H$28="Todos",'Plan mensual'!J83,0))+parametros_carros!$E$28*('Plan mensual'!J80+IF(parametros_carros!$H$28="Todos",'Plan mensual'!J84,0))+parametros_carros!$F$28*('Plan mensual'!J81+IF(parametros_carros!$H$28="Todos",'Plan mensual'!J85,0))+parametros_carros!$G$28*('Plan mensual'!J82+IF(parametros_carros!$H$28="Todos",'Plan mensual'!J86,0)))/60</f>
        <v>38.61</v>
      </c>
      <c r="I151" s="9">
        <f>(parametros_carros!$D$28*('Plan mensual'!K79+IF(parametros_carros!$H$28="Todos",'Plan mensual'!K83,0))+parametros_carros!$E$28*('Plan mensual'!K80+IF(parametros_carros!$H$28="Todos",'Plan mensual'!K84,0))+parametros_carros!$F$28*('Plan mensual'!K81+IF(parametros_carros!$H$28="Todos",'Plan mensual'!K85,0))+parametros_carros!$G$28*('Plan mensual'!K82+IF(parametros_carros!$H$28="Todos",'Plan mensual'!K86,0)))/60</f>
        <v>38.61</v>
      </c>
      <c r="J151" s="9">
        <f>(parametros_carros!$D$28*('Plan mensual'!L79+IF(parametros_carros!$H$28="Todos",'Plan mensual'!L83,0))+parametros_carros!$E$28*('Plan mensual'!L80+IF(parametros_carros!$H$28="Todos",'Plan mensual'!L84,0))+parametros_carros!$F$28*('Plan mensual'!L81+IF(parametros_carros!$H$28="Todos",'Plan mensual'!L85,0))+parametros_carros!$G$28*('Plan mensual'!L82+IF(parametros_carros!$H$28="Todos",'Plan mensual'!L86,0)))/60</f>
        <v>36.465</v>
      </c>
      <c r="K151" s="9">
        <f>(parametros_carros!$D$28*('Plan mensual'!M79+IF(parametros_carros!$H$28="Todos",'Plan mensual'!M83,0))+parametros_carros!$E$28*('Plan mensual'!M80+IF(parametros_carros!$H$28="Todos",'Plan mensual'!M84,0))+parametros_carros!$F$28*('Plan mensual'!M81+IF(parametros_carros!$H$28="Todos",'Plan mensual'!M85,0))+parametros_carros!$G$28*('Plan mensual'!M82+IF(parametros_carros!$H$28="Todos",'Plan mensual'!M86,0)))/60</f>
        <v>32.175</v>
      </c>
      <c r="L151" s="9">
        <f>(parametros_carros!$D$28*('Plan mensual'!N79+IF(parametros_carros!$H$28="Todos",'Plan mensual'!N83,0))+parametros_carros!$E$28*('Plan mensual'!N80+IF(parametros_carros!$H$28="Todos",'Plan mensual'!N84,0))+parametros_carros!$F$28*('Plan mensual'!N81+IF(parametros_carros!$H$28="Todos",'Plan mensual'!N85,0))+parametros_carros!$G$28*('Plan mensual'!N82+IF(parametros_carros!$H$28="Todos",'Plan mensual'!N86,0)))/60</f>
        <v>30.03</v>
      </c>
      <c r="M151" s="9">
        <f>(parametros_carros!$D$28*('Plan mensual'!O79+IF(parametros_carros!$H$28="Todos",'Plan mensual'!O83,0))+parametros_carros!$E$28*('Plan mensual'!O80+IF(parametros_carros!$H$28="Todos",'Plan mensual'!O84,0))+parametros_carros!$F$28*('Plan mensual'!O81+IF(parametros_carros!$H$28="Todos",'Plan mensual'!O85,0))+parametros_carros!$G$28*('Plan mensual'!O82+IF(parametros_carros!$H$28="Todos",'Plan mensual'!O86,0)))/60</f>
        <v>34.32</v>
      </c>
      <c r="N151" s="9">
        <f t="shared" si="22"/>
        <v>429</v>
      </c>
      <c r="O151" s="9">
        <f t="shared" si="23"/>
        <v>38.61</v>
      </c>
      <c r="P151" s="32">
        <f>IF(parametros_carros!$B$7=0,0,(O151+parametros_carros!$G$54)/parametros_carros!$B$7)</f>
        <v>0.2907333333</v>
      </c>
      <c r="Q151" s="21" t="str">
        <f t="shared" si="24"/>
        <v>Mar</v>
      </c>
    </row>
    <row r="152" ht="14.25" customHeight="1">
      <c r="A152" s="2" t="str">
        <f>parametros_carros!$B$29</f>
        <v>Prueba hidráulica</v>
      </c>
      <c r="B152" s="9">
        <f>(parametros_carros!$D$29*('Plan mensual'!D79+IF(parametros_carros!$H$29="Todos",'Plan mensual'!D83,0))+parametros_carros!$E$29*('Plan mensual'!D80+IF(parametros_carros!$H$29="Todos",'Plan mensual'!D84,0))+parametros_carros!$F$29*('Plan mensual'!D81+IF(parametros_carros!$H$29="Todos",'Plan mensual'!D85,0))+parametros_carros!$G$29*('Plan mensual'!D82+IF(parametros_carros!$H$29="Todos",'Plan mensual'!D86,0)))/60</f>
        <v>29.7687</v>
      </c>
      <c r="C152" s="9">
        <f>(parametros_carros!$D$29*('Plan mensual'!E79+IF(parametros_carros!$H$29="Todos",'Plan mensual'!E83,0))+parametros_carros!$E$29*('Plan mensual'!E80+IF(parametros_carros!$H$29="Todos",'Plan mensual'!E84,0))+parametros_carros!$F$29*('Plan mensual'!E81+IF(parametros_carros!$H$29="Todos",'Plan mensual'!E85,0))+parametros_carros!$G$29*('Plan mensual'!E82+IF(parametros_carros!$H$29="Todos",'Plan mensual'!E86,0)))/60</f>
        <v>26.2665</v>
      </c>
      <c r="D152" s="9">
        <f>(parametros_carros!$D$29*('Plan mensual'!F79+IF(parametros_carros!$H$29="Todos",'Plan mensual'!F83,0))+parametros_carros!$E$29*('Plan mensual'!F80+IF(parametros_carros!$H$29="Todos",'Plan mensual'!F84,0))+parametros_carros!$F$29*('Plan mensual'!F81+IF(parametros_carros!$H$29="Todos",'Plan mensual'!F85,0))+parametros_carros!$G$29*('Plan mensual'!F82+IF(parametros_carros!$H$29="Todos",'Plan mensual'!F86,0)))/60</f>
        <v>31.5198</v>
      </c>
      <c r="E152" s="9">
        <f>(parametros_carros!$D$29*('Plan mensual'!G79+IF(parametros_carros!$H$29="Todos",'Plan mensual'!G83,0))+parametros_carros!$E$29*('Plan mensual'!G80+IF(parametros_carros!$H$29="Todos",'Plan mensual'!G84,0))+parametros_carros!$F$29*('Plan mensual'!G81+IF(parametros_carros!$H$29="Todos",'Plan mensual'!G85,0))+parametros_carros!$G$29*('Plan mensual'!G82+IF(parametros_carros!$H$29="Todos",'Plan mensual'!G86,0)))/60</f>
        <v>31.5198</v>
      </c>
      <c r="F152" s="9">
        <f>(parametros_carros!$D$29*('Plan mensual'!H79+IF(parametros_carros!$H$29="Todos",'Plan mensual'!H83,0))+parametros_carros!$E$29*('Plan mensual'!H80+IF(parametros_carros!$H$29="Todos",'Plan mensual'!H84,0))+parametros_carros!$F$29*('Plan mensual'!H81+IF(parametros_carros!$H$29="Todos",'Plan mensual'!H85,0))+parametros_carros!$G$29*('Plan mensual'!H82+IF(parametros_carros!$H$29="Todos",'Plan mensual'!H86,0)))/60</f>
        <v>31.5198</v>
      </c>
      <c r="G152" s="9">
        <f>(parametros_carros!$D$29*('Plan mensual'!I79+IF(parametros_carros!$H$29="Todos",'Plan mensual'!I83,0))+parametros_carros!$E$29*('Plan mensual'!I80+IF(parametros_carros!$H$29="Todos",'Plan mensual'!I84,0))+parametros_carros!$F$29*('Plan mensual'!I81+IF(parametros_carros!$H$29="Todos",'Plan mensual'!I85,0))+parametros_carros!$G$29*('Plan mensual'!I82+IF(parametros_carros!$H$29="Todos",'Plan mensual'!I86,0)))/60</f>
        <v>28.0176</v>
      </c>
      <c r="H152" s="9">
        <f>(parametros_carros!$D$29*('Plan mensual'!J79+IF(parametros_carros!$H$29="Todos",'Plan mensual'!J83,0))+parametros_carros!$E$29*('Plan mensual'!J80+IF(parametros_carros!$H$29="Todos",'Plan mensual'!J84,0))+parametros_carros!$F$29*('Plan mensual'!J81+IF(parametros_carros!$H$29="Todos",'Plan mensual'!J85,0))+parametros_carros!$G$29*('Plan mensual'!J82+IF(parametros_carros!$H$29="Todos",'Plan mensual'!J86,0)))/60</f>
        <v>31.5198</v>
      </c>
      <c r="I152" s="9">
        <f>(parametros_carros!$D$29*('Plan mensual'!K79+IF(parametros_carros!$H$29="Todos",'Plan mensual'!K83,0))+parametros_carros!$E$29*('Plan mensual'!K80+IF(parametros_carros!$H$29="Todos",'Plan mensual'!K84,0))+parametros_carros!$F$29*('Plan mensual'!K81+IF(parametros_carros!$H$29="Todos",'Plan mensual'!K85,0))+parametros_carros!$G$29*('Plan mensual'!K82+IF(parametros_carros!$H$29="Todos",'Plan mensual'!K86,0)))/60</f>
        <v>31.5198</v>
      </c>
      <c r="J152" s="9">
        <f>(parametros_carros!$D$29*('Plan mensual'!L79+IF(parametros_carros!$H$29="Todos",'Plan mensual'!L83,0))+parametros_carros!$E$29*('Plan mensual'!L80+IF(parametros_carros!$H$29="Todos",'Plan mensual'!L84,0))+parametros_carros!$F$29*('Plan mensual'!L81+IF(parametros_carros!$H$29="Todos",'Plan mensual'!L85,0))+parametros_carros!$G$29*('Plan mensual'!L82+IF(parametros_carros!$H$29="Todos",'Plan mensual'!L86,0)))/60</f>
        <v>29.7687</v>
      </c>
      <c r="K152" s="9">
        <f>(parametros_carros!$D$29*('Plan mensual'!M79+IF(parametros_carros!$H$29="Todos",'Plan mensual'!M83,0))+parametros_carros!$E$29*('Plan mensual'!M80+IF(parametros_carros!$H$29="Todos",'Plan mensual'!M84,0))+parametros_carros!$F$29*('Plan mensual'!M81+IF(parametros_carros!$H$29="Todos",'Plan mensual'!M85,0))+parametros_carros!$G$29*('Plan mensual'!M82+IF(parametros_carros!$H$29="Todos",'Plan mensual'!M86,0)))/60</f>
        <v>26.2665</v>
      </c>
      <c r="L152" s="9">
        <f>(parametros_carros!$D$29*('Plan mensual'!N79+IF(parametros_carros!$H$29="Todos",'Plan mensual'!N83,0))+parametros_carros!$E$29*('Plan mensual'!N80+IF(parametros_carros!$H$29="Todos",'Plan mensual'!N84,0))+parametros_carros!$F$29*('Plan mensual'!N81+IF(parametros_carros!$H$29="Todos",'Plan mensual'!N85,0))+parametros_carros!$G$29*('Plan mensual'!N82+IF(parametros_carros!$H$29="Todos",'Plan mensual'!N86,0)))/60</f>
        <v>24.5154</v>
      </c>
      <c r="M152" s="9">
        <f>(parametros_carros!$D$29*('Plan mensual'!O79+IF(parametros_carros!$H$29="Todos",'Plan mensual'!O83,0))+parametros_carros!$E$29*('Plan mensual'!O80+IF(parametros_carros!$H$29="Todos",'Plan mensual'!O84,0))+parametros_carros!$F$29*('Plan mensual'!O81+IF(parametros_carros!$H$29="Todos",'Plan mensual'!O85,0))+parametros_carros!$G$29*('Plan mensual'!O82+IF(parametros_carros!$H$29="Todos",'Plan mensual'!O86,0)))/60</f>
        <v>28.0176</v>
      </c>
      <c r="N152" s="9">
        <f t="shared" si="22"/>
        <v>350.22</v>
      </c>
      <c r="O152" s="9">
        <f t="shared" si="23"/>
        <v>31.5198</v>
      </c>
      <c r="P152" s="32">
        <f>IF(parametros_carros!$B$7=0,0,(O152+parametros_carros!$G$55)/parametros_carros!$B$7)</f>
        <v>0.2323542222</v>
      </c>
      <c r="Q152" s="21" t="str">
        <f t="shared" si="24"/>
        <v>Mar</v>
      </c>
    </row>
    <row r="153" ht="14.25" customHeight="1">
      <c r="A153" s="2" t="str">
        <f>parametros_carros!$B$30</f>
        <v>Secado</v>
      </c>
      <c r="B153" s="9">
        <f>(parametros_carros!$D$30*('Plan mensual'!D79+IF(parametros_carros!$H$30="Todos",'Plan mensual'!D83,0))+parametros_carros!$E$30*('Plan mensual'!D80+IF(parametros_carros!$H$30="Todos",'Plan mensual'!D84,0))+parametros_carros!$F$30*('Plan mensual'!D81+IF(parametros_carros!$H$30="Todos",'Plan mensual'!D85,0))+parametros_carros!$G$30*('Plan mensual'!D82+IF(parametros_carros!$H$30="Todos",'Plan mensual'!D86,0)))/60</f>
        <v>33.3455</v>
      </c>
      <c r="C153" s="9">
        <f>(parametros_carros!$D$30*('Plan mensual'!E79+IF(parametros_carros!$H$30="Todos",'Plan mensual'!E83,0))+parametros_carros!$E$30*('Plan mensual'!E80+IF(parametros_carros!$H$30="Todos",'Plan mensual'!E84,0))+parametros_carros!$F$30*('Plan mensual'!E81+IF(parametros_carros!$H$30="Todos",'Plan mensual'!E85,0))+parametros_carros!$G$30*('Plan mensual'!E82+IF(parametros_carros!$H$30="Todos",'Plan mensual'!E86,0)))/60</f>
        <v>29.4225</v>
      </c>
      <c r="D153" s="9">
        <f>(parametros_carros!$D$30*('Plan mensual'!F79+IF(parametros_carros!$H$30="Todos",'Plan mensual'!F83,0))+parametros_carros!$E$30*('Plan mensual'!F80+IF(parametros_carros!$H$30="Todos",'Plan mensual'!F84,0))+parametros_carros!$F$30*('Plan mensual'!F81+IF(parametros_carros!$H$30="Todos",'Plan mensual'!F85,0))+parametros_carros!$G$30*('Plan mensual'!F82+IF(parametros_carros!$H$30="Todos",'Plan mensual'!F86,0)))/60</f>
        <v>35.307</v>
      </c>
      <c r="E153" s="9">
        <f>(parametros_carros!$D$30*('Plan mensual'!G79+IF(parametros_carros!$H$30="Todos",'Plan mensual'!G83,0))+parametros_carros!$E$30*('Plan mensual'!G80+IF(parametros_carros!$H$30="Todos",'Plan mensual'!G84,0))+parametros_carros!$F$30*('Plan mensual'!G81+IF(parametros_carros!$H$30="Todos",'Plan mensual'!G85,0))+parametros_carros!$G$30*('Plan mensual'!G82+IF(parametros_carros!$H$30="Todos",'Plan mensual'!G86,0)))/60</f>
        <v>35.307</v>
      </c>
      <c r="F153" s="9">
        <f>(parametros_carros!$D$30*('Plan mensual'!H79+IF(parametros_carros!$H$30="Todos",'Plan mensual'!H83,0))+parametros_carros!$E$30*('Plan mensual'!H80+IF(parametros_carros!$H$30="Todos",'Plan mensual'!H84,0))+parametros_carros!$F$30*('Plan mensual'!H81+IF(parametros_carros!$H$30="Todos",'Plan mensual'!H85,0))+parametros_carros!$G$30*('Plan mensual'!H82+IF(parametros_carros!$H$30="Todos",'Plan mensual'!H86,0)))/60</f>
        <v>35.307</v>
      </c>
      <c r="G153" s="9">
        <f>(parametros_carros!$D$30*('Plan mensual'!I79+IF(parametros_carros!$H$30="Todos",'Plan mensual'!I83,0))+parametros_carros!$E$30*('Plan mensual'!I80+IF(parametros_carros!$H$30="Todos",'Plan mensual'!I84,0))+parametros_carros!$F$30*('Plan mensual'!I81+IF(parametros_carros!$H$30="Todos",'Plan mensual'!I85,0))+parametros_carros!$G$30*('Plan mensual'!I82+IF(parametros_carros!$H$30="Todos",'Plan mensual'!I86,0)))/60</f>
        <v>31.384</v>
      </c>
      <c r="H153" s="9">
        <f>(parametros_carros!$D$30*('Plan mensual'!J79+IF(parametros_carros!$H$30="Todos",'Plan mensual'!J83,0))+parametros_carros!$E$30*('Plan mensual'!J80+IF(parametros_carros!$H$30="Todos",'Plan mensual'!J84,0))+parametros_carros!$F$30*('Plan mensual'!J81+IF(parametros_carros!$H$30="Todos",'Plan mensual'!J85,0))+parametros_carros!$G$30*('Plan mensual'!J82+IF(parametros_carros!$H$30="Todos",'Plan mensual'!J86,0)))/60</f>
        <v>35.307</v>
      </c>
      <c r="I153" s="9">
        <f>(parametros_carros!$D$30*('Plan mensual'!K79+IF(parametros_carros!$H$30="Todos",'Plan mensual'!K83,0))+parametros_carros!$E$30*('Plan mensual'!K80+IF(parametros_carros!$H$30="Todos",'Plan mensual'!K84,0))+parametros_carros!$F$30*('Plan mensual'!K81+IF(parametros_carros!$H$30="Todos",'Plan mensual'!K85,0))+parametros_carros!$G$30*('Plan mensual'!K82+IF(parametros_carros!$H$30="Todos",'Plan mensual'!K86,0)))/60</f>
        <v>35.307</v>
      </c>
      <c r="J153" s="9">
        <f>(parametros_carros!$D$30*('Plan mensual'!L79+IF(parametros_carros!$H$30="Todos",'Plan mensual'!L83,0))+parametros_carros!$E$30*('Plan mensual'!L80+IF(parametros_carros!$H$30="Todos",'Plan mensual'!L84,0))+parametros_carros!$F$30*('Plan mensual'!L81+IF(parametros_carros!$H$30="Todos",'Plan mensual'!L85,0))+parametros_carros!$G$30*('Plan mensual'!L82+IF(parametros_carros!$H$30="Todos",'Plan mensual'!L86,0)))/60</f>
        <v>33.3455</v>
      </c>
      <c r="K153" s="9">
        <f>(parametros_carros!$D$30*('Plan mensual'!M79+IF(parametros_carros!$H$30="Todos",'Plan mensual'!M83,0))+parametros_carros!$E$30*('Plan mensual'!M80+IF(parametros_carros!$H$30="Todos",'Plan mensual'!M84,0))+parametros_carros!$F$30*('Plan mensual'!M81+IF(parametros_carros!$H$30="Todos",'Plan mensual'!M85,0))+parametros_carros!$G$30*('Plan mensual'!M82+IF(parametros_carros!$H$30="Todos",'Plan mensual'!M86,0)))/60</f>
        <v>29.4225</v>
      </c>
      <c r="L153" s="9">
        <f>(parametros_carros!$D$30*('Plan mensual'!N79+IF(parametros_carros!$H$30="Todos",'Plan mensual'!N83,0))+parametros_carros!$E$30*('Plan mensual'!N80+IF(parametros_carros!$H$30="Todos",'Plan mensual'!N84,0))+parametros_carros!$F$30*('Plan mensual'!N81+IF(parametros_carros!$H$30="Todos",'Plan mensual'!N85,0))+parametros_carros!$G$30*('Plan mensual'!N82+IF(parametros_carros!$H$30="Todos",'Plan mensual'!N86,0)))/60</f>
        <v>27.461</v>
      </c>
      <c r="M153" s="9">
        <f>(parametros_carros!$D$30*('Plan mensual'!O79+IF(parametros_carros!$H$30="Todos",'Plan mensual'!O83,0))+parametros_carros!$E$30*('Plan mensual'!O80+IF(parametros_carros!$H$30="Todos",'Plan mensual'!O84,0))+parametros_carros!$F$30*('Plan mensual'!O81+IF(parametros_carros!$H$30="Todos",'Plan mensual'!O85,0))+parametros_carros!$G$30*('Plan mensual'!O82+IF(parametros_carros!$H$30="Todos",'Plan mensual'!O86,0)))/60</f>
        <v>31.384</v>
      </c>
      <c r="N153" s="9">
        <f t="shared" si="22"/>
        <v>392.3</v>
      </c>
      <c r="O153" s="9">
        <f t="shared" si="23"/>
        <v>35.307</v>
      </c>
      <c r="P153" s="32">
        <f>IF(parametros_carros!$B$7=0,0,(O153+parametros_carros!$G$56)/parametros_carros!$B$7)</f>
        <v>0.23538</v>
      </c>
      <c r="Q153" s="21" t="str">
        <f t="shared" si="24"/>
        <v>Mar</v>
      </c>
    </row>
    <row r="154" ht="14.25" customHeight="1">
      <c r="A154" s="2" t="str">
        <f>parametros_carros!$B$31</f>
        <v>Pulmón de despacho y carga a pintura</v>
      </c>
      <c r="B154" s="9">
        <f>(parametros_carros!$D$31*('Plan mensual'!D79+IF(parametros_carros!$H$31="Todos",'Plan mensual'!D83,0))+parametros_carros!$E$31*('Plan mensual'!D80+IF(parametros_carros!$H$31="Todos",'Plan mensual'!D84,0))+parametros_carros!$F$31*('Plan mensual'!D81+IF(parametros_carros!$H$31="Todos",'Plan mensual'!D85,0))+parametros_carros!$G$31*('Plan mensual'!D82+IF(parametros_carros!$H$31="Todos",'Plan mensual'!D86,0)))/60</f>
        <v>5.304</v>
      </c>
      <c r="C154" s="9">
        <f>(parametros_carros!$D$31*('Plan mensual'!E79+IF(parametros_carros!$H$31="Todos",'Plan mensual'!E83,0))+parametros_carros!$E$31*('Plan mensual'!E80+IF(parametros_carros!$H$31="Todos",'Plan mensual'!E84,0))+parametros_carros!$F$31*('Plan mensual'!E81+IF(parametros_carros!$H$31="Todos",'Plan mensual'!E85,0))+parametros_carros!$G$31*('Plan mensual'!E82+IF(parametros_carros!$H$31="Todos",'Plan mensual'!E86,0)))/60</f>
        <v>4.68</v>
      </c>
      <c r="D154" s="9">
        <f>(parametros_carros!$D$31*('Plan mensual'!F79+IF(parametros_carros!$H$31="Todos",'Plan mensual'!F83,0))+parametros_carros!$E$31*('Plan mensual'!F80+IF(parametros_carros!$H$31="Todos",'Plan mensual'!F84,0))+parametros_carros!$F$31*('Plan mensual'!F81+IF(parametros_carros!$H$31="Todos",'Plan mensual'!F85,0))+parametros_carros!$G$31*('Plan mensual'!F82+IF(parametros_carros!$H$31="Todos",'Plan mensual'!F86,0)))/60</f>
        <v>5.616</v>
      </c>
      <c r="E154" s="9">
        <f>(parametros_carros!$D$31*('Plan mensual'!G79+IF(parametros_carros!$H$31="Todos",'Plan mensual'!G83,0))+parametros_carros!$E$31*('Plan mensual'!G80+IF(parametros_carros!$H$31="Todos",'Plan mensual'!G84,0))+parametros_carros!$F$31*('Plan mensual'!G81+IF(parametros_carros!$H$31="Todos",'Plan mensual'!G85,0))+parametros_carros!$G$31*('Plan mensual'!G82+IF(parametros_carros!$H$31="Todos",'Plan mensual'!G86,0)))/60</f>
        <v>5.616</v>
      </c>
      <c r="F154" s="9">
        <f>(parametros_carros!$D$31*('Plan mensual'!H79+IF(parametros_carros!$H$31="Todos",'Plan mensual'!H83,0))+parametros_carros!$E$31*('Plan mensual'!H80+IF(parametros_carros!$H$31="Todos",'Plan mensual'!H84,0))+parametros_carros!$F$31*('Plan mensual'!H81+IF(parametros_carros!$H$31="Todos",'Plan mensual'!H85,0))+parametros_carros!$G$31*('Plan mensual'!H82+IF(parametros_carros!$H$31="Todos",'Plan mensual'!H86,0)))/60</f>
        <v>5.616</v>
      </c>
      <c r="G154" s="9">
        <f>(parametros_carros!$D$31*('Plan mensual'!I79+IF(parametros_carros!$H$31="Todos",'Plan mensual'!I83,0))+parametros_carros!$E$31*('Plan mensual'!I80+IF(parametros_carros!$H$31="Todos",'Plan mensual'!I84,0))+parametros_carros!$F$31*('Plan mensual'!I81+IF(parametros_carros!$H$31="Todos",'Plan mensual'!I85,0))+parametros_carros!$G$31*('Plan mensual'!I82+IF(parametros_carros!$H$31="Todos",'Plan mensual'!I86,0)))/60</f>
        <v>4.992</v>
      </c>
      <c r="H154" s="9">
        <f>(parametros_carros!$D$31*('Plan mensual'!J79+IF(parametros_carros!$H$31="Todos",'Plan mensual'!J83,0))+parametros_carros!$E$31*('Plan mensual'!J80+IF(parametros_carros!$H$31="Todos",'Plan mensual'!J84,0))+parametros_carros!$F$31*('Plan mensual'!J81+IF(parametros_carros!$H$31="Todos",'Plan mensual'!J85,0))+parametros_carros!$G$31*('Plan mensual'!J82+IF(parametros_carros!$H$31="Todos",'Plan mensual'!J86,0)))/60</f>
        <v>5.616</v>
      </c>
      <c r="I154" s="9">
        <f>(parametros_carros!$D$31*('Plan mensual'!K79+IF(parametros_carros!$H$31="Todos",'Plan mensual'!K83,0))+parametros_carros!$E$31*('Plan mensual'!K80+IF(parametros_carros!$H$31="Todos",'Plan mensual'!K84,0))+parametros_carros!$F$31*('Plan mensual'!K81+IF(parametros_carros!$H$31="Todos",'Plan mensual'!K85,0))+parametros_carros!$G$31*('Plan mensual'!K82+IF(parametros_carros!$H$31="Todos",'Plan mensual'!K86,0)))/60</f>
        <v>5.616</v>
      </c>
      <c r="J154" s="9">
        <f>(parametros_carros!$D$31*('Plan mensual'!L79+IF(parametros_carros!$H$31="Todos",'Plan mensual'!L83,0))+parametros_carros!$E$31*('Plan mensual'!L80+IF(parametros_carros!$H$31="Todos",'Plan mensual'!L84,0))+parametros_carros!$F$31*('Plan mensual'!L81+IF(parametros_carros!$H$31="Todos",'Plan mensual'!L85,0))+parametros_carros!$G$31*('Plan mensual'!L82+IF(parametros_carros!$H$31="Todos",'Plan mensual'!L86,0)))/60</f>
        <v>5.304</v>
      </c>
      <c r="K154" s="9">
        <f>(parametros_carros!$D$31*('Plan mensual'!M79+IF(parametros_carros!$H$31="Todos",'Plan mensual'!M83,0))+parametros_carros!$E$31*('Plan mensual'!M80+IF(parametros_carros!$H$31="Todos",'Plan mensual'!M84,0))+parametros_carros!$F$31*('Plan mensual'!M81+IF(parametros_carros!$H$31="Todos",'Plan mensual'!M85,0))+parametros_carros!$G$31*('Plan mensual'!M82+IF(parametros_carros!$H$31="Todos",'Plan mensual'!M86,0)))/60</f>
        <v>4.68</v>
      </c>
      <c r="L154" s="9">
        <f>(parametros_carros!$D$31*('Plan mensual'!N79+IF(parametros_carros!$H$31="Todos",'Plan mensual'!N83,0))+parametros_carros!$E$31*('Plan mensual'!N80+IF(parametros_carros!$H$31="Todos",'Plan mensual'!N84,0))+parametros_carros!$F$31*('Plan mensual'!N81+IF(parametros_carros!$H$31="Todos",'Plan mensual'!N85,0))+parametros_carros!$G$31*('Plan mensual'!N82+IF(parametros_carros!$H$31="Todos",'Plan mensual'!N86,0)))/60</f>
        <v>4.368</v>
      </c>
      <c r="M154" s="9">
        <f>(parametros_carros!$D$31*('Plan mensual'!O79+IF(parametros_carros!$H$31="Todos",'Plan mensual'!O83,0))+parametros_carros!$E$31*('Plan mensual'!O80+IF(parametros_carros!$H$31="Todos",'Plan mensual'!O84,0))+parametros_carros!$F$31*('Plan mensual'!O81+IF(parametros_carros!$H$31="Todos",'Plan mensual'!O85,0))+parametros_carros!$G$31*('Plan mensual'!O82+IF(parametros_carros!$H$31="Todos",'Plan mensual'!O86,0)))/60</f>
        <v>4.992</v>
      </c>
      <c r="N154" s="9">
        <f t="shared" si="22"/>
        <v>62.4</v>
      </c>
      <c r="O154" s="9">
        <f t="shared" si="23"/>
        <v>5.616</v>
      </c>
      <c r="P154" s="32">
        <f>IF(parametros_carros!$B$7=0,0,(O154+parametros_carros!$G$57)/parametros_carros!$B$7)</f>
        <v>0.04632888889</v>
      </c>
      <c r="Q154" s="21" t="str">
        <f t="shared" si="24"/>
        <v>Mar</v>
      </c>
    </row>
    <row r="155" ht="14.25" customHeight="1">
      <c r="A155" s="2" t="str">
        <f>parametros_carros!$B$32</f>
        <v>Recepción de pintados y cambio de juego</v>
      </c>
      <c r="B155" s="9">
        <f>(parametros_carros!$D$32*('Plan mensual'!D79+IF(parametros_carros!$H$32="Todos",'Plan mensual'!D83,0))+parametros_carros!$E$32*('Plan mensual'!D80+IF(parametros_carros!$H$32="Todos",'Plan mensual'!D84,0))+parametros_carros!$F$32*('Plan mensual'!D81+IF(parametros_carros!$H$32="Todos",'Plan mensual'!D85,0))+parametros_carros!$G$32*('Plan mensual'!D82+IF(parametros_carros!$H$32="Todos",'Plan mensual'!D86,0)))/60</f>
        <v>10.37595</v>
      </c>
      <c r="C155" s="9">
        <f>(parametros_carros!$D$32*('Plan mensual'!E79+IF(parametros_carros!$H$32="Todos",'Plan mensual'!E83,0))+parametros_carros!$E$32*('Plan mensual'!E80+IF(parametros_carros!$H$32="Todos",'Plan mensual'!E84,0))+parametros_carros!$F$32*('Plan mensual'!E81+IF(parametros_carros!$H$32="Todos",'Plan mensual'!E85,0))+parametros_carros!$G$32*('Plan mensual'!E82+IF(parametros_carros!$H$32="Todos",'Plan mensual'!E86,0)))/60</f>
        <v>9.15525</v>
      </c>
      <c r="D155" s="9">
        <f>(parametros_carros!$D$32*('Plan mensual'!F79+IF(parametros_carros!$H$32="Todos",'Plan mensual'!F83,0))+parametros_carros!$E$32*('Plan mensual'!F80+IF(parametros_carros!$H$32="Todos",'Plan mensual'!F84,0))+parametros_carros!$F$32*('Plan mensual'!F81+IF(parametros_carros!$H$32="Todos",'Plan mensual'!F85,0))+parametros_carros!$G$32*('Plan mensual'!F82+IF(parametros_carros!$H$32="Todos",'Plan mensual'!F86,0)))/60</f>
        <v>10.9863</v>
      </c>
      <c r="E155" s="9">
        <f>(parametros_carros!$D$32*('Plan mensual'!G79+IF(parametros_carros!$H$32="Todos",'Plan mensual'!G83,0))+parametros_carros!$E$32*('Plan mensual'!G80+IF(parametros_carros!$H$32="Todos",'Plan mensual'!G84,0))+parametros_carros!$F$32*('Plan mensual'!G81+IF(parametros_carros!$H$32="Todos",'Plan mensual'!G85,0))+parametros_carros!$G$32*('Plan mensual'!G82+IF(parametros_carros!$H$32="Todos",'Plan mensual'!G86,0)))/60</f>
        <v>10.9863</v>
      </c>
      <c r="F155" s="9">
        <f>(parametros_carros!$D$32*('Plan mensual'!H79+IF(parametros_carros!$H$32="Todos",'Plan mensual'!H83,0))+parametros_carros!$E$32*('Plan mensual'!H80+IF(parametros_carros!$H$32="Todos",'Plan mensual'!H84,0))+parametros_carros!$F$32*('Plan mensual'!H81+IF(parametros_carros!$H$32="Todos",'Plan mensual'!H85,0))+parametros_carros!$G$32*('Plan mensual'!H82+IF(parametros_carros!$H$32="Todos",'Plan mensual'!H86,0)))/60</f>
        <v>10.9863</v>
      </c>
      <c r="G155" s="9">
        <f>(parametros_carros!$D$32*('Plan mensual'!I79+IF(parametros_carros!$H$32="Todos",'Plan mensual'!I83,0))+parametros_carros!$E$32*('Plan mensual'!I80+IF(parametros_carros!$H$32="Todos",'Plan mensual'!I84,0))+parametros_carros!$F$32*('Plan mensual'!I81+IF(parametros_carros!$H$32="Todos",'Plan mensual'!I85,0))+parametros_carros!$G$32*('Plan mensual'!I82+IF(parametros_carros!$H$32="Todos",'Plan mensual'!I86,0)))/60</f>
        <v>9.7656</v>
      </c>
      <c r="H155" s="9">
        <f>(parametros_carros!$D$32*('Plan mensual'!J79+IF(parametros_carros!$H$32="Todos",'Plan mensual'!J83,0))+parametros_carros!$E$32*('Plan mensual'!J80+IF(parametros_carros!$H$32="Todos",'Plan mensual'!J84,0))+parametros_carros!$F$32*('Plan mensual'!J81+IF(parametros_carros!$H$32="Todos",'Plan mensual'!J85,0))+parametros_carros!$G$32*('Plan mensual'!J82+IF(parametros_carros!$H$32="Todos",'Plan mensual'!J86,0)))/60</f>
        <v>10.9863</v>
      </c>
      <c r="I155" s="9">
        <f>(parametros_carros!$D$32*('Plan mensual'!K79+IF(parametros_carros!$H$32="Todos",'Plan mensual'!K83,0))+parametros_carros!$E$32*('Plan mensual'!K80+IF(parametros_carros!$H$32="Todos",'Plan mensual'!K84,0))+parametros_carros!$F$32*('Plan mensual'!K81+IF(parametros_carros!$H$32="Todos",'Plan mensual'!K85,0))+parametros_carros!$G$32*('Plan mensual'!K82+IF(parametros_carros!$H$32="Todos",'Plan mensual'!K86,0)))/60</f>
        <v>10.9863</v>
      </c>
      <c r="J155" s="9">
        <f>(parametros_carros!$D$32*('Plan mensual'!L79+IF(parametros_carros!$H$32="Todos",'Plan mensual'!L83,0))+parametros_carros!$E$32*('Plan mensual'!L80+IF(parametros_carros!$H$32="Todos",'Plan mensual'!L84,0))+parametros_carros!$F$32*('Plan mensual'!L81+IF(parametros_carros!$H$32="Todos",'Plan mensual'!L85,0))+parametros_carros!$G$32*('Plan mensual'!L82+IF(parametros_carros!$H$32="Todos",'Plan mensual'!L86,0)))/60</f>
        <v>10.37595</v>
      </c>
      <c r="K155" s="9">
        <f>(parametros_carros!$D$32*('Plan mensual'!M79+IF(parametros_carros!$H$32="Todos",'Plan mensual'!M83,0))+parametros_carros!$E$32*('Plan mensual'!M80+IF(parametros_carros!$H$32="Todos",'Plan mensual'!M84,0))+parametros_carros!$F$32*('Plan mensual'!M81+IF(parametros_carros!$H$32="Todos",'Plan mensual'!M85,0))+parametros_carros!$G$32*('Plan mensual'!M82+IF(parametros_carros!$H$32="Todos",'Plan mensual'!M86,0)))/60</f>
        <v>9.15525</v>
      </c>
      <c r="L155" s="9">
        <f>(parametros_carros!$D$32*('Plan mensual'!N79+IF(parametros_carros!$H$32="Todos",'Plan mensual'!N83,0))+parametros_carros!$E$32*('Plan mensual'!N80+IF(parametros_carros!$H$32="Todos",'Plan mensual'!N84,0))+parametros_carros!$F$32*('Plan mensual'!N81+IF(parametros_carros!$H$32="Todos",'Plan mensual'!N85,0))+parametros_carros!$G$32*('Plan mensual'!N82+IF(parametros_carros!$H$32="Todos",'Plan mensual'!N86,0)))/60</f>
        <v>8.5449</v>
      </c>
      <c r="M155" s="9">
        <f>(parametros_carros!$D$32*('Plan mensual'!O79+IF(parametros_carros!$H$32="Todos",'Plan mensual'!O83,0))+parametros_carros!$E$32*('Plan mensual'!O80+IF(parametros_carros!$H$32="Todos",'Plan mensual'!O84,0))+parametros_carros!$F$32*('Plan mensual'!O81+IF(parametros_carros!$H$32="Todos",'Plan mensual'!O85,0))+parametros_carros!$G$32*('Plan mensual'!O82+IF(parametros_carros!$H$32="Todos",'Plan mensual'!O86,0)))/60</f>
        <v>9.7656</v>
      </c>
      <c r="N155" s="9">
        <f t="shared" si="22"/>
        <v>122.07</v>
      </c>
      <c r="O155" s="9">
        <f t="shared" si="23"/>
        <v>10.9863</v>
      </c>
      <c r="P155" s="32">
        <f>IF(parametros_carros!$B$7=0,0,(O155+parametros_carros!$G$58)/parametros_carros!$B$7)</f>
        <v>0.08213088889</v>
      </c>
      <c r="Q155" s="21" t="str">
        <f t="shared" si="24"/>
        <v>Mar</v>
      </c>
    </row>
    <row r="156" ht="14.25" customHeight="1">
      <c r="A156" s="2" t="str">
        <f>parametros_carros!$B$33</f>
        <v>Carga de polvo y presurización</v>
      </c>
      <c r="B156" s="9">
        <f>(parametros_carros!$D$33*('Plan mensual'!D79+IF(parametros_carros!$H$33="Todos",'Plan mensual'!D83,0))+parametros_carros!$E$33*('Plan mensual'!D80+IF(parametros_carros!$H$33="Todos",'Plan mensual'!D84,0))+parametros_carros!$F$33*('Plan mensual'!D81+IF(parametros_carros!$H$33="Todos",'Plan mensual'!D85,0))+parametros_carros!$G$33*('Plan mensual'!D82+IF(parametros_carros!$H$33="Todos",'Plan mensual'!D86,0)))/60</f>
        <v>21.70205833</v>
      </c>
      <c r="C156" s="9">
        <f>(parametros_carros!$D$33*('Plan mensual'!E79+IF(parametros_carros!$H$33="Todos",'Plan mensual'!E83,0))+parametros_carros!$E$33*('Plan mensual'!E80+IF(parametros_carros!$H$33="Todos",'Plan mensual'!E84,0))+parametros_carros!$F$33*('Plan mensual'!E81+IF(parametros_carros!$H$33="Todos",'Plan mensual'!E85,0))+parametros_carros!$G$33*('Plan mensual'!E82+IF(parametros_carros!$H$33="Todos",'Plan mensual'!E86,0)))/60</f>
        <v>19.148875</v>
      </c>
      <c r="D156" s="9">
        <f>(parametros_carros!$D$33*('Plan mensual'!F79+IF(parametros_carros!$H$33="Todos",'Plan mensual'!F83,0))+parametros_carros!$E$33*('Plan mensual'!F80+IF(parametros_carros!$H$33="Todos",'Plan mensual'!F84,0))+parametros_carros!$F$33*('Plan mensual'!F81+IF(parametros_carros!$H$33="Todos",'Plan mensual'!F85,0))+parametros_carros!$G$33*('Plan mensual'!F82+IF(parametros_carros!$H$33="Todos",'Plan mensual'!F86,0)))/60</f>
        <v>22.97865</v>
      </c>
      <c r="E156" s="9">
        <f>(parametros_carros!$D$33*('Plan mensual'!G79+IF(parametros_carros!$H$33="Todos",'Plan mensual'!G83,0))+parametros_carros!$E$33*('Plan mensual'!G80+IF(parametros_carros!$H$33="Todos",'Plan mensual'!G84,0))+parametros_carros!$F$33*('Plan mensual'!G81+IF(parametros_carros!$H$33="Todos",'Plan mensual'!G85,0))+parametros_carros!$G$33*('Plan mensual'!G82+IF(parametros_carros!$H$33="Todos",'Plan mensual'!G86,0)))/60</f>
        <v>22.97865</v>
      </c>
      <c r="F156" s="9">
        <f>(parametros_carros!$D$33*('Plan mensual'!H79+IF(parametros_carros!$H$33="Todos",'Plan mensual'!H83,0))+parametros_carros!$E$33*('Plan mensual'!H80+IF(parametros_carros!$H$33="Todos",'Plan mensual'!H84,0))+parametros_carros!$F$33*('Plan mensual'!H81+IF(parametros_carros!$H$33="Todos",'Plan mensual'!H85,0))+parametros_carros!$G$33*('Plan mensual'!H82+IF(parametros_carros!$H$33="Todos",'Plan mensual'!H86,0)))/60</f>
        <v>22.97865</v>
      </c>
      <c r="G156" s="9">
        <f>(parametros_carros!$D$33*('Plan mensual'!I79+IF(parametros_carros!$H$33="Todos",'Plan mensual'!I83,0))+parametros_carros!$E$33*('Plan mensual'!I80+IF(parametros_carros!$H$33="Todos",'Plan mensual'!I84,0))+parametros_carros!$F$33*('Plan mensual'!I81+IF(parametros_carros!$H$33="Todos",'Plan mensual'!I85,0))+parametros_carros!$G$33*('Plan mensual'!I82+IF(parametros_carros!$H$33="Todos",'Plan mensual'!I86,0)))/60</f>
        <v>20.42546667</v>
      </c>
      <c r="H156" s="9">
        <f>(parametros_carros!$D$33*('Plan mensual'!J79+IF(parametros_carros!$H$33="Todos",'Plan mensual'!J83,0))+parametros_carros!$E$33*('Plan mensual'!J80+IF(parametros_carros!$H$33="Todos",'Plan mensual'!J84,0))+parametros_carros!$F$33*('Plan mensual'!J81+IF(parametros_carros!$H$33="Todos",'Plan mensual'!J85,0))+parametros_carros!$G$33*('Plan mensual'!J82+IF(parametros_carros!$H$33="Todos",'Plan mensual'!J86,0)))/60</f>
        <v>22.97865</v>
      </c>
      <c r="I156" s="9">
        <f>(parametros_carros!$D$33*('Plan mensual'!K79+IF(parametros_carros!$H$33="Todos",'Plan mensual'!K83,0))+parametros_carros!$E$33*('Plan mensual'!K80+IF(parametros_carros!$H$33="Todos",'Plan mensual'!K84,0))+parametros_carros!$F$33*('Plan mensual'!K81+IF(parametros_carros!$H$33="Todos",'Plan mensual'!K85,0))+parametros_carros!$G$33*('Plan mensual'!K82+IF(parametros_carros!$H$33="Todos",'Plan mensual'!K86,0)))/60</f>
        <v>22.97865</v>
      </c>
      <c r="J156" s="9">
        <f>(parametros_carros!$D$33*('Plan mensual'!L79+IF(parametros_carros!$H$33="Todos",'Plan mensual'!L83,0))+parametros_carros!$E$33*('Plan mensual'!L80+IF(parametros_carros!$H$33="Todos",'Plan mensual'!L84,0))+parametros_carros!$F$33*('Plan mensual'!L81+IF(parametros_carros!$H$33="Todos",'Plan mensual'!L85,0))+parametros_carros!$G$33*('Plan mensual'!L82+IF(parametros_carros!$H$33="Todos",'Plan mensual'!L86,0)))/60</f>
        <v>21.70205833</v>
      </c>
      <c r="K156" s="9">
        <f>(parametros_carros!$D$33*('Plan mensual'!M79+IF(parametros_carros!$H$33="Todos",'Plan mensual'!M83,0))+parametros_carros!$E$33*('Plan mensual'!M80+IF(parametros_carros!$H$33="Todos",'Plan mensual'!M84,0))+parametros_carros!$F$33*('Plan mensual'!M81+IF(parametros_carros!$H$33="Todos",'Plan mensual'!M85,0))+parametros_carros!$G$33*('Plan mensual'!M82+IF(parametros_carros!$H$33="Todos",'Plan mensual'!M86,0)))/60</f>
        <v>19.148875</v>
      </c>
      <c r="L156" s="9">
        <f>(parametros_carros!$D$33*('Plan mensual'!N79+IF(parametros_carros!$H$33="Todos",'Plan mensual'!N83,0))+parametros_carros!$E$33*('Plan mensual'!N80+IF(parametros_carros!$H$33="Todos",'Plan mensual'!N84,0))+parametros_carros!$F$33*('Plan mensual'!N81+IF(parametros_carros!$H$33="Todos",'Plan mensual'!N85,0))+parametros_carros!$G$33*('Plan mensual'!N82+IF(parametros_carros!$H$33="Todos",'Plan mensual'!N86,0)))/60</f>
        <v>17.87228333</v>
      </c>
      <c r="M156" s="9">
        <f>(parametros_carros!$D$33*('Plan mensual'!O79+IF(parametros_carros!$H$33="Todos",'Plan mensual'!O83,0))+parametros_carros!$E$33*('Plan mensual'!O80+IF(parametros_carros!$H$33="Todos",'Plan mensual'!O84,0))+parametros_carros!$F$33*('Plan mensual'!O81+IF(parametros_carros!$H$33="Todos",'Plan mensual'!O85,0))+parametros_carros!$G$33*('Plan mensual'!O82+IF(parametros_carros!$H$33="Todos",'Plan mensual'!O86,0)))/60</f>
        <v>20.42546667</v>
      </c>
      <c r="N156" s="9">
        <f t="shared" si="22"/>
        <v>255.3183333</v>
      </c>
      <c r="O156" s="9">
        <f t="shared" si="23"/>
        <v>22.97865</v>
      </c>
      <c r="P156" s="32">
        <f>IF(parametros_carros!$B$7=0,0,(O156+parametros_carros!$G$59)/parametros_carros!$B$7)</f>
        <v>0.2598576667</v>
      </c>
      <c r="Q156" s="21" t="str">
        <f t="shared" si="24"/>
        <v>Mar</v>
      </c>
    </row>
    <row r="157" ht="14.25" customHeight="1">
      <c r="A157" s="2" t="str">
        <f>parametros_carros!$B$34</f>
        <v>Montaje, manga, precinto y etiquetado</v>
      </c>
      <c r="B157" s="9">
        <f>(parametros_carros!$D$34*('Plan mensual'!D79+IF(parametros_carros!$H$34="Todos",'Plan mensual'!D83,0))+parametros_carros!$E$34*('Plan mensual'!D80+IF(parametros_carros!$H$34="Todos",'Plan mensual'!D84,0))+parametros_carros!$F$34*('Plan mensual'!D81+IF(parametros_carros!$H$34="Todos",'Plan mensual'!D85,0))+parametros_carros!$G$34*('Plan mensual'!D82+IF(parametros_carros!$H$34="Todos",'Plan mensual'!D86,0)))/60</f>
        <v>12.105275</v>
      </c>
      <c r="C157" s="9">
        <f>(parametros_carros!$D$34*('Plan mensual'!E79+IF(parametros_carros!$H$34="Todos",'Plan mensual'!E83,0))+parametros_carros!$E$34*('Plan mensual'!E80+IF(parametros_carros!$H$34="Todos",'Plan mensual'!E84,0))+parametros_carros!$F$34*('Plan mensual'!E81+IF(parametros_carros!$H$34="Todos",'Plan mensual'!E85,0))+parametros_carros!$G$34*('Plan mensual'!E82+IF(parametros_carros!$H$34="Todos",'Plan mensual'!E86,0)))/60</f>
        <v>10.681125</v>
      </c>
      <c r="D157" s="9">
        <f>(parametros_carros!$D$34*('Plan mensual'!F79+IF(parametros_carros!$H$34="Todos",'Plan mensual'!F83,0))+parametros_carros!$E$34*('Plan mensual'!F80+IF(parametros_carros!$H$34="Todos",'Plan mensual'!F84,0))+parametros_carros!$F$34*('Plan mensual'!F81+IF(parametros_carros!$H$34="Todos",'Plan mensual'!F85,0))+parametros_carros!$G$34*('Plan mensual'!F82+IF(parametros_carros!$H$34="Todos",'Plan mensual'!F86,0)))/60</f>
        <v>12.81735</v>
      </c>
      <c r="E157" s="9">
        <f>(parametros_carros!$D$34*('Plan mensual'!G79+IF(parametros_carros!$H$34="Todos",'Plan mensual'!G83,0))+parametros_carros!$E$34*('Plan mensual'!G80+IF(parametros_carros!$H$34="Todos",'Plan mensual'!G84,0))+parametros_carros!$F$34*('Plan mensual'!G81+IF(parametros_carros!$H$34="Todos",'Plan mensual'!G85,0))+parametros_carros!$G$34*('Plan mensual'!G82+IF(parametros_carros!$H$34="Todos",'Plan mensual'!G86,0)))/60</f>
        <v>12.81735</v>
      </c>
      <c r="F157" s="9">
        <f>(parametros_carros!$D$34*('Plan mensual'!H79+IF(parametros_carros!$H$34="Todos",'Plan mensual'!H83,0))+parametros_carros!$E$34*('Plan mensual'!H80+IF(parametros_carros!$H$34="Todos",'Plan mensual'!H84,0))+parametros_carros!$F$34*('Plan mensual'!H81+IF(parametros_carros!$H$34="Todos",'Plan mensual'!H85,0))+parametros_carros!$G$34*('Plan mensual'!H82+IF(parametros_carros!$H$34="Todos",'Plan mensual'!H86,0)))/60</f>
        <v>12.81735</v>
      </c>
      <c r="G157" s="9">
        <f>(parametros_carros!$D$34*('Plan mensual'!I79+IF(parametros_carros!$H$34="Todos",'Plan mensual'!I83,0))+parametros_carros!$E$34*('Plan mensual'!I80+IF(parametros_carros!$H$34="Todos",'Plan mensual'!I84,0))+parametros_carros!$F$34*('Plan mensual'!I81+IF(parametros_carros!$H$34="Todos",'Plan mensual'!I85,0))+parametros_carros!$G$34*('Plan mensual'!I82+IF(parametros_carros!$H$34="Todos",'Plan mensual'!I86,0)))/60</f>
        <v>11.3932</v>
      </c>
      <c r="H157" s="9">
        <f>(parametros_carros!$D$34*('Plan mensual'!J79+IF(parametros_carros!$H$34="Todos",'Plan mensual'!J83,0))+parametros_carros!$E$34*('Plan mensual'!J80+IF(parametros_carros!$H$34="Todos",'Plan mensual'!J84,0))+parametros_carros!$F$34*('Plan mensual'!J81+IF(parametros_carros!$H$34="Todos",'Plan mensual'!J85,0))+parametros_carros!$G$34*('Plan mensual'!J82+IF(parametros_carros!$H$34="Todos",'Plan mensual'!J86,0)))/60</f>
        <v>12.81735</v>
      </c>
      <c r="I157" s="9">
        <f>(parametros_carros!$D$34*('Plan mensual'!K79+IF(parametros_carros!$H$34="Todos",'Plan mensual'!K83,0))+parametros_carros!$E$34*('Plan mensual'!K80+IF(parametros_carros!$H$34="Todos",'Plan mensual'!K84,0))+parametros_carros!$F$34*('Plan mensual'!K81+IF(parametros_carros!$H$34="Todos",'Plan mensual'!K85,0))+parametros_carros!$G$34*('Plan mensual'!K82+IF(parametros_carros!$H$34="Todos",'Plan mensual'!K86,0)))/60</f>
        <v>12.81735</v>
      </c>
      <c r="J157" s="9">
        <f>(parametros_carros!$D$34*('Plan mensual'!L79+IF(parametros_carros!$H$34="Todos",'Plan mensual'!L83,0))+parametros_carros!$E$34*('Plan mensual'!L80+IF(parametros_carros!$H$34="Todos",'Plan mensual'!L84,0))+parametros_carros!$F$34*('Plan mensual'!L81+IF(parametros_carros!$H$34="Todos",'Plan mensual'!L85,0))+parametros_carros!$G$34*('Plan mensual'!L82+IF(parametros_carros!$H$34="Todos",'Plan mensual'!L86,0)))/60</f>
        <v>12.105275</v>
      </c>
      <c r="K157" s="9">
        <f>(parametros_carros!$D$34*('Plan mensual'!M79+IF(parametros_carros!$H$34="Todos",'Plan mensual'!M83,0))+parametros_carros!$E$34*('Plan mensual'!M80+IF(parametros_carros!$H$34="Todos",'Plan mensual'!M84,0))+parametros_carros!$F$34*('Plan mensual'!M81+IF(parametros_carros!$H$34="Todos",'Plan mensual'!M85,0))+parametros_carros!$G$34*('Plan mensual'!M82+IF(parametros_carros!$H$34="Todos",'Plan mensual'!M86,0)))/60</f>
        <v>10.681125</v>
      </c>
      <c r="L157" s="9">
        <f>(parametros_carros!$D$34*('Plan mensual'!N79+IF(parametros_carros!$H$34="Todos",'Plan mensual'!N83,0))+parametros_carros!$E$34*('Plan mensual'!N80+IF(parametros_carros!$H$34="Todos",'Plan mensual'!N84,0))+parametros_carros!$F$34*('Plan mensual'!N81+IF(parametros_carros!$H$34="Todos",'Plan mensual'!N85,0))+parametros_carros!$G$34*('Plan mensual'!N82+IF(parametros_carros!$H$34="Todos",'Plan mensual'!N86,0)))/60</f>
        <v>9.96905</v>
      </c>
      <c r="M157" s="9">
        <f>(parametros_carros!$D$34*('Plan mensual'!O79+IF(parametros_carros!$H$34="Todos",'Plan mensual'!O83,0))+parametros_carros!$E$34*('Plan mensual'!O80+IF(parametros_carros!$H$34="Todos",'Plan mensual'!O84,0))+parametros_carros!$F$34*('Plan mensual'!O81+IF(parametros_carros!$H$34="Todos",'Plan mensual'!O85,0))+parametros_carros!$G$34*('Plan mensual'!O82+IF(parametros_carros!$H$34="Todos",'Plan mensual'!O86,0)))/60</f>
        <v>11.3932</v>
      </c>
      <c r="N157" s="9">
        <f t="shared" si="22"/>
        <v>142.415</v>
      </c>
      <c r="O157" s="9">
        <f t="shared" si="23"/>
        <v>12.81735</v>
      </c>
      <c r="P157" s="32">
        <f>IF(parametros_carros!$B$7=0,0,(O157+parametros_carros!$G$60)/parametros_carros!$B$7)</f>
        <v>0.1321156667</v>
      </c>
      <c r="Q157" s="21" t="str">
        <f t="shared" si="24"/>
        <v>Mar</v>
      </c>
    </row>
    <row r="158" ht="14.25" customHeight="1">
      <c r="A158" s="2" t="str">
        <f>parametros_carros!$B$35</f>
        <v>Calidad: pérdidas, inspección final, liberación y ensayos de lote</v>
      </c>
      <c r="B158" s="9">
        <f>(parametros_carros!$D$35*('Plan mensual'!D79+IF(parametros_carros!$H$35="Todos",'Plan mensual'!D83,0))+parametros_carros!$E$35*('Plan mensual'!D80+IF(parametros_carros!$H$35="Todos",'Plan mensual'!D84,0))+parametros_carros!$F$35*('Plan mensual'!D81+IF(parametros_carros!$H$35="Todos",'Plan mensual'!D85,0))+parametros_carros!$G$35*('Plan mensual'!D82+IF(parametros_carros!$H$35="Todos",'Plan mensual'!D86,0)))/60</f>
        <v>9.174446667</v>
      </c>
      <c r="C158" s="9">
        <f>(parametros_carros!$D$35*('Plan mensual'!E79+IF(parametros_carros!$H$35="Todos",'Plan mensual'!E83,0))+parametros_carros!$E$35*('Plan mensual'!E80+IF(parametros_carros!$H$35="Todos",'Plan mensual'!E84,0))+parametros_carros!$F$35*('Plan mensual'!E81+IF(parametros_carros!$H$35="Todos",'Plan mensual'!E85,0))+parametros_carros!$G$35*('Plan mensual'!E82+IF(parametros_carros!$H$35="Todos",'Plan mensual'!E86,0)))/60</f>
        <v>8.0951</v>
      </c>
      <c r="D158" s="9">
        <f>(parametros_carros!$D$35*('Plan mensual'!F79+IF(parametros_carros!$H$35="Todos",'Plan mensual'!F83,0))+parametros_carros!$E$35*('Plan mensual'!F80+IF(parametros_carros!$H$35="Todos",'Plan mensual'!F84,0))+parametros_carros!$F$35*('Plan mensual'!F81+IF(parametros_carros!$H$35="Todos",'Plan mensual'!F85,0))+parametros_carros!$G$35*('Plan mensual'!F82+IF(parametros_carros!$H$35="Todos",'Plan mensual'!F86,0)))/60</f>
        <v>9.71412</v>
      </c>
      <c r="E158" s="9">
        <f>(parametros_carros!$D$35*('Plan mensual'!G79+IF(parametros_carros!$H$35="Todos",'Plan mensual'!G83,0))+parametros_carros!$E$35*('Plan mensual'!G80+IF(parametros_carros!$H$35="Todos",'Plan mensual'!G84,0))+parametros_carros!$F$35*('Plan mensual'!G81+IF(parametros_carros!$H$35="Todos",'Plan mensual'!G85,0))+parametros_carros!$G$35*('Plan mensual'!G82+IF(parametros_carros!$H$35="Todos",'Plan mensual'!G86,0)))/60</f>
        <v>9.71412</v>
      </c>
      <c r="F158" s="9">
        <f>(parametros_carros!$D$35*('Plan mensual'!H79+IF(parametros_carros!$H$35="Todos",'Plan mensual'!H83,0))+parametros_carros!$E$35*('Plan mensual'!H80+IF(parametros_carros!$H$35="Todos",'Plan mensual'!H84,0))+parametros_carros!$F$35*('Plan mensual'!H81+IF(parametros_carros!$H$35="Todos",'Plan mensual'!H85,0))+parametros_carros!$G$35*('Plan mensual'!H82+IF(parametros_carros!$H$35="Todos",'Plan mensual'!H86,0)))/60</f>
        <v>9.71412</v>
      </c>
      <c r="G158" s="9">
        <f>(parametros_carros!$D$35*('Plan mensual'!I79+IF(parametros_carros!$H$35="Todos",'Plan mensual'!I83,0))+parametros_carros!$E$35*('Plan mensual'!I80+IF(parametros_carros!$H$35="Todos",'Plan mensual'!I84,0))+parametros_carros!$F$35*('Plan mensual'!I81+IF(parametros_carros!$H$35="Todos",'Plan mensual'!I85,0))+parametros_carros!$G$35*('Plan mensual'!I82+IF(parametros_carros!$H$35="Todos",'Plan mensual'!I86,0)))/60</f>
        <v>8.634773333</v>
      </c>
      <c r="H158" s="9">
        <f>(parametros_carros!$D$35*('Plan mensual'!J79+IF(parametros_carros!$H$35="Todos",'Plan mensual'!J83,0))+parametros_carros!$E$35*('Plan mensual'!J80+IF(parametros_carros!$H$35="Todos",'Plan mensual'!J84,0))+parametros_carros!$F$35*('Plan mensual'!J81+IF(parametros_carros!$H$35="Todos",'Plan mensual'!J85,0))+parametros_carros!$G$35*('Plan mensual'!J82+IF(parametros_carros!$H$35="Todos",'Plan mensual'!J86,0)))/60</f>
        <v>9.71412</v>
      </c>
      <c r="I158" s="9">
        <f>(parametros_carros!$D$35*('Plan mensual'!K79+IF(parametros_carros!$H$35="Todos",'Plan mensual'!K83,0))+parametros_carros!$E$35*('Plan mensual'!K80+IF(parametros_carros!$H$35="Todos",'Plan mensual'!K84,0))+parametros_carros!$F$35*('Plan mensual'!K81+IF(parametros_carros!$H$35="Todos",'Plan mensual'!K85,0))+parametros_carros!$G$35*('Plan mensual'!K82+IF(parametros_carros!$H$35="Todos",'Plan mensual'!K86,0)))/60</f>
        <v>9.71412</v>
      </c>
      <c r="J158" s="9">
        <f>(parametros_carros!$D$35*('Plan mensual'!L79+IF(parametros_carros!$H$35="Todos",'Plan mensual'!L83,0))+parametros_carros!$E$35*('Plan mensual'!L80+IF(parametros_carros!$H$35="Todos",'Plan mensual'!L84,0))+parametros_carros!$F$35*('Plan mensual'!L81+IF(parametros_carros!$H$35="Todos",'Plan mensual'!L85,0))+parametros_carros!$G$35*('Plan mensual'!L82+IF(parametros_carros!$H$35="Todos",'Plan mensual'!L86,0)))/60</f>
        <v>9.174446667</v>
      </c>
      <c r="K158" s="9">
        <f>(parametros_carros!$D$35*('Plan mensual'!M79+IF(parametros_carros!$H$35="Todos",'Plan mensual'!M83,0))+parametros_carros!$E$35*('Plan mensual'!M80+IF(parametros_carros!$H$35="Todos",'Plan mensual'!M84,0))+parametros_carros!$F$35*('Plan mensual'!M81+IF(parametros_carros!$H$35="Todos",'Plan mensual'!M85,0))+parametros_carros!$G$35*('Plan mensual'!M82+IF(parametros_carros!$H$35="Todos",'Plan mensual'!M86,0)))/60</f>
        <v>8.0951</v>
      </c>
      <c r="L158" s="9">
        <f>(parametros_carros!$D$35*('Plan mensual'!N79+IF(parametros_carros!$H$35="Todos",'Plan mensual'!N83,0))+parametros_carros!$E$35*('Plan mensual'!N80+IF(parametros_carros!$H$35="Todos",'Plan mensual'!N84,0))+parametros_carros!$F$35*('Plan mensual'!N81+IF(parametros_carros!$H$35="Todos",'Plan mensual'!N85,0))+parametros_carros!$G$35*('Plan mensual'!N82+IF(parametros_carros!$H$35="Todos",'Plan mensual'!N86,0)))/60</f>
        <v>7.555426667</v>
      </c>
      <c r="M158" s="9">
        <f>(parametros_carros!$D$35*('Plan mensual'!O79+IF(parametros_carros!$H$35="Todos",'Plan mensual'!O83,0))+parametros_carros!$E$35*('Plan mensual'!O80+IF(parametros_carros!$H$35="Todos",'Plan mensual'!O84,0))+parametros_carros!$F$35*('Plan mensual'!O81+IF(parametros_carros!$H$35="Todos",'Plan mensual'!O85,0))+parametros_carros!$G$35*('Plan mensual'!O82+IF(parametros_carros!$H$35="Todos",'Plan mensual'!O86,0)))/60</f>
        <v>8.634773333</v>
      </c>
      <c r="N158" s="9">
        <f t="shared" si="22"/>
        <v>107.9346667</v>
      </c>
      <c r="O158" s="9">
        <f t="shared" si="23"/>
        <v>9.71412</v>
      </c>
      <c r="P158" s="32">
        <f>IF(parametros_carros!$B$7=0,0,(O158+parametros_carros!$G$61)/parametros_carros!$B$7)</f>
        <v>0.4349830222</v>
      </c>
      <c r="Q158" s="21" t="str">
        <f t="shared" si="24"/>
        <v>Mar</v>
      </c>
    </row>
    <row r="159" ht="14.25" customHeight="1">
      <c r="A159" s="2" t="str">
        <f>parametros_carros!$B$36</f>
        <v>Depósito de producto terminado y despacho</v>
      </c>
      <c r="B159" s="9">
        <f>(parametros_carros!$D$36*('Plan mensual'!D79+IF(parametros_carros!$H$36="Todos",'Plan mensual'!D83,0))+parametros_carros!$E$36*('Plan mensual'!D80+IF(parametros_carros!$H$36="Todos",'Plan mensual'!D84,0))+parametros_carros!$F$36*('Plan mensual'!D81+IF(parametros_carros!$H$36="Todos",'Plan mensual'!D85,0))+parametros_carros!$G$36*('Plan mensual'!D82+IF(parametros_carros!$H$36="Todos",'Plan mensual'!D86,0)))/60</f>
        <v>4.5084</v>
      </c>
      <c r="C159" s="9">
        <f>(parametros_carros!$D$36*('Plan mensual'!E79+IF(parametros_carros!$H$36="Todos",'Plan mensual'!E83,0))+parametros_carros!$E$36*('Plan mensual'!E80+IF(parametros_carros!$H$36="Todos",'Plan mensual'!E84,0))+parametros_carros!$F$36*('Plan mensual'!E81+IF(parametros_carros!$H$36="Todos",'Plan mensual'!E85,0))+parametros_carros!$G$36*('Plan mensual'!E82+IF(parametros_carros!$H$36="Todos",'Plan mensual'!E86,0)))/60</f>
        <v>3.978</v>
      </c>
      <c r="D159" s="9">
        <f>(parametros_carros!$D$36*('Plan mensual'!F79+IF(parametros_carros!$H$36="Todos",'Plan mensual'!F83,0))+parametros_carros!$E$36*('Plan mensual'!F80+IF(parametros_carros!$H$36="Todos",'Plan mensual'!F84,0))+parametros_carros!$F$36*('Plan mensual'!F81+IF(parametros_carros!$H$36="Todos",'Plan mensual'!F85,0))+parametros_carros!$G$36*('Plan mensual'!F82+IF(parametros_carros!$H$36="Todos",'Plan mensual'!F86,0)))/60</f>
        <v>4.7736</v>
      </c>
      <c r="E159" s="9">
        <f>(parametros_carros!$D$36*('Plan mensual'!G79+IF(parametros_carros!$H$36="Todos",'Plan mensual'!G83,0))+parametros_carros!$E$36*('Plan mensual'!G80+IF(parametros_carros!$H$36="Todos",'Plan mensual'!G84,0))+parametros_carros!$F$36*('Plan mensual'!G81+IF(parametros_carros!$H$36="Todos",'Plan mensual'!G85,0))+parametros_carros!$G$36*('Plan mensual'!G82+IF(parametros_carros!$H$36="Todos",'Plan mensual'!G86,0)))/60</f>
        <v>4.7736</v>
      </c>
      <c r="F159" s="9">
        <f>(parametros_carros!$D$36*('Plan mensual'!H79+IF(parametros_carros!$H$36="Todos",'Plan mensual'!H83,0))+parametros_carros!$E$36*('Plan mensual'!H80+IF(parametros_carros!$H$36="Todos",'Plan mensual'!H84,0))+parametros_carros!$F$36*('Plan mensual'!H81+IF(parametros_carros!$H$36="Todos",'Plan mensual'!H85,0))+parametros_carros!$G$36*('Plan mensual'!H82+IF(parametros_carros!$H$36="Todos",'Plan mensual'!H86,0)))/60</f>
        <v>4.7736</v>
      </c>
      <c r="G159" s="9">
        <f>(parametros_carros!$D$36*('Plan mensual'!I79+IF(parametros_carros!$H$36="Todos",'Plan mensual'!I83,0))+parametros_carros!$E$36*('Plan mensual'!I80+IF(parametros_carros!$H$36="Todos",'Plan mensual'!I84,0))+parametros_carros!$F$36*('Plan mensual'!I81+IF(parametros_carros!$H$36="Todos",'Plan mensual'!I85,0))+parametros_carros!$G$36*('Plan mensual'!I82+IF(parametros_carros!$H$36="Todos",'Plan mensual'!I86,0)))/60</f>
        <v>4.2432</v>
      </c>
      <c r="H159" s="9">
        <f>(parametros_carros!$D$36*('Plan mensual'!J79+IF(parametros_carros!$H$36="Todos",'Plan mensual'!J83,0))+parametros_carros!$E$36*('Plan mensual'!J80+IF(parametros_carros!$H$36="Todos",'Plan mensual'!J84,0))+parametros_carros!$F$36*('Plan mensual'!J81+IF(parametros_carros!$H$36="Todos",'Plan mensual'!J85,0))+parametros_carros!$G$36*('Plan mensual'!J82+IF(parametros_carros!$H$36="Todos",'Plan mensual'!J86,0)))/60</f>
        <v>4.7736</v>
      </c>
      <c r="I159" s="9">
        <f>(parametros_carros!$D$36*('Plan mensual'!K79+IF(parametros_carros!$H$36="Todos",'Plan mensual'!K83,0))+parametros_carros!$E$36*('Plan mensual'!K80+IF(parametros_carros!$H$36="Todos",'Plan mensual'!K84,0))+parametros_carros!$F$36*('Plan mensual'!K81+IF(parametros_carros!$H$36="Todos",'Plan mensual'!K85,0))+parametros_carros!$G$36*('Plan mensual'!K82+IF(parametros_carros!$H$36="Todos",'Plan mensual'!K86,0)))/60</f>
        <v>4.7736</v>
      </c>
      <c r="J159" s="9">
        <f>(parametros_carros!$D$36*('Plan mensual'!L79+IF(parametros_carros!$H$36="Todos",'Plan mensual'!L83,0))+parametros_carros!$E$36*('Plan mensual'!L80+IF(parametros_carros!$H$36="Todos",'Plan mensual'!L84,0))+parametros_carros!$F$36*('Plan mensual'!L81+IF(parametros_carros!$H$36="Todos",'Plan mensual'!L85,0))+parametros_carros!$G$36*('Plan mensual'!L82+IF(parametros_carros!$H$36="Todos",'Plan mensual'!L86,0)))/60</f>
        <v>4.5084</v>
      </c>
      <c r="K159" s="9">
        <f>(parametros_carros!$D$36*('Plan mensual'!M79+IF(parametros_carros!$H$36="Todos",'Plan mensual'!M83,0))+parametros_carros!$E$36*('Plan mensual'!M80+IF(parametros_carros!$H$36="Todos",'Plan mensual'!M84,0))+parametros_carros!$F$36*('Plan mensual'!M81+IF(parametros_carros!$H$36="Todos",'Plan mensual'!M85,0))+parametros_carros!$G$36*('Plan mensual'!M82+IF(parametros_carros!$H$36="Todos",'Plan mensual'!M86,0)))/60</f>
        <v>3.978</v>
      </c>
      <c r="L159" s="9">
        <f>(parametros_carros!$D$36*('Plan mensual'!N79+IF(parametros_carros!$H$36="Todos",'Plan mensual'!N83,0))+parametros_carros!$E$36*('Plan mensual'!N80+IF(parametros_carros!$H$36="Todos",'Plan mensual'!N84,0))+parametros_carros!$F$36*('Plan mensual'!N81+IF(parametros_carros!$H$36="Todos",'Plan mensual'!N85,0))+parametros_carros!$G$36*('Plan mensual'!N82+IF(parametros_carros!$H$36="Todos",'Plan mensual'!N86,0)))/60</f>
        <v>3.7128</v>
      </c>
      <c r="M159" s="9">
        <f>(parametros_carros!$D$36*('Plan mensual'!O79+IF(parametros_carros!$H$36="Todos",'Plan mensual'!O83,0))+parametros_carros!$E$36*('Plan mensual'!O80+IF(parametros_carros!$H$36="Todos",'Plan mensual'!O84,0))+parametros_carros!$F$36*('Plan mensual'!O81+IF(parametros_carros!$H$36="Todos",'Plan mensual'!O85,0))+parametros_carros!$G$36*('Plan mensual'!O82+IF(parametros_carros!$H$36="Todos",'Plan mensual'!O86,0)))/60</f>
        <v>4.2432</v>
      </c>
      <c r="N159" s="9">
        <f t="shared" si="22"/>
        <v>53.04</v>
      </c>
      <c r="O159" s="9">
        <f t="shared" si="23"/>
        <v>4.7736</v>
      </c>
      <c r="P159" s="32">
        <f>IF(parametros_carros!$B$7=0,0,(O159+parametros_carros!$G$62)/parametros_carros!$B$7)</f>
        <v>0.05404622222</v>
      </c>
      <c r="Q159" s="21" t="str">
        <f t="shared" si="24"/>
        <v>Mar</v>
      </c>
    </row>
    <row r="160" ht="14.25" customHeight="1"/>
    <row r="161" ht="45.0" customHeight="1">
      <c r="A161" s="1" t="s">
        <v>460</v>
      </c>
      <c r="B161" s="1" t="s">
        <v>8</v>
      </c>
      <c r="C161" s="1" t="s">
        <v>9</v>
      </c>
      <c r="D161" s="1" t="s">
        <v>11</v>
      </c>
      <c r="E161" s="1" t="s">
        <v>13</v>
      </c>
      <c r="F161" s="1" t="s">
        <v>14</v>
      </c>
      <c r="G161" s="1" t="s">
        <v>15</v>
      </c>
      <c r="H161" s="1" t="s">
        <v>16</v>
      </c>
      <c r="I161" s="1" t="s">
        <v>18</v>
      </c>
      <c r="J161" s="1" t="s">
        <v>19</v>
      </c>
      <c r="K161" s="1" t="s">
        <v>20</v>
      </c>
      <c r="L161" s="1" t="s">
        <v>21</v>
      </c>
      <c r="M161" s="1" t="s">
        <v>22</v>
      </c>
      <c r="N161" s="1" t="s">
        <v>32</v>
      </c>
      <c r="O161" s="1" t="s">
        <v>33</v>
      </c>
      <c r="P161" s="1" t="s">
        <v>34</v>
      </c>
      <c r="Q161" s="1" t="s">
        <v>36</v>
      </c>
    </row>
    <row r="162" ht="14.25" customHeight="1">
      <c r="A162" s="2" t="str">
        <f>parametros_carros!$B$19</f>
        <v>Recepción de materia prima</v>
      </c>
      <c r="B162" s="9">
        <f>(parametros_carros!$D$19*('Plan mensual'!D90+IF(parametros_carros!$H$19="Todos",'Plan mensual'!D94,0))+parametros_carros!$E$19*('Plan mensual'!D91+IF(parametros_carros!$H$19="Todos",'Plan mensual'!D95,0))+parametros_carros!$F$19*('Plan mensual'!D92+IF(parametros_carros!$H$19="Todos",'Plan mensual'!D96,0))+parametros_carros!$G$19*('Plan mensual'!D93+IF(parametros_carros!$H$19="Todos",'Plan mensual'!D97,0)))/60</f>
        <v>6.77260875</v>
      </c>
      <c r="C162" s="9">
        <f>(parametros_carros!$D$19*('Plan mensual'!E90+IF(parametros_carros!$H$19="Todos",'Plan mensual'!E94,0))+parametros_carros!$E$19*('Plan mensual'!E91+IF(parametros_carros!$H$19="Todos",'Plan mensual'!E95,0))+parametros_carros!$F$19*('Plan mensual'!E92+IF(parametros_carros!$H$19="Todos",'Plan mensual'!E96,0))+parametros_carros!$G$19*('Plan mensual'!E93+IF(parametros_carros!$H$19="Todos",'Plan mensual'!E97,0)))/60</f>
        <v>5.97583125</v>
      </c>
      <c r="D162" s="9">
        <f>(parametros_carros!$D$19*('Plan mensual'!F90+IF(parametros_carros!$H$19="Todos",'Plan mensual'!F94,0))+parametros_carros!$E$19*('Plan mensual'!F91+IF(parametros_carros!$H$19="Todos",'Plan mensual'!F95,0))+parametros_carros!$F$19*('Plan mensual'!F92+IF(parametros_carros!$H$19="Todos",'Plan mensual'!F96,0))+parametros_carros!$G$19*('Plan mensual'!F93+IF(parametros_carros!$H$19="Todos",'Plan mensual'!F97,0)))/60</f>
        <v>7.1709975</v>
      </c>
      <c r="E162" s="9">
        <f>(parametros_carros!$D$19*('Plan mensual'!G90+IF(parametros_carros!$H$19="Todos",'Plan mensual'!G94,0))+parametros_carros!$E$19*('Plan mensual'!G91+IF(parametros_carros!$H$19="Todos",'Plan mensual'!G95,0))+parametros_carros!$F$19*('Plan mensual'!G92+IF(parametros_carros!$H$19="Todos",'Plan mensual'!G96,0))+parametros_carros!$G$19*('Plan mensual'!G93+IF(parametros_carros!$H$19="Todos",'Plan mensual'!G97,0)))/60</f>
        <v>7.1709975</v>
      </c>
      <c r="F162" s="9">
        <f>(parametros_carros!$D$19*('Plan mensual'!H90+IF(parametros_carros!$H$19="Todos",'Plan mensual'!H94,0))+parametros_carros!$E$19*('Plan mensual'!H91+IF(parametros_carros!$H$19="Todos",'Plan mensual'!H95,0))+parametros_carros!$F$19*('Plan mensual'!H92+IF(parametros_carros!$H$19="Todos",'Plan mensual'!H96,0))+parametros_carros!$G$19*('Plan mensual'!H93+IF(parametros_carros!$H$19="Todos",'Plan mensual'!H97,0)))/60</f>
        <v>7.1709975</v>
      </c>
      <c r="G162" s="9">
        <f>(parametros_carros!$D$19*('Plan mensual'!I90+IF(parametros_carros!$H$19="Todos",'Plan mensual'!I94,0))+parametros_carros!$E$19*('Plan mensual'!I91+IF(parametros_carros!$H$19="Todos",'Plan mensual'!I95,0))+parametros_carros!$F$19*('Plan mensual'!I92+IF(parametros_carros!$H$19="Todos",'Plan mensual'!I96,0))+parametros_carros!$G$19*('Plan mensual'!I93+IF(parametros_carros!$H$19="Todos",'Plan mensual'!I97,0)))/60</f>
        <v>6.37422</v>
      </c>
      <c r="H162" s="9">
        <f>(parametros_carros!$D$19*('Plan mensual'!J90+IF(parametros_carros!$H$19="Todos",'Plan mensual'!J94,0))+parametros_carros!$E$19*('Plan mensual'!J91+IF(parametros_carros!$H$19="Todos",'Plan mensual'!J95,0))+parametros_carros!$F$19*('Plan mensual'!J92+IF(parametros_carros!$H$19="Todos",'Plan mensual'!J96,0))+parametros_carros!$G$19*('Plan mensual'!J93+IF(parametros_carros!$H$19="Todos",'Plan mensual'!J97,0)))/60</f>
        <v>7.1709975</v>
      </c>
      <c r="I162" s="9">
        <f>(parametros_carros!$D$19*('Plan mensual'!K90+IF(parametros_carros!$H$19="Todos",'Plan mensual'!K94,0))+parametros_carros!$E$19*('Plan mensual'!K91+IF(parametros_carros!$H$19="Todos",'Plan mensual'!K95,0))+parametros_carros!$F$19*('Plan mensual'!K92+IF(parametros_carros!$H$19="Todos",'Plan mensual'!K96,0))+parametros_carros!$G$19*('Plan mensual'!K93+IF(parametros_carros!$H$19="Todos",'Plan mensual'!K97,0)))/60</f>
        <v>7.1709975</v>
      </c>
      <c r="J162" s="9">
        <f>(parametros_carros!$D$19*('Plan mensual'!L90+IF(parametros_carros!$H$19="Todos",'Plan mensual'!L94,0))+parametros_carros!$E$19*('Plan mensual'!L91+IF(parametros_carros!$H$19="Todos",'Plan mensual'!L95,0))+parametros_carros!$F$19*('Plan mensual'!L92+IF(parametros_carros!$H$19="Todos",'Plan mensual'!L96,0))+parametros_carros!$G$19*('Plan mensual'!L93+IF(parametros_carros!$H$19="Todos",'Plan mensual'!L97,0)))/60</f>
        <v>6.77260875</v>
      </c>
      <c r="K162" s="9">
        <f>(parametros_carros!$D$19*('Plan mensual'!M90+IF(parametros_carros!$H$19="Todos",'Plan mensual'!M94,0))+parametros_carros!$E$19*('Plan mensual'!M91+IF(parametros_carros!$H$19="Todos",'Plan mensual'!M95,0))+parametros_carros!$F$19*('Plan mensual'!M92+IF(parametros_carros!$H$19="Todos",'Plan mensual'!M96,0))+parametros_carros!$G$19*('Plan mensual'!M93+IF(parametros_carros!$H$19="Todos",'Plan mensual'!M97,0)))/60</f>
        <v>5.97583125</v>
      </c>
      <c r="L162" s="9">
        <f>(parametros_carros!$D$19*('Plan mensual'!N90+IF(parametros_carros!$H$19="Todos",'Plan mensual'!N94,0))+parametros_carros!$E$19*('Plan mensual'!N91+IF(parametros_carros!$H$19="Todos",'Plan mensual'!N95,0))+parametros_carros!$F$19*('Plan mensual'!N92+IF(parametros_carros!$H$19="Todos",'Plan mensual'!N96,0))+parametros_carros!$G$19*('Plan mensual'!N93+IF(parametros_carros!$H$19="Todos",'Plan mensual'!N97,0)))/60</f>
        <v>5.5774425</v>
      </c>
      <c r="M162" s="9">
        <f>(parametros_carros!$D$19*('Plan mensual'!O90+IF(parametros_carros!$H$19="Todos",'Plan mensual'!O94,0))+parametros_carros!$E$19*('Plan mensual'!O91+IF(parametros_carros!$H$19="Todos",'Plan mensual'!O95,0))+parametros_carros!$F$19*('Plan mensual'!O92+IF(parametros_carros!$H$19="Todos",'Plan mensual'!O96,0))+parametros_carros!$G$19*('Plan mensual'!O93+IF(parametros_carros!$H$19="Todos",'Plan mensual'!O97,0)))/60</f>
        <v>6.37422</v>
      </c>
      <c r="N162" s="9">
        <f t="shared" ref="N162:N179" si="25">SUM(B162:M162)</f>
        <v>79.67775</v>
      </c>
      <c r="O162" s="9">
        <f t="shared" ref="O162:O179" si="26">MAX(B162:M162)</f>
        <v>7.1709975</v>
      </c>
      <c r="P162" s="32">
        <f>IF(parametros_carros!$B$7=0,0,(O162+parametros_carros!$G$45)/parametros_carros!$B$7)</f>
        <v>0.09591776111</v>
      </c>
      <c r="Q162" s="21" t="str">
        <f t="shared" ref="Q162:Q179" si="27">IF(O162=0,"-",INDEX($B$161:$M$161,MATCH(O162,B162:M162,0)))</f>
        <v>Mar</v>
      </c>
    </row>
    <row r="163" ht="14.25" customHeight="1">
      <c r="A163" s="2" t="str">
        <f>parametros_carros!$B$20</f>
        <v>Corte de chapa (guillotina)</v>
      </c>
      <c r="B163" s="9">
        <f>(parametros_carros!$D$20*('Plan mensual'!D90+IF(parametros_carros!$H$20="Todos",'Plan mensual'!D94,0))+parametros_carros!$E$20*('Plan mensual'!D91+IF(parametros_carros!$H$20="Todos",'Plan mensual'!D95,0))+parametros_carros!$F$20*('Plan mensual'!D92+IF(parametros_carros!$H$20="Todos",'Plan mensual'!D96,0))+parametros_carros!$G$20*('Plan mensual'!D93+IF(parametros_carros!$H$20="Todos",'Plan mensual'!D97,0)))/60</f>
        <v>14.88412826</v>
      </c>
      <c r="C163" s="9">
        <f>(parametros_carros!$D$20*('Plan mensual'!E90+IF(parametros_carros!$H$20="Todos",'Plan mensual'!E94,0))+parametros_carros!$E$20*('Plan mensual'!E91+IF(parametros_carros!$H$20="Todos",'Plan mensual'!E95,0))+parametros_carros!$F$20*('Plan mensual'!E92+IF(parametros_carros!$H$20="Todos",'Plan mensual'!E96,0))+parametros_carros!$G$20*('Plan mensual'!E93+IF(parametros_carros!$H$20="Todos",'Plan mensual'!E97,0)))/60</f>
        <v>13.13305435</v>
      </c>
      <c r="D163" s="9">
        <f>(parametros_carros!$D$20*('Plan mensual'!F90+IF(parametros_carros!$H$20="Todos",'Plan mensual'!F94,0))+parametros_carros!$E$20*('Plan mensual'!F91+IF(parametros_carros!$H$20="Todos",'Plan mensual'!F95,0))+parametros_carros!$F$20*('Plan mensual'!F92+IF(parametros_carros!$H$20="Todos",'Plan mensual'!F96,0))+parametros_carros!$G$20*('Plan mensual'!F93+IF(parametros_carros!$H$20="Todos",'Plan mensual'!F97,0)))/60</f>
        <v>15.75966522</v>
      </c>
      <c r="E163" s="9">
        <f>(parametros_carros!$D$20*('Plan mensual'!G90+IF(parametros_carros!$H$20="Todos",'Plan mensual'!G94,0))+parametros_carros!$E$20*('Plan mensual'!G91+IF(parametros_carros!$H$20="Todos",'Plan mensual'!G95,0))+parametros_carros!$F$20*('Plan mensual'!G92+IF(parametros_carros!$H$20="Todos",'Plan mensual'!G96,0))+parametros_carros!$G$20*('Plan mensual'!G93+IF(parametros_carros!$H$20="Todos",'Plan mensual'!G97,0)))/60</f>
        <v>15.75966522</v>
      </c>
      <c r="F163" s="9">
        <f>(parametros_carros!$D$20*('Plan mensual'!H90+IF(parametros_carros!$H$20="Todos",'Plan mensual'!H94,0))+parametros_carros!$E$20*('Plan mensual'!H91+IF(parametros_carros!$H$20="Todos",'Plan mensual'!H95,0))+parametros_carros!$F$20*('Plan mensual'!H92+IF(parametros_carros!$H$20="Todos",'Plan mensual'!H96,0))+parametros_carros!$G$20*('Plan mensual'!H93+IF(parametros_carros!$H$20="Todos",'Plan mensual'!H97,0)))/60</f>
        <v>15.75966522</v>
      </c>
      <c r="G163" s="9">
        <f>(parametros_carros!$D$20*('Plan mensual'!I90+IF(parametros_carros!$H$20="Todos",'Plan mensual'!I94,0))+parametros_carros!$E$20*('Plan mensual'!I91+IF(parametros_carros!$H$20="Todos",'Plan mensual'!I95,0))+parametros_carros!$F$20*('Plan mensual'!I92+IF(parametros_carros!$H$20="Todos",'Plan mensual'!I96,0))+parametros_carros!$G$20*('Plan mensual'!I93+IF(parametros_carros!$H$20="Todos",'Plan mensual'!I97,0)))/60</f>
        <v>14.0085913</v>
      </c>
      <c r="H163" s="9">
        <f>(parametros_carros!$D$20*('Plan mensual'!J90+IF(parametros_carros!$H$20="Todos",'Plan mensual'!J94,0))+parametros_carros!$E$20*('Plan mensual'!J91+IF(parametros_carros!$H$20="Todos",'Plan mensual'!J95,0))+parametros_carros!$F$20*('Plan mensual'!J92+IF(parametros_carros!$H$20="Todos",'Plan mensual'!J96,0))+parametros_carros!$G$20*('Plan mensual'!J93+IF(parametros_carros!$H$20="Todos",'Plan mensual'!J97,0)))/60</f>
        <v>15.75966522</v>
      </c>
      <c r="I163" s="9">
        <f>(parametros_carros!$D$20*('Plan mensual'!K90+IF(parametros_carros!$H$20="Todos",'Plan mensual'!K94,0))+parametros_carros!$E$20*('Plan mensual'!K91+IF(parametros_carros!$H$20="Todos",'Plan mensual'!K95,0))+parametros_carros!$F$20*('Plan mensual'!K92+IF(parametros_carros!$H$20="Todos",'Plan mensual'!K96,0))+parametros_carros!$G$20*('Plan mensual'!K93+IF(parametros_carros!$H$20="Todos",'Plan mensual'!K97,0)))/60</f>
        <v>15.75966522</v>
      </c>
      <c r="J163" s="9">
        <f>(parametros_carros!$D$20*('Plan mensual'!L90+IF(parametros_carros!$H$20="Todos",'Plan mensual'!L94,0))+parametros_carros!$E$20*('Plan mensual'!L91+IF(parametros_carros!$H$20="Todos",'Plan mensual'!L95,0))+parametros_carros!$F$20*('Plan mensual'!L92+IF(parametros_carros!$H$20="Todos",'Plan mensual'!L96,0))+parametros_carros!$G$20*('Plan mensual'!L93+IF(parametros_carros!$H$20="Todos",'Plan mensual'!L97,0)))/60</f>
        <v>14.88412826</v>
      </c>
      <c r="K163" s="9">
        <f>(parametros_carros!$D$20*('Plan mensual'!M90+IF(parametros_carros!$H$20="Todos",'Plan mensual'!M94,0))+parametros_carros!$E$20*('Plan mensual'!M91+IF(parametros_carros!$H$20="Todos",'Plan mensual'!M95,0))+parametros_carros!$F$20*('Plan mensual'!M92+IF(parametros_carros!$H$20="Todos",'Plan mensual'!M96,0))+parametros_carros!$G$20*('Plan mensual'!M93+IF(parametros_carros!$H$20="Todos",'Plan mensual'!M97,0)))/60</f>
        <v>13.13305435</v>
      </c>
      <c r="L163" s="9">
        <f>(parametros_carros!$D$20*('Plan mensual'!N90+IF(parametros_carros!$H$20="Todos",'Plan mensual'!N94,0))+parametros_carros!$E$20*('Plan mensual'!N91+IF(parametros_carros!$H$20="Todos",'Plan mensual'!N95,0))+parametros_carros!$F$20*('Plan mensual'!N92+IF(parametros_carros!$H$20="Todos",'Plan mensual'!N96,0))+parametros_carros!$G$20*('Plan mensual'!N93+IF(parametros_carros!$H$20="Todos",'Plan mensual'!N97,0)))/60</f>
        <v>12.25751739</v>
      </c>
      <c r="M163" s="9">
        <f>(parametros_carros!$D$20*('Plan mensual'!O90+IF(parametros_carros!$H$20="Todos",'Plan mensual'!O94,0))+parametros_carros!$E$20*('Plan mensual'!O91+IF(parametros_carros!$H$20="Todos",'Plan mensual'!O95,0))+parametros_carros!$F$20*('Plan mensual'!O92+IF(parametros_carros!$H$20="Todos",'Plan mensual'!O96,0))+parametros_carros!$G$20*('Plan mensual'!O93+IF(parametros_carros!$H$20="Todos",'Plan mensual'!O97,0)))/60</f>
        <v>14.0085913</v>
      </c>
      <c r="N163" s="9">
        <f t="shared" si="25"/>
        <v>175.1073913</v>
      </c>
      <c r="O163" s="9">
        <f t="shared" si="26"/>
        <v>15.75966522</v>
      </c>
      <c r="P163" s="32">
        <f>IF(parametros_carros!$B$7=0,0,(O163+parametros_carros!$G$46)/parametros_carros!$B$7)</f>
        <v>0.167286657</v>
      </c>
      <c r="Q163" s="21" t="str">
        <f t="shared" si="27"/>
        <v>Mar</v>
      </c>
    </row>
    <row r="164" ht="14.25" customHeight="1">
      <c r="A164" s="2" t="str">
        <f>parametros_carros!$B$21</f>
        <v>Marcado del cuerpo</v>
      </c>
      <c r="B164" s="9">
        <f>(parametros_carros!$D$21*('Plan mensual'!D90+IF(parametros_carros!$H$21="Todos",'Plan mensual'!D94,0))+parametros_carros!$E$21*('Plan mensual'!D91+IF(parametros_carros!$H$21="Todos",'Plan mensual'!D95,0))+parametros_carros!$F$21*('Plan mensual'!D92+IF(parametros_carros!$H$21="Todos",'Plan mensual'!D96,0))+parametros_carros!$G$21*('Plan mensual'!D93+IF(parametros_carros!$H$21="Todos",'Plan mensual'!D97,0)))/60</f>
        <v>5.92705</v>
      </c>
      <c r="C164" s="9">
        <f>(parametros_carros!$D$21*('Plan mensual'!E90+IF(parametros_carros!$H$21="Todos",'Plan mensual'!E94,0))+parametros_carros!$E$21*('Plan mensual'!E91+IF(parametros_carros!$H$21="Todos",'Plan mensual'!E95,0))+parametros_carros!$F$21*('Plan mensual'!E92+IF(parametros_carros!$H$21="Todos",'Plan mensual'!E96,0))+parametros_carros!$G$21*('Plan mensual'!E93+IF(parametros_carros!$H$21="Todos",'Plan mensual'!E97,0)))/60</f>
        <v>5.22975</v>
      </c>
      <c r="D164" s="9">
        <f>(parametros_carros!$D$21*('Plan mensual'!F90+IF(parametros_carros!$H$21="Todos",'Plan mensual'!F94,0))+parametros_carros!$E$21*('Plan mensual'!F91+IF(parametros_carros!$H$21="Todos",'Plan mensual'!F95,0))+parametros_carros!$F$21*('Plan mensual'!F92+IF(parametros_carros!$H$21="Todos",'Plan mensual'!F96,0))+parametros_carros!$G$21*('Plan mensual'!F93+IF(parametros_carros!$H$21="Todos",'Plan mensual'!F97,0)))/60</f>
        <v>6.2757</v>
      </c>
      <c r="E164" s="9">
        <f>(parametros_carros!$D$21*('Plan mensual'!G90+IF(parametros_carros!$H$21="Todos",'Plan mensual'!G94,0))+parametros_carros!$E$21*('Plan mensual'!G91+IF(parametros_carros!$H$21="Todos",'Plan mensual'!G95,0))+parametros_carros!$F$21*('Plan mensual'!G92+IF(parametros_carros!$H$21="Todos",'Plan mensual'!G96,0))+parametros_carros!$G$21*('Plan mensual'!G93+IF(parametros_carros!$H$21="Todos",'Plan mensual'!G97,0)))/60</f>
        <v>6.2757</v>
      </c>
      <c r="F164" s="9">
        <f>(parametros_carros!$D$21*('Plan mensual'!H90+IF(parametros_carros!$H$21="Todos",'Plan mensual'!H94,0))+parametros_carros!$E$21*('Plan mensual'!H91+IF(parametros_carros!$H$21="Todos",'Plan mensual'!H95,0))+parametros_carros!$F$21*('Plan mensual'!H92+IF(parametros_carros!$H$21="Todos",'Plan mensual'!H96,0))+parametros_carros!$G$21*('Plan mensual'!H93+IF(parametros_carros!$H$21="Todos",'Plan mensual'!H97,0)))/60</f>
        <v>6.2757</v>
      </c>
      <c r="G164" s="9">
        <f>(parametros_carros!$D$21*('Plan mensual'!I90+IF(parametros_carros!$H$21="Todos",'Plan mensual'!I94,0))+parametros_carros!$E$21*('Plan mensual'!I91+IF(parametros_carros!$H$21="Todos",'Plan mensual'!I95,0))+parametros_carros!$F$21*('Plan mensual'!I92+IF(parametros_carros!$H$21="Todos",'Plan mensual'!I96,0))+parametros_carros!$G$21*('Plan mensual'!I93+IF(parametros_carros!$H$21="Todos",'Plan mensual'!I97,0)))/60</f>
        <v>5.5784</v>
      </c>
      <c r="H164" s="9">
        <f>(parametros_carros!$D$21*('Plan mensual'!J90+IF(parametros_carros!$H$21="Todos",'Plan mensual'!J94,0))+parametros_carros!$E$21*('Plan mensual'!J91+IF(parametros_carros!$H$21="Todos",'Plan mensual'!J95,0))+parametros_carros!$F$21*('Plan mensual'!J92+IF(parametros_carros!$H$21="Todos",'Plan mensual'!J96,0))+parametros_carros!$G$21*('Plan mensual'!J93+IF(parametros_carros!$H$21="Todos",'Plan mensual'!J97,0)))/60</f>
        <v>6.2757</v>
      </c>
      <c r="I164" s="9">
        <f>(parametros_carros!$D$21*('Plan mensual'!K90+IF(parametros_carros!$H$21="Todos",'Plan mensual'!K94,0))+parametros_carros!$E$21*('Plan mensual'!K91+IF(parametros_carros!$H$21="Todos",'Plan mensual'!K95,0))+parametros_carros!$F$21*('Plan mensual'!K92+IF(parametros_carros!$H$21="Todos",'Plan mensual'!K96,0))+parametros_carros!$G$21*('Plan mensual'!K93+IF(parametros_carros!$H$21="Todos",'Plan mensual'!K97,0)))/60</f>
        <v>6.2757</v>
      </c>
      <c r="J164" s="9">
        <f>(parametros_carros!$D$21*('Plan mensual'!L90+IF(parametros_carros!$H$21="Todos",'Plan mensual'!L94,0))+parametros_carros!$E$21*('Plan mensual'!L91+IF(parametros_carros!$H$21="Todos",'Plan mensual'!L95,0))+parametros_carros!$F$21*('Plan mensual'!L92+IF(parametros_carros!$H$21="Todos",'Plan mensual'!L96,0))+parametros_carros!$G$21*('Plan mensual'!L93+IF(parametros_carros!$H$21="Todos",'Plan mensual'!L97,0)))/60</f>
        <v>5.92705</v>
      </c>
      <c r="K164" s="9">
        <f>(parametros_carros!$D$21*('Plan mensual'!M90+IF(parametros_carros!$H$21="Todos",'Plan mensual'!M94,0))+parametros_carros!$E$21*('Plan mensual'!M91+IF(parametros_carros!$H$21="Todos",'Plan mensual'!M95,0))+parametros_carros!$F$21*('Plan mensual'!M92+IF(parametros_carros!$H$21="Todos",'Plan mensual'!M96,0))+parametros_carros!$G$21*('Plan mensual'!M93+IF(parametros_carros!$H$21="Todos",'Plan mensual'!M97,0)))/60</f>
        <v>5.22975</v>
      </c>
      <c r="L164" s="9">
        <f>(parametros_carros!$D$21*('Plan mensual'!N90+IF(parametros_carros!$H$21="Todos",'Plan mensual'!N94,0))+parametros_carros!$E$21*('Plan mensual'!N91+IF(parametros_carros!$H$21="Todos",'Plan mensual'!N95,0))+parametros_carros!$F$21*('Plan mensual'!N92+IF(parametros_carros!$H$21="Todos",'Plan mensual'!N96,0))+parametros_carros!$G$21*('Plan mensual'!N93+IF(parametros_carros!$H$21="Todos",'Plan mensual'!N97,0)))/60</f>
        <v>4.8811</v>
      </c>
      <c r="M164" s="9">
        <f>(parametros_carros!$D$21*('Plan mensual'!O90+IF(parametros_carros!$H$21="Todos",'Plan mensual'!O94,0))+parametros_carros!$E$21*('Plan mensual'!O91+IF(parametros_carros!$H$21="Todos",'Plan mensual'!O95,0))+parametros_carros!$F$21*('Plan mensual'!O92+IF(parametros_carros!$H$21="Todos",'Plan mensual'!O96,0))+parametros_carros!$G$21*('Plan mensual'!O93+IF(parametros_carros!$H$21="Todos",'Plan mensual'!O97,0)))/60</f>
        <v>5.5784</v>
      </c>
      <c r="N164" s="9">
        <f t="shared" si="25"/>
        <v>69.73</v>
      </c>
      <c r="O164" s="9">
        <f t="shared" si="26"/>
        <v>6.2757</v>
      </c>
      <c r="P164" s="32">
        <f>IF(parametros_carros!$B$7=0,0,(O164+parametros_carros!$G$47)/parametros_carros!$B$7)</f>
        <v>0.05406022222</v>
      </c>
      <c r="Q164" s="21" t="str">
        <f t="shared" si="27"/>
        <v>Mar</v>
      </c>
    </row>
    <row r="165" ht="14.25" customHeight="1">
      <c r="A165" s="2" t="str">
        <f>parametros_carros!$B$22</f>
        <v>Cilindrado</v>
      </c>
      <c r="B165" s="9">
        <f>(parametros_carros!$D$22*('Plan mensual'!D90+IF(parametros_carros!$H$22="Todos",'Plan mensual'!D94,0))+parametros_carros!$E$22*('Plan mensual'!D91+IF(parametros_carros!$H$22="Todos",'Plan mensual'!D95,0))+parametros_carros!$F$22*('Plan mensual'!D92+IF(parametros_carros!$H$22="Todos",'Plan mensual'!D96,0))+parametros_carros!$G$22*('Plan mensual'!D93+IF(parametros_carros!$H$22="Todos",'Plan mensual'!D97,0)))/60</f>
        <v>12.68356449</v>
      </c>
      <c r="C165" s="9">
        <f>(parametros_carros!$D$22*('Plan mensual'!E90+IF(parametros_carros!$H$22="Todos",'Plan mensual'!E94,0))+parametros_carros!$E$22*('Plan mensual'!E91+IF(parametros_carros!$H$22="Todos",'Plan mensual'!E95,0))+parametros_carros!$F$22*('Plan mensual'!E92+IF(parametros_carros!$H$22="Todos",'Plan mensual'!E96,0))+parametros_carros!$G$22*('Plan mensual'!E93+IF(parametros_carros!$H$22="Todos",'Plan mensual'!E97,0)))/60</f>
        <v>11.19138043</v>
      </c>
      <c r="D165" s="9">
        <f>(parametros_carros!$D$22*('Plan mensual'!F90+IF(parametros_carros!$H$22="Todos",'Plan mensual'!F94,0))+parametros_carros!$E$22*('Plan mensual'!F91+IF(parametros_carros!$H$22="Todos",'Plan mensual'!F95,0))+parametros_carros!$F$22*('Plan mensual'!F92+IF(parametros_carros!$H$22="Todos",'Plan mensual'!F96,0))+parametros_carros!$G$22*('Plan mensual'!F93+IF(parametros_carros!$H$22="Todos",'Plan mensual'!F97,0)))/60</f>
        <v>13.42965652</v>
      </c>
      <c r="E165" s="9">
        <f>(parametros_carros!$D$22*('Plan mensual'!G90+IF(parametros_carros!$H$22="Todos",'Plan mensual'!G94,0))+parametros_carros!$E$22*('Plan mensual'!G91+IF(parametros_carros!$H$22="Todos",'Plan mensual'!G95,0))+parametros_carros!$F$22*('Plan mensual'!G92+IF(parametros_carros!$H$22="Todos",'Plan mensual'!G96,0))+parametros_carros!$G$22*('Plan mensual'!G93+IF(parametros_carros!$H$22="Todos",'Plan mensual'!G97,0)))/60</f>
        <v>13.42965652</v>
      </c>
      <c r="F165" s="9">
        <f>(parametros_carros!$D$22*('Plan mensual'!H90+IF(parametros_carros!$H$22="Todos",'Plan mensual'!H94,0))+parametros_carros!$E$22*('Plan mensual'!H91+IF(parametros_carros!$H$22="Todos",'Plan mensual'!H95,0))+parametros_carros!$F$22*('Plan mensual'!H92+IF(parametros_carros!$H$22="Todos",'Plan mensual'!H96,0))+parametros_carros!$G$22*('Plan mensual'!H93+IF(parametros_carros!$H$22="Todos",'Plan mensual'!H97,0)))/60</f>
        <v>13.42965652</v>
      </c>
      <c r="G165" s="9">
        <f>(parametros_carros!$D$22*('Plan mensual'!I90+IF(parametros_carros!$H$22="Todos",'Plan mensual'!I94,0))+parametros_carros!$E$22*('Plan mensual'!I91+IF(parametros_carros!$H$22="Todos",'Plan mensual'!I95,0))+parametros_carros!$F$22*('Plan mensual'!I92+IF(parametros_carros!$H$22="Todos",'Plan mensual'!I96,0))+parametros_carros!$G$22*('Plan mensual'!I93+IF(parametros_carros!$H$22="Todos",'Plan mensual'!I97,0)))/60</f>
        <v>11.93747246</v>
      </c>
      <c r="H165" s="9">
        <f>(parametros_carros!$D$22*('Plan mensual'!J90+IF(parametros_carros!$H$22="Todos",'Plan mensual'!J94,0))+parametros_carros!$E$22*('Plan mensual'!J91+IF(parametros_carros!$H$22="Todos",'Plan mensual'!J95,0))+parametros_carros!$F$22*('Plan mensual'!J92+IF(parametros_carros!$H$22="Todos",'Plan mensual'!J96,0))+parametros_carros!$G$22*('Plan mensual'!J93+IF(parametros_carros!$H$22="Todos",'Plan mensual'!J97,0)))/60</f>
        <v>13.42965652</v>
      </c>
      <c r="I165" s="9">
        <f>(parametros_carros!$D$22*('Plan mensual'!K90+IF(parametros_carros!$H$22="Todos",'Plan mensual'!K94,0))+parametros_carros!$E$22*('Plan mensual'!K91+IF(parametros_carros!$H$22="Todos",'Plan mensual'!K95,0))+parametros_carros!$F$22*('Plan mensual'!K92+IF(parametros_carros!$H$22="Todos",'Plan mensual'!K96,0))+parametros_carros!$G$22*('Plan mensual'!K93+IF(parametros_carros!$H$22="Todos",'Plan mensual'!K97,0)))/60</f>
        <v>13.42965652</v>
      </c>
      <c r="J165" s="9">
        <f>(parametros_carros!$D$22*('Plan mensual'!L90+IF(parametros_carros!$H$22="Todos",'Plan mensual'!L94,0))+parametros_carros!$E$22*('Plan mensual'!L91+IF(parametros_carros!$H$22="Todos",'Plan mensual'!L95,0))+parametros_carros!$F$22*('Plan mensual'!L92+IF(parametros_carros!$H$22="Todos",'Plan mensual'!L96,0))+parametros_carros!$G$22*('Plan mensual'!L93+IF(parametros_carros!$H$22="Todos",'Plan mensual'!L97,0)))/60</f>
        <v>12.68356449</v>
      </c>
      <c r="K165" s="9">
        <f>(parametros_carros!$D$22*('Plan mensual'!M90+IF(parametros_carros!$H$22="Todos",'Plan mensual'!M94,0))+parametros_carros!$E$22*('Plan mensual'!M91+IF(parametros_carros!$H$22="Todos",'Plan mensual'!M95,0))+parametros_carros!$F$22*('Plan mensual'!M92+IF(parametros_carros!$H$22="Todos",'Plan mensual'!M96,0))+parametros_carros!$G$22*('Plan mensual'!M93+IF(parametros_carros!$H$22="Todos",'Plan mensual'!M97,0)))/60</f>
        <v>11.19138043</v>
      </c>
      <c r="L165" s="9">
        <f>(parametros_carros!$D$22*('Plan mensual'!N90+IF(parametros_carros!$H$22="Todos",'Plan mensual'!N94,0))+parametros_carros!$E$22*('Plan mensual'!N91+IF(parametros_carros!$H$22="Todos",'Plan mensual'!N95,0))+parametros_carros!$F$22*('Plan mensual'!N92+IF(parametros_carros!$H$22="Todos",'Plan mensual'!N96,0))+parametros_carros!$G$22*('Plan mensual'!N93+IF(parametros_carros!$H$22="Todos",'Plan mensual'!N97,0)))/60</f>
        <v>10.44528841</v>
      </c>
      <c r="M165" s="9">
        <f>(parametros_carros!$D$22*('Plan mensual'!O90+IF(parametros_carros!$H$22="Todos",'Plan mensual'!O94,0))+parametros_carros!$E$22*('Plan mensual'!O91+IF(parametros_carros!$H$22="Todos",'Plan mensual'!O95,0))+parametros_carros!$F$22*('Plan mensual'!O92+IF(parametros_carros!$H$22="Todos",'Plan mensual'!O96,0))+parametros_carros!$G$22*('Plan mensual'!O93+IF(parametros_carros!$H$22="Todos",'Plan mensual'!O97,0)))/60</f>
        <v>11.93747246</v>
      </c>
      <c r="N165" s="9">
        <f t="shared" si="25"/>
        <v>149.2184058</v>
      </c>
      <c r="O165" s="9">
        <f t="shared" si="26"/>
        <v>13.42965652</v>
      </c>
      <c r="P165" s="32">
        <f>IF(parametros_carros!$B$7=0,0,(O165+parametros_carros!$G$48)/parametros_carros!$B$7)</f>
        <v>0.1295310435</v>
      </c>
      <c r="Q165" s="21" t="str">
        <f t="shared" si="27"/>
        <v>Mar</v>
      </c>
    </row>
    <row r="166" ht="14.25" customHeight="1">
      <c r="A166" s="2" t="str">
        <f>parametros_carros!$B$23</f>
        <v>Punteo del cuerpo</v>
      </c>
      <c r="B166" s="9">
        <f>(parametros_carros!$D$23*('Plan mensual'!D90+IF(parametros_carros!$H$23="Todos",'Plan mensual'!D94,0))+parametros_carros!$E$23*('Plan mensual'!D91+IF(parametros_carros!$H$23="Todos",'Plan mensual'!D95,0))+parametros_carros!$F$23*('Plan mensual'!D92+IF(parametros_carros!$H$23="Todos",'Plan mensual'!D96,0))+parametros_carros!$G$23*('Plan mensual'!D93+IF(parametros_carros!$H$23="Todos",'Plan mensual'!D97,0)))/60</f>
        <v>18.80158116</v>
      </c>
      <c r="C166" s="9">
        <f>(parametros_carros!$D$23*('Plan mensual'!E90+IF(parametros_carros!$H$23="Todos",'Plan mensual'!E94,0))+parametros_carros!$E$23*('Plan mensual'!E91+IF(parametros_carros!$H$23="Todos",'Plan mensual'!E95,0))+parametros_carros!$F$23*('Plan mensual'!E92+IF(parametros_carros!$H$23="Todos",'Plan mensual'!E96,0))+parametros_carros!$G$23*('Plan mensual'!E93+IF(parametros_carros!$H$23="Todos",'Plan mensual'!E97,0)))/60</f>
        <v>16.58963043</v>
      </c>
      <c r="D166" s="9">
        <f>(parametros_carros!$D$23*('Plan mensual'!F90+IF(parametros_carros!$H$23="Todos",'Plan mensual'!F94,0))+parametros_carros!$E$23*('Plan mensual'!F91+IF(parametros_carros!$H$23="Todos",'Plan mensual'!F95,0))+parametros_carros!$F$23*('Plan mensual'!F92+IF(parametros_carros!$H$23="Todos",'Plan mensual'!F96,0))+parametros_carros!$G$23*('Plan mensual'!F93+IF(parametros_carros!$H$23="Todos",'Plan mensual'!F97,0)))/60</f>
        <v>19.90755652</v>
      </c>
      <c r="E166" s="9">
        <f>(parametros_carros!$D$23*('Plan mensual'!G90+IF(parametros_carros!$H$23="Todos",'Plan mensual'!G94,0))+parametros_carros!$E$23*('Plan mensual'!G91+IF(parametros_carros!$H$23="Todos",'Plan mensual'!G95,0))+parametros_carros!$F$23*('Plan mensual'!G92+IF(parametros_carros!$H$23="Todos",'Plan mensual'!G96,0))+parametros_carros!$G$23*('Plan mensual'!G93+IF(parametros_carros!$H$23="Todos",'Plan mensual'!G97,0)))/60</f>
        <v>19.90755652</v>
      </c>
      <c r="F166" s="9">
        <f>(parametros_carros!$D$23*('Plan mensual'!H90+IF(parametros_carros!$H$23="Todos",'Plan mensual'!H94,0))+parametros_carros!$E$23*('Plan mensual'!H91+IF(parametros_carros!$H$23="Todos",'Plan mensual'!H95,0))+parametros_carros!$F$23*('Plan mensual'!H92+IF(parametros_carros!$H$23="Todos",'Plan mensual'!H96,0))+parametros_carros!$G$23*('Plan mensual'!H93+IF(parametros_carros!$H$23="Todos",'Plan mensual'!H97,0)))/60</f>
        <v>19.90755652</v>
      </c>
      <c r="G166" s="9">
        <f>(parametros_carros!$D$23*('Plan mensual'!I90+IF(parametros_carros!$H$23="Todos",'Plan mensual'!I94,0))+parametros_carros!$E$23*('Plan mensual'!I91+IF(parametros_carros!$H$23="Todos",'Plan mensual'!I95,0))+parametros_carros!$F$23*('Plan mensual'!I92+IF(parametros_carros!$H$23="Todos",'Plan mensual'!I96,0))+parametros_carros!$G$23*('Plan mensual'!I93+IF(parametros_carros!$H$23="Todos",'Plan mensual'!I97,0)))/60</f>
        <v>17.6956058</v>
      </c>
      <c r="H166" s="9">
        <f>(parametros_carros!$D$23*('Plan mensual'!J90+IF(parametros_carros!$H$23="Todos",'Plan mensual'!J94,0))+parametros_carros!$E$23*('Plan mensual'!J91+IF(parametros_carros!$H$23="Todos",'Plan mensual'!J95,0))+parametros_carros!$F$23*('Plan mensual'!J92+IF(parametros_carros!$H$23="Todos",'Plan mensual'!J96,0))+parametros_carros!$G$23*('Plan mensual'!J93+IF(parametros_carros!$H$23="Todos",'Plan mensual'!J97,0)))/60</f>
        <v>19.90755652</v>
      </c>
      <c r="I166" s="9">
        <f>(parametros_carros!$D$23*('Plan mensual'!K90+IF(parametros_carros!$H$23="Todos",'Plan mensual'!K94,0))+parametros_carros!$E$23*('Plan mensual'!K91+IF(parametros_carros!$H$23="Todos",'Plan mensual'!K95,0))+parametros_carros!$F$23*('Plan mensual'!K92+IF(parametros_carros!$H$23="Todos",'Plan mensual'!K96,0))+parametros_carros!$G$23*('Plan mensual'!K93+IF(parametros_carros!$H$23="Todos",'Plan mensual'!K97,0)))/60</f>
        <v>19.90755652</v>
      </c>
      <c r="J166" s="9">
        <f>(parametros_carros!$D$23*('Plan mensual'!L90+IF(parametros_carros!$H$23="Todos",'Plan mensual'!L94,0))+parametros_carros!$E$23*('Plan mensual'!L91+IF(parametros_carros!$H$23="Todos",'Plan mensual'!L95,0))+parametros_carros!$F$23*('Plan mensual'!L92+IF(parametros_carros!$H$23="Todos",'Plan mensual'!L96,0))+parametros_carros!$G$23*('Plan mensual'!L93+IF(parametros_carros!$H$23="Todos",'Plan mensual'!L97,0)))/60</f>
        <v>18.80158116</v>
      </c>
      <c r="K166" s="9">
        <f>(parametros_carros!$D$23*('Plan mensual'!M90+IF(parametros_carros!$H$23="Todos",'Plan mensual'!M94,0))+parametros_carros!$E$23*('Plan mensual'!M91+IF(parametros_carros!$H$23="Todos",'Plan mensual'!M95,0))+parametros_carros!$F$23*('Plan mensual'!M92+IF(parametros_carros!$H$23="Todos",'Plan mensual'!M96,0))+parametros_carros!$G$23*('Plan mensual'!M93+IF(parametros_carros!$H$23="Todos",'Plan mensual'!M97,0)))/60</f>
        <v>16.58963043</v>
      </c>
      <c r="L166" s="9">
        <f>(parametros_carros!$D$23*('Plan mensual'!N90+IF(parametros_carros!$H$23="Todos",'Plan mensual'!N94,0))+parametros_carros!$E$23*('Plan mensual'!N91+IF(parametros_carros!$H$23="Todos",'Plan mensual'!N95,0))+parametros_carros!$F$23*('Plan mensual'!N92+IF(parametros_carros!$H$23="Todos",'Plan mensual'!N96,0))+parametros_carros!$G$23*('Plan mensual'!N93+IF(parametros_carros!$H$23="Todos",'Plan mensual'!N97,0)))/60</f>
        <v>15.48365507</v>
      </c>
      <c r="M166" s="9">
        <f>(parametros_carros!$D$23*('Plan mensual'!O90+IF(parametros_carros!$H$23="Todos",'Plan mensual'!O94,0))+parametros_carros!$E$23*('Plan mensual'!O91+IF(parametros_carros!$H$23="Todos",'Plan mensual'!O95,0))+parametros_carros!$F$23*('Plan mensual'!O92+IF(parametros_carros!$H$23="Todos",'Plan mensual'!O96,0))+parametros_carros!$G$23*('Plan mensual'!O93+IF(parametros_carros!$H$23="Todos",'Plan mensual'!O97,0)))/60</f>
        <v>17.6956058</v>
      </c>
      <c r="N166" s="9">
        <f t="shared" si="25"/>
        <v>221.1950725</v>
      </c>
      <c r="O166" s="9">
        <f t="shared" si="26"/>
        <v>19.90755652</v>
      </c>
      <c r="P166" s="32">
        <f>IF(parametros_carros!$B$7=0,0,(O166+parametros_carros!$G$49)/parametros_carros!$B$7)</f>
        <v>0.1438281546</v>
      </c>
      <c r="Q166" s="21" t="str">
        <f t="shared" si="27"/>
        <v>Mar</v>
      </c>
    </row>
    <row r="167" ht="14.25" customHeight="1">
      <c r="A167" s="2" t="str">
        <f>parametros_carros!$B$24</f>
        <v>Soldadura longitudinal</v>
      </c>
      <c r="B167" s="9">
        <f>(parametros_carros!$D$24*('Plan mensual'!D90+IF(parametros_carros!$H$24="Todos",'Plan mensual'!D94,0))+parametros_carros!$E$24*('Plan mensual'!D91+IF(parametros_carros!$H$24="Todos",'Plan mensual'!D95,0))+parametros_carros!$F$24*('Plan mensual'!D92+IF(parametros_carros!$H$24="Todos",'Plan mensual'!D96,0))+parametros_carros!$G$24*('Plan mensual'!D93+IF(parametros_carros!$H$24="Todos",'Plan mensual'!D97,0)))/60</f>
        <v>12.92141667</v>
      </c>
      <c r="C167" s="9">
        <f>(parametros_carros!$D$24*('Plan mensual'!E90+IF(parametros_carros!$H$24="Todos",'Plan mensual'!E94,0))+parametros_carros!$E$24*('Plan mensual'!E91+IF(parametros_carros!$H$24="Todos",'Plan mensual'!E95,0))+parametros_carros!$F$24*('Plan mensual'!E92+IF(parametros_carros!$H$24="Todos",'Plan mensual'!E96,0))+parametros_carros!$G$24*('Plan mensual'!E93+IF(parametros_carros!$H$24="Todos",'Plan mensual'!E97,0)))/60</f>
        <v>11.40125</v>
      </c>
      <c r="D167" s="9">
        <f>(parametros_carros!$D$24*('Plan mensual'!F90+IF(parametros_carros!$H$24="Todos",'Plan mensual'!F94,0))+parametros_carros!$E$24*('Plan mensual'!F91+IF(parametros_carros!$H$24="Todos",'Plan mensual'!F95,0))+parametros_carros!$F$24*('Plan mensual'!F92+IF(parametros_carros!$H$24="Todos",'Plan mensual'!F96,0))+parametros_carros!$G$24*('Plan mensual'!F93+IF(parametros_carros!$H$24="Todos",'Plan mensual'!F97,0)))/60</f>
        <v>13.6815</v>
      </c>
      <c r="E167" s="9">
        <f>(parametros_carros!$D$24*('Plan mensual'!G90+IF(parametros_carros!$H$24="Todos",'Plan mensual'!G94,0))+parametros_carros!$E$24*('Plan mensual'!G91+IF(parametros_carros!$H$24="Todos",'Plan mensual'!G95,0))+parametros_carros!$F$24*('Plan mensual'!G92+IF(parametros_carros!$H$24="Todos",'Plan mensual'!G96,0))+parametros_carros!$G$24*('Plan mensual'!G93+IF(parametros_carros!$H$24="Todos",'Plan mensual'!G97,0)))/60</f>
        <v>13.6815</v>
      </c>
      <c r="F167" s="9">
        <f>(parametros_carros!$D$24*('Plan mensual'!H90+IF(parametros_carros!$H$24="Todos",'Plan mensual'!H94,0))+parametros_carros!$E$24*('Plan mensual'!H91+IF(parametros_carros!$H$24="Todos",'Plan mensual'!H95,0))+parametros_carros!$F$24*('Plan mensual'!H92+IF(parametros_carros!$H$24="Todos",'Plan mensual'!H96,0))+parametros_carros!$G$24*('Plan mensual'!H93+IF(parametros_carros!$H$24="Todos",'Plan mensual'!H97,0)))/60</f>
        <v>13.6815</v>
      </c>
      <c r="G167" s="9">
        <f>(parametros_carros!$D$24*('Plan mensual'!I90+IF(parametros_carros!$H$24="Todos",'Plan mensual'!I94,0))+parametros_carros!$E$24*('Plan mensual'!I91+IF(parametros_carros!$H$24="Todos",'Plan mensual'!I95,0))+parametros_carros!$F$24*('Plan mensual'!I92+IF(parametros_carros!$H$24="Todos",'Plan mensual'!I96,0))+parametros_carros!$G$24*('Plan mensual'!I93+IF(parametros_carros!$H$24="Todos",'Plan mensual'!I97,0)))/60</f>
        <v>12.16133333</v>
      </c>
      <c r="H167" s="9">
        <f>(parametros_carros!$D$24*('Plan mensual'!J90+IF(parametros_carros!$H$24="Todos",'Plan mensual'!J94,0))+parametros_carros!$E$24*('Plan mensual'!J91+IF(parametros_carros!$H$24="Todos",'Plan mensual'!J95,0))+parametros_carros!$F$24*('Plan mensual'!J92+IF(parametros_carros!$H$24="Todos",'Plan mensual'!J96,0))+parametros_carros!$G$24*('Plan mensual'!J93+IF(parametros_carros!$H$24="Todos",'Plan mensual'!J97,0)))/60</f>
        <v>13.6815</v>
      </c>
      <c r="I167" s="9">
        <f>(parametros_carros!$D$24*('Plan mensual'!K90+IF(parametros_carros!$H$24="Todos",'Plan mensual'!K94,0))+parametros_carros!$E$24*('Plan mensual'!K91+IF(parametros_carros!$H$24="Todos",'Plan mensual'!K95,0))+parametros_carros!$F$24*('Plan mensual'!K92+IF(parametros_carros!$H$24="Todos",'Plan mensual'!K96,0))+parametros_carros!$G$24*('Plan mensual'!K93+IF(parametros_carros!$H$24="Todos",'Plan mensual'!K97,0)))/60</f>
        <v>13.6815</v>
      </c>
      <c r="J167" s="9">
        <f>(parametros_carros!$D$24*('Plan mensual'!L90+IF(parametros_carros!$H$24="Todos",'Plan mensual'!L94,0))+parametros_carros!$E$24*('Plan mensual'!L91+IF(parametros_carros!$H$24="Todos",'Plan mensual'!L95,0))+parametros_carros!$F$24*('Plan mensual'!L92+IF(parametros_carros!$H$24="Todos",'Plan mensual'!L96,0))+parametros_carros!$G$24*('Plan mensual'!L93+IF(parametros_carros!$H$24="Todos",'Plan mensual'!L97,0)))/60</f>
        <v>12.92141667</v>
      </c>
      <c r="K167" s="9">
        <f>(parametros_carros!$D$24*('Plan mensual'!M90+IF(parametros_carros!$H$24="Todos",'Plan mensual'!M94,0))+parametros_carros!$E$24*('Plan mensual'!M91+IF(parametros_carros!$H$24="Todos",'Plan mensual'!M95,0))+parametros_carros!$F$24*('Plan mensual'!M92+IF(parametros_carros!$H$24="Todos",'Plan mensual'!M96,0))+parametros_carros!$G$24*('Plan mensual'!M93+IF(parametros_carros!$H$24="Todos",'Plan mensual'!M97,0)))/60</f>
        <v>11.40125</v>
      </c>
      <c r="L167" s="9">
        <f>(parametros_carros!$D$24*('Plan mensual'!N90+IF(parametros_carros!$H$24="Todos",'Plan mensual'!N94,0))+parametros_carros!$E$24*('Plan mensual'!N91+IF(parametros_carros!$H$24="Todos",'Plan mensual'!N95,0))+parametros_carros!$F$24*('Plan mensual'!N92+IF(parametros_carros!$H$24="Todos",'Plan mensual'!N96,0))+parametros_carros!$G$24*('Plan mensual'!N93+IF(parametros_carros!$H$24="Todos",'Plan mensual'!N97,0)))/60</f>
        <v>10.64116667</v>
      </c>
      <c r="M167" s="9">
        <f>(parametros_carros!$D$24*('Plan mensual'!O90+IF(parametros_carros!$H$24="Todos",'Plan mensual'!O94,0))+parametros_carros!$E$24*('Plan mensual'!O91+IF(parametros_carros!$H$24="Todos",'Plan mensual'!O95,0))+parametros_carros!$F$24*('Plan mensual'!O92+IF(parametros_carros!$H$24="Todos",'Plan mensual'!O96,0))+parametros_carros!$G$24*('Plan mensual'!O93+IF(parametros_carros!$H$24="Todos",'Plan mensual'!O97,0)))/60</f>
        <v>12.16133333</v>
      </c>
      <c r="N167" s="9">
        <f t="shared" si="25"/>
        <v>152.0166667</v>
      </c>
      <c r="O167" s="9">
        <f t="shared" si="26"/>
        <v>13.6815</v>
      </c>
      <c r="P167" s="32">
        <f>IF(parametros_carros!$B$7=0,0,(O167+parametros_carros!$G$50)/parametros_carros!$B$7)</f>
        <v>0.1089877778</v>
      </c>
      <c r="Q167" s="21" t="str">
        <f t="shared" si="27"/>
        <v>Mar</v>
      </c>
    </row>
    <row r="168" ht="14.25" customHeight="1">
      <c r="A168" s="2" t="str">
        <f>parametros_carros!$B$25</f>
        <v>Soldadura de cupla en la cúpula</v>
      </c>
      <c r="B168" s="9">
        <f>(parametros_carros!$D$25*('Plan mensual'!D90+IF(parametros_carros!$H$25="Todos",'Plan mensual'!D94,0))+parametros_carros!$E$25*('Plan mensual'!D91+IF(parametros_carros!$H$25="Todos",'Plan mensual'!D95,0))+parametros_carros!$F$25*('Plan mensual'!D92+IF(parametros_carros!$H$25="Todos",'Plan mensual'!D96,0))+parametros_carros!$G$25*('Plan mensual'!D93+IF(parametros_carros!$H$25="Todos",'Plan mensual'!D97,0)))/60</f>
        <v>12.76586667</v>
      </c>
      <c r="C168" s="9">
        <f>(parametros_carros!$D$25*('Plan mensual'!E90+IF(parametros_carros!$H$25="Todos",'Plan mensual'!E94,0))+parametros_carros!$E$25*('Plan mensual'!E91+IF(parametros_carros!$H$25="Todos",'Plan mensual'!E95,0))+parametros_carros!$F$25*('Plan mensual'!E92+IF(parametros_carros!$H$25="Todos",'Plan mensual'!E96,0))+parametros_carros!$G$25*('Plan mensual'!E93+IF(parametros_carros!$H$25="Todos",'Plan mensual'!E97,0)))/60</f>
        <v>11.264</v>
      </c>
      <c r="D168" s="9">
        <f>(parametros_carros!$D$25*('Plan mensual'!F90+IF(parametros_carros!$H$25="Todos",'Plan mensual'!F94,0))+parametros_carros!$E$25*('Plan mensual'!F91+IF(parametros_carros!$H$25="Todos",'Plan mensual'!F95,0))+parametros_carros!$F$25*('Plan mensual'!F92+IF(parametros_carros!$H$25="Todos",'Plan mensual'!F96,0))+parametros_carros!$G$25*('Plan mensual'!F93+IF(parametros_carros!$H$25="Todos",'Plan mensual'!F97,0)))/60</f>
        <v>13.5168</v>
      </c>
      <c r="E168" s="9">
        <f>(parametros_carros!$D$25*('Plan mensual'!G90+IF(parametros_carros!$H$25="Todos",'Plan mensual'!G94,0))+parametros_carros!$E$25*('Plan mensual'!G91+IF(parametros_carros!$H$25="Todos",'Plan mensual'!G95,0))+parametros_carros!$F$25*('Plan mensual'!G92+IF(parametros_carros!$H$25="Todos",'Plan mensual'!G96,0))+parametros_carros!$G$25*('Plan mensual'!G93+IF(parametros_carros!$H$25="Todos",'Plan mensual'!G97,0)))/60</f>
        <v>13.5168</v>
      </c>
      <c r="F168" s="9">
        <f>(parametros_carros!$D$25*('Plan mensual'!H90+IF(parametros_carros!$H$25="Todos",'Plan mensual'!H94,0))+parametros_carros!$E$25*('Plan mensual'!H91+IF(parametros_carros!$H$25="Todos",'Plan mensual'!H95,0))+parametros_carros!$F$25*('Plan mensual'!H92+IF(parametros_carros!$H$25="Todos",'Plan mensual'!H96,0))+parametros_carros!$G$25*('Plan mensual'!H93+IF(parametros_carros!$H$25="Todos",'Plan mensual'!H97,0)))/60</f>
        <v>13.5168</v>
      </c>
      <c r="G168" s="9">
        <f>(parametros_carros!$D$25*('Plan mensual'!I90+IF(parametros_carros!$H$25="Todos",'Plan mensual'!I94,0))+parametros_carros!$E$25*('Plan mensual'!I91+IF(parametros_carros!$H$25="Todos",'Plan mensual'!I95,0))+parametros_carros!$F$25*('Plan mensual'!I92+IF(parametros_carros!$H$25="Todos",'Plan mensual'!I96,0))+parametros_carros!$G$25*('Plan mensual'!I93+IF(parametros_carros!$H$25="Todos",'Plan mensual'!I97,0)))/60</f>
        <v>12.01493333</v>
      </c>
      <c r="H168" s="9">
        <f>(parametros_carros!$D$25*('Plan mensual'!J90+IF(parametros_carros!$H$25="Todos",'Plan mensual'!J94,0))+parametros_carros!$E$25*('Plan mensual'!J91+IF(parametros_carros!$H$25="Todos",'Plan mensual'!J95,0))+parametros_carros!$F$25*('Plan mensual'!J92+IF(parametros_carros!$H$25="Todos",'Plan mensual'!J96,0))+parametros_carros!$G$25*('Plan mensual'!J93+IF(parametros_carros!$H$25="Todos",'Plan mensual'!J97,0)))/60</f>
        <v>13.5168</v>
      </c>
      <c r="I168" s="9">
        <f>(parametros_carros!$D$25*('Plan mensual'!K90+IF(parametros_carros!$H$25="Todos",'Plan mensual'!K94,0))+parametros_carros!$E$25*('Plan mensual'!K91+IF(parametros_carros!$H$25="Todos",'Plan mensual'!K95,0))+parametros_carros!$F$25*('Plan mensual'!K92+IF(parametros_carros!$H$25="Todos",'Plan mensual'!K96,0))+parametros_carros!$G$25*('Plan mensual'!K93+IF(parametros_carros!$H$25="Todos",'Plan mensual'!K97,0)))/60</f>
        <v>13.5168</v>
      </c>
      <c r="J168" s="9">
        <f>(parametros_carros!$D$25*('Plan mensual'!L90+IF(parametros_carros!$H$25="Todos",'Plan mensual'!L94,0))+parametros_carros!$E$25*('Plan mensual'!L91+IF(parametros_carros!$H$25="Todos",'Plan mensual'!L95,0))+parametros_carros!$F$25*('Plan mensual'!L92+IF(parametros_carros!$H$25="Todos",'Plan mensual'!L96,0))+parametros_carros!$G$25*('Plan mensual'!L93+IF(parametros_carros!$H$25="Todos",'Plan mensual'!L97,0)))/60</f>
        <v>12.76586667</v>
      </c>
      <c r="K168" s="9">
        <f>(parametros_carros!$D$25*('Plan mensual'!M90+IF(parametros_carros!$H$25="Todos",'Plan mensual'!M94,0))+parametros_carros!$E$25*('Plan mensual'!M91+IF(parametros_carros!$H$25="Todos",'Plan mensual'!M95,0))+parametros_carros!$F$25*('Plan mensual'!M92+IF(parametros_carros!$H$25="Todos",'Plan mensual'!M96,0))+parametros_carros!$G$25*('Plan mensual'!M93+IF(parametros_carros!$H$25="Todos",'Plan mensual'!M97,0)))/60</f>
        <v>11.264</v>
      </c>
      <c r="L168" s="9">
        <f>(parametros_carros!$D$25*('Plan mensual'!N90+IF(parametros_carros!$H$25="Todos",'Plan mensual'!N94,0))+parametros_carros!$E$25*('Plan mensual'!N91+IF(parametros_carros!$H$25="Todos",'Plan mensual'!N95,0))+parametros_carros!$F$25*('Plan mensual'!N92+IF(parametros_carros!$H$25="Todos",'Plan mensual'!N96,0))+parametros_carros!$G$25*('Plan mensual'!N93+IF(parametros_carros!$H$25="Todos",'Plan mensual'!N97,0)))/60</f>
        <v>10.51306667</v>
      </c>
      <c r="M168" s="9">
        <f>(parametros_carros!$D$25*('Plan mensual'!O90+IF(parametros_carros!$H$25="Todos",'Plan mensual'!O94,0))+parametros_carros!$E$25*('Plan mensual'!O91+IF(parametros_carros!$H$25="Todos",'Plan mensual'!O95,0))+parametros_carros!$F$25*('Plan mensual'!O92+IF(parametros_carros!$H$25="Todos",'Plan mensual'!O96,0))+parametros_carros!$G$25*('Plan mensual'!O93+IF(parametros_carros!$H$25="Todos",'Plan mensual'!O97,0)))/60</f>
        <v>12.01493333</v>
      </c>
      <c r="N168" s="9">
        <f t="shared" si="25"/>
        <v>150.1866667</v>
      </c>
      <c r="O168" s="9">
        <f t="shared" si="26"/>
        <v>13.5168</v>
      </c>
      <c r="P168" s="32">
        <f>IF(parametros_carros!$B$7=0,0,(O168+parametros_carros!$G$51)/parametros_carros!$B$7)</f>
        <v>0.110112</v>
      </c>
      <c r="Q168" s="21" t="str">
        <f t="shared" si="27"/>
        <v>Mar</v>
      </c>
    </row>
    <row r="169" ht="14.25" customHeight="1">
      <c r="A169" s="2" t="str">
        <f>parametros_carros!$B$26</f>
        <v>Armado y soldadura circunferencial</v>
      </c>
      <c r="B169" s="9">
        <f>(parametros_carros!$D$26*('Plan mensual'!D90+IF(parametros_carros!$H$26="Todos",'Plan mensual'!D94,0))+parametros_carros!$E$26*('Plan mensual'!D91+IF(parametros_carros!$H$26="Todos",'Plan mensual'!D95,0))+parametros_carros!$F$26*('Plan mensual'!D92+IF(parametros_carros!$H$26="Todos",'Plan mensual'!D96,0))+parametros_carros!$G$26*('Plan mensual'!D93+IF(parametros_carros!$H$26="Todos",'Plan mensual'!D97,0)))/60</f>
        <v>60.3721</v>
      </c>
      <c r="C169" s="9">
        <f>(parametros_carros!$D$26*('Plan mensual'!E90+IF(parametros_carros!$H$26="Todos",'Plan mensual'!E94,0))+parametros_carros!$E$26*('Plan mensual'!E91+IF(parametros_carros!$H$26="Todos",'Plan mensual'!E95,0))+parametros_carros!$F$26*('Plan mensual'!E92+IF(parametros_carros!$H$26="Todos",'Plan mensual'!E96,0))+parametros_carros!$G$26*('Plan mensual'!E93+IF(parametros_carros!$H$26="Todos",'Plan mensual'!E97,0)))/60</f>
        <v>53.2695</v>
      </c>
      <c r="D169" s="9">
        <f>(parametros_carros!$D$26*('Plan mensual'!F90+IF(parametros_carros!$H$26="Todos",'Plan mensual'!F94,0))+parametros_carros!$E$26*('Plan mensual'!F91+IF(parametros_carros!$H$26="Todos",'Plan mensual'!F95,0))+parametros_carros!$F$26*('Plan mensual'!F92+IF(parametros_carros!$H$26="Todos",'Plan mensual'!F96,0))+parametros_carros!$G$26*('Plan mensual'!F93+IF(parametros_carros!$H$26="Todos",'Plan mensual'!F97,0)))/60</f>
        <v>63.9234</v>
      </c>
      <c r="E169" s="9">
        <f>(parametros_carros!$D$26*('Plan mensual'!G90+IF(parametros_carros!$H$26="Todos",'Plan mensual'!G94,0))+parametros_carros!$E$26*('Plan mensual'!G91+IF(parametros_carros!$H$26="Todos",'Plan mensual'!G95,0))+parametros_carros!$F$26*('Plan mensual'!G92+IF(parametros_carros!$H$26="Todos",'Plan mensual'!G96,0))+parametros_carros!$G$26*('Plan mensual'!G93+IF(parametros_carros!$H$26="Todos",'Plan mensual'!G97,0)))/60</f>
        <v>63.9234</v>
      </c>
      <c r="F169" s="9">
        <f>(parametros_carros!$D$26*('Plan mensual'!H90+IF(parametros_carros!$H$26="Todos",'Plan mensual'!H94,0))+parametros_carros!$E$26*('Plan mensual'!H91+IF(parametros_carros!$H$26="Todos",'Plan mensual'!H95,0))+parametros_carros!$F$26*('Plan mensual'!H92+IF(parametros_carros!$H$26="Todos",'Plan mensual'!H96,0))+parametros_carros!$G$26*('Plan mensual'!H93+IF(parametros_carros!$H$26="Todos",'Plan mensual'!H97,0)))/60</f>
        <v>63.9234</v>
      </c>
      <c r="G169" s="9">
        <f>(parametros_carros!$D$26*('Plan mensual'!I90+IF(parametros_carros!$H$26="Todos",'Plan mensual'!I94,0))+parametros_carros!$E$26*('Plan mensual'!I91+IF(parametros_carros!$H$26="Todos",'Plan mensual'!I95,0))+parametros_carros!$F$26*('Plan mensual'!I92+IF(parametros_carros!$H$26="Todos",'Plan mensual'!I96,0))+parametros_carros!$G$26*('Plan mensual'!I93+IF(parametros_carros!$H$26="Todos",'Plan mensual'!I97,0)))/60</f>
        <v>56.8208</v>
      </c>
      <c r="H169" s="9">
        <f>(parametros_carros!$D$26*('Plan mensual'!J90+IF(parametros_carros!$H$26="Todos",'Plan mensual'!J94,0))+parametros_carros!$E$26*('Plan mensual'!J91+IF(parametros_carros!$H$26="Todos",'Plan mensual'!J95,0))+parametros_carros!$F$26*('Plan mensual'!J92+IF(parametros_carros!$H$26="Todos",'Plan mensual'!J96,0))+parametros_carros!$G$26*('Plan mensual'!J93+IF(parametros_carros!$H$26="Todos",'Plan mensual'!J97,0)))/60</f>
        <v>63.9234</v>
      </c>
      <c r="I169" s="9">
        <f>(parametros_carros!$D$26*('Plan mensual'!K90+IF(parametros_carros!$H$26="Todos",'Plan mensual'!K94,0))+parametros_carros!$E$26*('Plan mensual'!K91+IF(parametros_carros!$H$26="Todos",'Plan mensual'!K95,0))+parametros_carros!$F$26*('Plan mensual'!K92+IF(parametros_carros!$H$26="Todos",'Plan mensual'!K96,0))+parametros_carros!$G$26*('Plan mensual'!K93+IF(parametros_carros!$H$26="Todos",'Plan mensual'!K97,0)))/60</f>
        <v>63.9234</v>
      </c>
      <c r="J169" s="9">
        <f>(parametros_carros!$D$26*('Plan mensual'!L90+IF(parametros_carros!$H$26="Todos",'Plan mensual'!L94,0))+parametros_carros!$E$26*('Plan mensual'!L91+IF(parametros_carros!$H$26="Todos",'Plan mensual'!L95,0))+parametros_carros!$F$26*('Plan mensual'!L92+IF(parametros_carros!$H$26="Todos",'Plan mensual'!L96,0))+parametros_carros!$G$26*('Plan mensual'!L93+IF(parametros_carros!$H$26="Todos",'Plan mensual'!L97,0)))/60</f>
        <v>60.3721</v>
      </c>
      <c r="K169" s="9">
        <f>(parametros_carros!$D$26*('Plan mensual'!M90+IF(parametros_carros!$H$26="Todos",'Plan mensual'!M94,0))+parametros_carros!$E$26*('Plan mensual'!M91+IF(parametros_carros!$H$26="Todos",'Plan mensual'!M95,0))+parametros_carros!$F$26*('Plan mensual'!M92+IF(parametros_carros!$H$26="Todos",'Plan mensual'!M96,0))+parametros_carros!$G$26*('Plan mensual'!M93+IF(parametros_carros!$H$26="Todos",'Plan mensual'!M97,0)))/60</f>
        <v>53.2695</v>
      </c>
      <c r="L169" s="9">
        <f>(parametros_carros!$D$26*('Plan mensual'!N90+IF(parametros_carros!$H$26="Todos",'Plan mensual'!N94,0))+parametros_carros!$E$26*('Plan mensual'!N91+IF(parametros_carros!$H$26="Todos",'Plan mensual'!N95,0))+parametros_carros!$F$26*('Plan mensual'!N92+IF(parametros_carros!$H$26="Todos",'Plan mensual'!N96,0))+parametros_carros!$G$26*('Plan mensual'!N93+IF(parametros_carros!$H$26="Todos",'Plan mensual'!N97,0)))/60</f>
        <v>49.7182</v>
      </c>
      <c r="M169" s="9">
        <f>(parametros_carros!$D$26*('Plan mensual'!O90+IF(parametros_carros!$H$26="Todos",'Plan mensual'!O94,0))+parametros_carros!$E$26*('Plan mensual'!O91+IF(parametros_carros!$H$26="Todos",'Plan mensual'!O95,0))+parametros_carros!$F$26*('Plan mensual'!O92+IF(parametros_carros!$H$26="Todos",'Plan mensual'!O96,0))+parametros_carros!$G$26*('Plan mensual'!O93+IF(parametros_carros!$H$26="Todos",'Plan mensual'!O97,0)))/60</f>
        <v>56.8208</v>
      </c>
      <c r="N169" s="9">
        <f t="shared" si="25"/>
        <v>710.26</v>
      </c>
      <c r="O169" s="9">
        <f t="shared" si="26"/>
        <v>63.9234</v>
      </c>
      <c r="P169" s="32">
        <f>IF(parametros_carros!$B$7=0,0,(O169+parametros_carros!$G$52)/parametros_carros!$B$7)</f>
        <v>0.446156</v>
      </c>
      <c r="Q169" s="21" t="str">
        <f t="shared" si="27"/>
        <v>Mar</v>
      </c>
    </row>
    <row r="170" ht="14.25" customHeight="1">
      <c r="A170" s="2" t="str">
        <f>parametros_carros!$B$27</f>
        <v>Soldadura de accesorios</v>
      </c>
      <c r="B170" s="9">
        <f>(parametros_carros!$D$27*('Plan mensual'!D90+IF(parametros_carros!$H$27="Todos",'Plan mensual'!D94,0))+parametros_carros!$E$27*('Plan mensual'!D91+IF(parametros_carros!$H$27="Todos",'Plan mensual'!D95,0))+parametros_carros!$F$27*('Plan mensual'!D92+IF(parametros_carros!$H$27="Todos",'Plan mensual'!D96,0))+parametros_carros!$G$27*('Plan mensual'!D93+IF(parametros_carros!$H$27="Todos",'Plan mensual'!D97,0)))/60</f>
        <v>61.51308333</v>
      </c>
      <c r="C170" s="9">
        <f>(parametros_carros!$D$27*('Plan mensual'!E90+IF(parametros_carros!$H$27="Todos",'Plan mensual'!E94,0))+parametros_carros!$E$27*('Plan mensual'!E91+IF(parametros_carros!$H$27="Todos",'Plan mensual'!E95,0))+parametros_carros!$F$27*('Plan mensual'!E92+IF(parametros_carros!$H$27="Todos",'Plan mensual'!E96,0))+parametros_carros!$G$27*('Plan mensual'!E93+IF(parametros_carros!$H$27="Todos",'Plan mensual'!E97,0)))/60</f>
        <v>54.27625</v>
      </c>
      <c r="D170" s="9">
        <f>(parametros_carros!$D$27*('Plan mensual'!F90+IF(parametros_carros!$H$27="Todos",'Plan mensual'!F94,0))+parametros_carros!$E$27*('Plan mensual'!F91+IF(parametros_carros!$H$27="Todos",'Plan mensual'!F95,0))+parametros_carros!$F$27*('Plan mensual'!F92+IF(parametros_carros!$H$27="Todos",'Plan mensual'!F96,0))+parametros_carros!$G$27*('Plan mensual'!F93+IF(parametros_carros!$H$27="Todos",'Plan mensual'!F97,0)))/60</f>
        <v>65.1315</v>
      </c>
      <c r="E170" s="9">
        <f>(parametros_carros!$D$27*('Plan mensual'!G90+IF(parametros_carros!$H$27="Todos",'Plan mensual'!G94,0))+parametros_carros!$E$27*('Plan mensual'!G91+IF(parametros_carros!$H$27="Todos",'Plan mensual'!G95,0))+parametros_carros!$F$27*('Plan mensual'!G92+IF(parametros_carros!$H$27="Todos",'Plan mensual'!G96,0))+parametros_carros!$G$27*('Plan mensual'!G93+IF(parametros_carros!$H$27="Todos",'Plan mensual'!G97,0)))/60</f>
        <v>65.1315</v>
      </c>
      <c r="F170" s="9">
        <f>(parametros_carros!$D$27*('Plan mensual'!H90+IF(parametros_carros!$H$27="Todos",'Plan mensual'!H94,0))+parametros_carros!$E$27*('Plan mensual'!H91+IF(parametros_carros!$H$27="Todos",'Plan mensual'!H95,0))+parametros_carros!$F$27*('Plan mensual'!H92+IF(parametros_carros!$H$27="Todos",'Plan mensual'!H96,0))+parametros_carros!$G$27*('Plan mensual'!H93+IF(parametros_carros!$H$27="Todos",'Plan mensual'!H97,0)))/60</f>
        <v>65.1315</v>
      </c>
      <c r="G170" s="9">
        <f>(parametros_carros!$D$27*('Plan mensual'!I90+IF(parametros_carros!$H$27="Todos",'Plan mensual'!I94,0))+parametros_carros!$E$27*('Plan mensual'!I91+IF(parametros_carros!$H$27="Todos",'Plan mensual'!I95,0))+parametros_carros!$F$27*('Plan mensual'!I92+IF(parametros_carros!$H$27="Todos",'Plan mensual'!I96,0))+parametros_carros!$G$27*('Plan mensual'!I93+IF(parametros_carros!$H$27="Todos",'Plan mensual'!I97,0)))/60</f>
        <v>57.89466667</v>
      </c>
      <c r="H170" s="9">
        <f>(parametros_carros!$D$27*('Plan mensual'!J90+IF(parametros_carros!$H$27="Todos",'Plan mensual'!J94,0))+parametros_carros!$E$27*('Plan mensual'!J91+IF(parametros_carros!$H$27="Todos",'Plan mensual'!J95,0))+parametros_carros!$F$27*('Plan mensual'!J92+IF(parametros_carros!$H$27="Todos",'Plan mensual'!J96,0))+parametros_carros!$G$27*('Plan mensual'!J93+IF(parametros_carros!$H$27="Todos",'Plan mensual'!J97,0)))/60</f>
        <v>65.1315</v>
      </c>
      <c r="I170" s="9">
        <f>(parametros_carros!$D$27*('Plan mensual'!K90+IF(parametros_carros!$H$27="Todos",'Plan mensual'!K94,0))+parametros_carros!$E$27*('Plan mensual'!K91+IF(parametros_carros!$H$27="Todos",'Plan mensual'!K95,0))+parametros_carros!$F$27*('Plan mensual'!K92+IF(parametros_carros!$H$27="Todos",'Plan mensual'!K96,0))+parametros_carros!$G$27*('Plan mensual'!K93+IF(parametros_carros!$H$27="Todos",'Plan mensual'!K97,0)))/60</f>
        <v>65.1315</v>
      </c>
      <c r="J170" s="9">
        <f>(parametros_carros!$D$27*('Plan mensual'!L90+IF(parametros_carros!$H$27="Todos",'Plan mensual'!L94,0))+parametros_carros!$E$27*('Plan mensual'!L91+IF(parametros_carros!$H$27="Todos",'Plan mensual'!L95,0))+parametros_carros!$F$27*('Plan mensual'!L92+IF(parametros_carros!$H$27="Todos",'Plan mensual'!L96,0))+parametros_carros!$G$27*('Plan mensual'!L93+IF(parametros_carros!$H$27="Todos",'Plan mensual'!L97,0)))/60</f>
        <v>61.51308333</v>
      </c>
      <c r="K170" s="9">
        <f>(parametros_carros!$D$27*('Plan mensual'!M90+IF(parametros_carros!$H$27="Todos",'Plan mensual'!M94,0))+parametros_carros!$E$27*('Plan mensual'!M91+IF(parametros_carros!$H$27="Todos",'Plan mensual'!M95,0))+parametros_carros!$F$27*('Plan mensual'!M92+IF(parametros_carros!$H$27="Todos",'Plan mensual'!M96,0))+parametros_carros!$G$27*('Plan mensual'!M93+IF(parametros_carros!$H$27="Todos",'Plan mensual'!M97,0)))/60</f>
        <v>54.27625</v>
      </c>
      <c r="L170" s="9">
        <f>(parametros_carros!$D$27*('Plan mensual'!N90+IF(parametros_carros!$H$27="Todos",'Plan mensual'!N94,0))+parametros_carros!$E$27*('Plan mensual'!N91+IF(parametros_carros!$H$27="Todos",'Plan mensual'!N95,0))+parametros_carros!$F$27*('Plan mensual'!N92+IF(parametros_carros!$H$27="Todos",'Plan mensual'!N96,0))+parametros_carros!$G$27*('Plan mensual'!N93+IF(parametros_carros!$H$27="Todos",'Plan mensual'!N97,0)))/60</f>
        <v>50.65783333</v>
      </c>
      <c r="M170" s="9">
        <f>(parametros_carros!$D$27*('Plan mensual'!O90+IF(parametros_carros!$H$27="Todos",'Plan mensual'!O94,0))+parametros_carros!$E$27*('Plan mensual'!O91+IF(parametros_carros!$H$27="Todos",'Plan mensual'!O95,0))+parametros_carros!$F$27*('Plan mensual'!O92+IF(parametros_carros!$H$27="Todos",'Plan mensual'!O96,0))+parametros_carros!$G$27*('Plan mensual'!O93+IF(parametros_carros!$H$27="Todos",'Plan mensual'!O97,0)))/60</f>
        <v>57.89466667</v>
      </c>
      <c r="N170" s="9">
        <f t="shared" si="25"/>
        <v>723.6833333</v>
      </c>
      <c r="O170" s="9">
        <f t="shared" si="26"/>
        <v>65.1315</v>
      </c>
      <c r="P170" s="32">
        <f>IF(parametros_carros!$B$7=0,0,(O170+parametros_carros!$G$53)/parametros_carros!$B$7)</f>
        <v>0.45421</v>
      </c>
      <c r="Q170" s="21" t="str">
        <f t="shared" si="27"/>
        <v>Mar</v>
      </c>
    </row>
    <row r="171" ht="14.25" customHeight="1">
      <c r="A171" s="2" t="str">
        <f>parametros_carros!$B$28</f>
        <v>Fabricación de accesorios</v>
      </c>
      <c r="B171" s="9">
        <f>(parametros_carros!$D$28*('Plan mensual'!D90+IF(parametros_carros!$H$28="Todos",'Plan mensual'!D94,0))+parametros_carros!$E$28*('Plan mensual'!D91+IF(parametros_carros!$H$28="Todos",'Plan mensual'!D95,0))+parametros_carros!$F$28*('Plan mensual'!D92+IF(parametros_carros!$H$28="Todos",'Plan mensual'!D96,0))+parametros_carros!$G$28*('Plan mensual'!D93+IF(parametros_carros!$H$28="Todos",'Plan mensual'!D97,0)))/60</f>
        <v>41.7945</v>
      </c>
      <c r="C171" s="9">
        <f>(parametros_carros!$D$28*('Plan mensual'!E90+IF(parametros_carros!$H$28="Todos",'Plan mensual'!E94,0))+parametros_carros!$E$28*('Plan mensual'!E91+IF(parametros_carros!$H$28="Todos",'Plan mensual'!E95,0))+parametros_carros!$F$28*('Plan mensual'!E92+IF(parametros_carros!$H$28="Todos",'Plan mensual'!E96,0))+parametros_carros!$G$28*('Plan mensual'!E93+IF(parametros_carros!$H$28="Todos",'Plan mensual'!E97,0)))/60</f>
        <v>36.8775</v>
      </c>
      <c r="D171" s="9">
        <f>(parametros_carros!$D$28*('Plan mensual'!F90+IF(parametros_carros!$H$28="Todos",'Plan mensual'!F94,0))+parametros_carros!$E$28*('Plan mensual'!F91+IF(parametros_carros!$H$28="Todos",'Plan mensual'!F95,0))+parametros_carros!$F$28*('Plan mensual'!F92+IF(parametros_carros!$H$28="Todos",'Plan mensual'!F96,0))+parametros_carros!$G$28*('Plan mensual'!F93+IF(parametros_carros!$H$28="Todos",'Plan mensual'!F97,0)))/60</f>
        <v>44.253</v>
      </c>
      <c r="E171" s="9">
        <f>(parametros_carros!$D$28*('Plan mensual'!G90+IF(parametros_carros!$H$28="Todos",'Plan mensual'!G94,0))+parametros_carros!$E$28*('Plan mensual'!G91+IF(parametros_carros!$H$28="Todos",'Plan mensual'!G95,0))+parametros_carros!$F$28*('Plan mensual'!G92+IF(parametros_carros!$H$28="Todos",'Plan mensual'!G96,0))+parametros_carros!$G$28*('Plan mensual'!G93+IF(parametros_carros!$H$28="Todos",'Plan mensual'!G97,0)))/60</f>
        <v>44.253</v>
      </c>
      <c r="F171" s="9">
        <f>(parametros_carros!$D$28*('Plan mensual'!H90+IF(parametros_carros!$H$28="Todos",'Plan mensual'!H94,0))+parametros_carros!$E$28*('Plan mensual'!H91+IF(parametros_carros!$H$28="Todos",'Plan mensual'!H95,0))+parametros_carros!$F$28*('Plan mensual'!H92+IF(parametros_carros!$H$28="Todos",'Plan mensual'!H96,0))+parametros_carros!$G$28*('Plan mensual'!H93+IF(parametros_carros!$H$28="Todos",'Plan mensual'!H97,0)))/60</f>
        <v>44.253</v>
      </c>
      <c r="G171" s="9">
        <f>(parametros_carros!$D$28*('Plan mensual'!I90+IF(parametros_carros!$H$28="Todos",'Plan mensual'!I94,0))+parametros_carros!$E$28*('Plan mensual'!I91+IF(parametros_carros!$H$28="Todos",'Plan mensual'!I95,0))+parametros_carros!$F$28*('Plan mensual'!I92+IF(parametros_carros!$H$28="Todos",'Plan mensual'!I96,0))+parametros_carros!$G$28*('Plan mensual'!I93+IF(parametros_carros!$H$28="Todos",'Plan mensual'!I97,0)))/60</f>
        <v>39.336</v>
      </c>
      <c r="H171" s="9">
        <f>(parametros_carros!$D$28*('Plan mensual'!J90+IF(parametros_carros!$H$28="Todos",'Plan mensual'!J94,0))+parametros_carros!$E$28*('Plan mensual'!J91+IF(parametros_carros!$H$28="Todos",'Plan mensual'!J95,0))+parametros_carros!$F$28*('Plan mensual'!J92+IF(parametros_carros!$H$28="Todos",'Plan mensual'!J96,0))+parametros_carros!$G$28*('Plan mensual'!J93+IF(parametros_carros!$H$28="Todos",'Plan mensual'!J97,0)))/60</f>
        <v>44.253</v>
      </c>
      <c r="I171" s="9">
        <f>(parametros_carros!$D$28*('Plan mensual'!K90+IF(parametros_carros!$H$28="Todos",'Plan mensual'!K94,0))+parametros_carros!$E$28*('Plan mensual'!K91+IF(parametros_carros!$H$28="Todos",'Plan mensual'!K95,0))+parametros_carros!$F$28*('Plan mensual'!K92+IF(parametros_carros!$H$28="Todos",'Plan mensual'!K96,0))+parametros_carros!$G$28*('Plan mensual'!K93+IF(parametros_carros!$H$28="Todos",'Plan mensual'!K97,0)))/60</f>
        <v>44.253</v>
      </c>
      <c r="J171" s="9">
        <f>(parametros_carros!$D$28*('Plan mensual'!L90+IF(parametros_carros!$H$28="Todos",'Plan mensual'!L94,0))+parametros_carros!$E$28*('Plan mensual'!L91+IF(parametros_carros!$H$28="Todos",'Plan mensual'!L95,0))+parametros_carros!$F$28*('Plan mensual'!L92+IF(parametros_carros!$H$28="Todos",'Plan mensual'!L96,0))+parametros_carros!$G$28*('Plan mensual'!L93+IF(parametros_carros!$H$28="Todos",'Plan mensual'!L97,0)))/60</f>
        <v>41.7945</v>
      </c>
      <c r="K171" s="9">
        <f>(parametros_carros!$D$28*('Plan mensual'!M90+IF(parametros_carros!$H$28="Todos",'Plan mensual'!M94,0))+parametros_carros!$E$28*('Plan mensual'!M91+IF(parametros_carros!$H$28="Todos",'Plan mensual'!M95,0))+parametros_carros!$F$28*('Plan mensual'!M92+IF(parametros_carros!$H$28="Todos",'Plan mensual'!M96,0))+parametros_carros!$G$28*('Plan mensual'!M93+IF(parametros_carros!$H$28="Todos",'Plan mensual'!M97,0)))/60</f>
        <v>36.8775</v>
      </c>
      <c r="L171" s="9">
        <f>(parametros_carros!$D$28*('Plan mensual'!N90+IF(parametros_carros!$H$28="Todos",'Plan mensual'!N94,0))+parametros_carros!$E$28*('Plan mensual'!N91+IF(parametros_carros!$H$28="Todos",'Plan mensual'!N95,0))+parametros_carros!$F$28*('Plan mensual'!N92+IF(parametros_carros!$H$28="Todos",'Plan mensual'!N96,0))+parametros_carros!$G$28*('Plan mensual'!N93+IF(parametros_carros!$H$28="Todos",'Plan mensual'!N97,0)))/60</f>
        <v>34.419</v>
      </c>
      <c r="M171" s="9">
        <f>(parametros_carros!$D$28*('Plan mensual'!O90+IF(parametros_carros!$H$28="Todos",'Plan mensual'!O94,0))+parametros_carros!$E$28*('Plan mensual'!O91+IF(parametros_carros!$H$28="Todos",'Plan mensual'!O95,0))+parametros_carros!$F$28*('Plan mensual'!O92+IF(parametros_carros!$H$28="Todos",'Plan mensual'!O96,0))+parametros_carros!$G$28*('Plan mensual'!O93+IF(parametros_carros!$H$28="Todos",'Plan mensual'!O97,0)))/60</f>
        <v>39.336</v>
      </c>
      <c r="N171" s="9">
        <f t="shared" si="25"/>
        <v>491.7</v>
      </c>
      <c r="O171" s="9">
        <f t="shared" si="26"/>
        <v>44.253</v>
      </c>
      <c r="P171" s="32">
        <f>IF(parametros_carros!$B$7=0,0,(O171+parametros_carros!$G$54)/parametros_carros!$B$7)</f>
        <v>0.3283533333</v>
      </c>
      <c r="Q171" s="21" t="str">
        <f t="shared" si="27"/>
        <v>Mar</v>
      </c>
    </row>
    <row r="172" ht="14.25" customHeight="1">
      <c r="A172" s="2" t="str">
        <f>parametros_carros!$B$29</f>
        <v>Prueba hidráulica</v>
      </c>
      <c r="B172" s="9">
        <f>(parametros_carros!$D$29*('Plan mensual'!D90+IF(parametros_carros!$H$29="Todos",'Plan mensual'!D94,0))+parametros_carros!$E$29*('Plan mensual'!D91+IF(parametros_carros!$H$29="Todos",'Plan mensual'!D95,0))+parametros_carros!$F$29*('Plan mensual'!D92+IF(parametros_carros!$H$29="Todos",'Plan mensual'!D96,0))+parametros_carros!$G$29*('Plan mensual'!D93+IF(parametros_carros!$H$29="Todos",'Plan mensual'!D97,0)))/60</f>
        <v>34.12007667</v>
      </c>
      <c r="C172" s="9">
        <f>(parametros_carros!$D$29*('Plan mensual'!E90+IF(parametros_carros!$H$29="Todos",'Plan mensual'!E94,0))+parametros_carros!$E$29*('Plan mensual'!E91+IF(parametros_carros!$H$29="Todos",'Plan mensual'!E95,0))+parametros_carros!$F$29*('Plan mensual'!E92+IF(parametros_carros!$H$29="Todos",'Plan mensual'!E96,0))+parametros_carros!$G$29*('Plan mensual'!E93+IF(parametros_carros!$H$29="Todos",'Plan mensual'!E97,0)))/60</f>
        <v>30.10595</v>
      </c>
      <c r="D172" s="9">
        <f>(parametros_carros!$D$29*('Plan mensual'!F90+IF(parametros_carros!$H$29="Todos",'Plan mensual'!F94,0))+parametros_carros!$E$29*('Plan mensual'!F91+IF(parametros_carros!$H$29="Todos",'Plan mensual'!F95,0))+parametros_carros!$F$29*('Plan mensual'!F92+IF(parametros_carros!$H$29="Todos",'Plan mensual'!F96,0))+parametros_carros!$G$29*('Plan mensual'!F93+IF(parametros_carros!$H$29="Todos",'Plan mensual'!F97,0)))/60</f>
        <v>36.12714</v>
      </c>
      <c r="E172" s="9">
        <f>(parametros_carros!$D$29*('Plan mensual'!G90+IF(parametros_carros!$H$29="Todos",'Plan mensual'!G94,0))+parametros_carros!$E$29*('Plan mensual'!G91+IF(parametros_carros!$H$29="Todos",'Plan mensual'!G95,0))+parametros_carros!$F$29*('Plan mensual'!G92+IF(parametros_carros!$H$29="Todos",'Plan mensual'!G96,0))+parametros_carros!$G$29*('Plan mensual'!G93+IF(parametros_carros!$H$29="Todos",'Plan mensual'!G97,0)))/60</f>
        <v>36.12714</v>
      </c>
      <c r="F172" s="9">
        <f>(parametros_carros!$D$29*('Plan mensual'!H90+IF(parametros_carros!$H$29="Todos",'Plan mensual'!H94,0))+parametros_carros!$E$29*('Plan mensual'!H91+IF(parametros_carros!$H$29="Todos",'Plan mensual'!H95,0))+parametros_carros!$F$29*('Plan mensual'!H92+IF(parametros_carros!$H$29="Todos",'Plan mensual'!H96,0))+parametros_carros!$G$29*('Plan mensual'!H93+IF(parametros_carros!$H$29="Todos",'Plan mensual'!H97,0)))/60</f>
        <v>36.12714</v>
      </c>
      <c r="G172" s="9">
        <f>(parametros_carros!$D$29*('Plan mensual'!I90+IF(parametros_carros!$H$29="Todos",'Plan mensual'!I94,0))+parametros_carros!$E$29*('Plan mensual'!I91+IF(parametros_carros!$H$29="Todos",'Plan mensual'!I95,0))+parametros_carros!$F$29*('Plan mensual'!I92+IF(parametros_carros!$H$29="Todos",'Plan mensual'!I96,0))+parametros_carros!$G$29*('Plan mensual'!I93+IF(parametros_carros!$H$29="Todos",'Plan mensual'!I97,0)))/60</f>
        <v>32.11301333</v>
      </c>
      <c r="H172" s="9">
        <f>(parametros_carros!$D$29*('Plan mensual'!J90+IF(parametros_carros!$H$29="Todos",'Plan mensual'!J94,0))+parametros_carros!$E$29*('Plan mensual'!J91+IF(parametros_carros!$H$29="Todos",'Plan mensual'!J95,0))+parametros_carros!$F$29*('Plan mensual'!J92+IF(parametros_carros!$H$29="Todos",'Plan mensual'!J96,0))+parametros_carros!$G$29*('Plan mensual'!J93+IF(parametros_carros!$H$29="Todos",'Plan mensual'!J97,0)))/60</f>
        <v>36.12714</v>
      </c>
      <c r="I172" s="9">
        <f>(parametros_carros!$D$29*('Plan mensual'!K90+IF(parametros_carros!$H$29="Todos",'Plan mensual'!K94,0))+parametros_carros!$E$29*('Plan mensual'!K91+IF(parametros_carros!$H$29="Todos",'Plan mensual'!K95,0))+parametros_carros!$F$29*('Plan mensual'!K92+IF(parametros_carros!$H$29="Todos",'Plan mensual'!K96,0))+parametros_carros!$G$29*('Plan mensual'!K93+IF(parametros_carros!$H$29="Todos",'Plan mensual'!K97,0)))/60</f>
        <v>36.12714</v>
      </c>
      <c r="J172" s="9">
        <f>(parametros_carros!$D$29*('Plan mensual'!L90+IF(parametros_carros!$H$29="Todos",'Plan mensual'!L94,0))+parametros_carros!$E$29*('Plan mensual'!L91+IF(parametros_carros!$H$29="Todos",'Plan mensual'!L95,0))+parametros_carros!$F$29*('Plan mensual'!L92+IF(parametros_carros!$H$29="Todos",'Plan mensual'!L96,0))+parametros_carros!$G$29*('Plan mensual'!L93+IF(parametros_carros!$H$29="Todos",'Plan mensual'!L97,0)))/60</f>
        <v>34.12007667</v>
      </c>
      <c r="K172" s="9">
        <f>(parametros_carros!$D$29*('Plan mensual'!M90+IF(parametros_carros!$H$29="Todos",'Plan mensual'!M94,0))+parametros_carros!$E$29*('Plan mensual'!M91+IF(parametros_carros!$H$29="Todos",'Plan mensual'!M95,0))+parametros_carros!$F$29*('Plan mensual'!M92+IF(parametros_carros!$H$29="Todos",'Plan mensual'!M96,0))+parametros_carros!$G$29*('Plan mensual'!M93+IF(parametros_carros!$H$29="Todos",'Plan mensual'!M97,0)))/60</f>
        <v>30.10595</v>
      </c>
      <c r="L172" s="9">
        <f>(parametros_carros!$D$29*('Plan mensual'!N90+IF(parametros_carros!$H$29="Todos",'Plan mensual'!N94,0))+parametros_carros!$E$29*('Plan mensual'!N91+IF(parametros_carros!$H$29="Todos",'Plan mensual'!N95,0))+parametros_carros!$F$29*('Plan mensual'!N92+IF(parametros_carros!$H$29="Todos",'Plan mensual'!N96,0))+parametros_carros!$G$29*('Plan mensual'!N93+IF(parametros_carros!$H$29="Todos",'Plan mensual'!N97,0)))/60</f>
        <v>28.09888667</v>
      </c>
      <c r="M172" s="9">
        <f>(parametros_carros!$D$29*('Plan mensual'!O90+IF(parametros_carros!$H$29="Todos",'Plan mensual'!O94,0))+parametros_carros!$E$29*('Plan mensual'!O91+IF(parametros_carros!$H$29="Todos",'Plan mensual'!O95,0))+parametros_carros!$F$29*('Plan mensual'!O92+IF(parametros_carros!$H$29="Todos",'Plan mensual'!O96,0))+parametros_carros!$G$29*('Plan mensual'!O93+IF(parametros_carros!$H$29="Todos",'Plan mensual'!O97,0)))/60</f>
        <v>32.11301333</v>
      </c>
      <c r="N172" s="9">
        <f t="shared" si="25"/>
        <v>401.4126667</v>
      </c>
      <c r="O172" s="9">
        <f t="shared" si="26"/>
        <v>36.12714</v>
      </c>
      <c r="P172" s="32">
        <f>IF(parametros_carros!$B$7=0,0,(O172+parametros_carros!$G$55)/parametros_carros!$B$7)</f>
        <v>0.2630698222</v>
      </c>
      <c r="Q172" s="21" t="str">
        <f t="shared" si="27"/>
        <v>Mar</v>
      </c>
    </row>
    <row r="173" ht="14.25" customHeight="1">
      <c r="A173" s="2" t="str">
        <f>parametros_carros!$B$30</f>
        <v>Secado</v>
      </c>
      <c r="B173" s="9">
        <f>(parametros_carros!$D$30*('Plan mensual'!D90+IF(parametros_carros!$H$30="Todos",'Plan mensual'!D94,0))+parametros_carros!$E$30*('Plan mensual'!D91+IF(parametros_carros!$H$30="Todos",'Plan mensual'!D95,0))+parametros_carros!$F$30*('Plan mensual'!D92+IF(parametros_carros!$H$30="Todos",'Plan mensual'!D96,0))+parametros_carros!$G$30*('Plan mensual'!D93+IF(parametros_carros!$H$30="Todos",'Plan mensual'!D97,0)))/60</f>
        <v>38.22166667</v>
      </c>
      <c r="C173" s="9">
        <f>(parametros_carros!$D$30*('Plan mensual'!E90+IF(parametros_carros!$H$30="Todos",'Plan mensual'!E94,0))+parametros_carros!$E$30*('Plan mensual'!E91+IF(parametros_carros!$H$30="Todos",'Plan mensual'!E95,0))+parametros_carros!$F$30*('Plan mensual'!E92+IF(parametros_carros!$H$30="Todos",'Plan mensual'!E96,0))+parametros_carros!$G$30*('Plan mensual'!E93+IF(parametros_carros!$H$30="Todos",'Plan mensual'!E97,0)))/60</f>
        <v>33.725</v>
      </c>
      <c r="D173" s="9">
        <f>(parametros_carros!$D$30*('Plan mensual'!F90+IF(parametros_carros!$H$30="Todos",'Plan mensual'!F94,0))+parametros_carros!$E$30*('Plan mensual'!F91+IF(parametros_carros!$H$30="Todos",'Plan mensual'!F95,0))+parametros_carros!$F$30*('Plan mensual'!F92+IF(parametros_carros!$H$30="Todos",'Plan mensual'!F96,0))+parametros_carros!$G$30*('Plan mensual'!F93+IF(parametros_carros!$H$30="Todos",'Plan mensual'!F97,0)))/60</f>
        <v>40.47</v>
      </c>
      <c r="E173" s="9">
        <f>(parametros_carros!$D$30*('Plan mensual'!G90+IF(parametros_carros!$H$30="Todos",'Plan mensual'!G94,0))+parametros_carros!$E$30*('Plan mensual'!G91+IF(parametros_carros!$H$30="Todos",'Plan mensual'!G95,0))+parametros_carros!$F$30*('Plan mensual'!G92+IF(parametros_carros!$H$30="Todos",'Plan mensual'!G96,0))+parametros_carros!$G$30*('Plan mensual'!G93+IF(parametros_carros!$H$30="Todos",'Plan mensual'!G97,0)))/60</f>
        <v>40.47</v>
      </c>
      <c r="F173" s="9">
        <f>(parametros_carros!$D$30*('Plan mensual'!H90+IF(parametros_carros!$H$30="Todos",'Plan mensual'!H94,0))+parametros_carros!$E$30*('Plan mensual'!H91+IF(parametros_carros!$H$30="Todos",'Plan mensual'!H95,0))+parametros_carros!$F$30*('Plan mensual'!H92+IF(parametros_carros!$H$30="Todos",'Plan mensual'!H96,0))+parametros_carros!$G$30*('Plan mensual'!H93+IF(parametros_carros!$H$30="Todos",'Plan mensual'!H97,0)))/60</f>
        <v>40.47</v>
      </c>
      <c r="G173" s="9">
        <f>(parametros_carros!$D$30*('Plan mensual'!I90+IF(parametros_carros!$H$30="Todos",'Plan mensual'!I94,0))+parametros_carros!$E$30*('Plan mensual'!I91+IF(parametros_carros!$H$30="Todos",'Plan mensual'!I95,0))+parametros_carros!$F$30*('Plan mensual'!I92+IF(parametros_carros!$H$30="Todos",'Plan mensual'!I96,0))+parametros_carros!$G$30*('Plan mensual'!I93+IF(parametros_carros!$H$30="Todos",'Plan mensual'!I97,0)))/60</f>
        <v>35.97333333</v>
      </c>
      <c r="H173" s="9">
        <f>(parametros_carros!$D$30*('Plan mensual'!J90+IF(parametros_carros!$H$30="Todos",'Plan mensual'!J94,0))+parametros_carros!$E$30*('Plan mensual'!J91+IF(parametros_carros!$H$30="Todos",'Plan mensual'!J95,0))+parametros_carros!$F$30*('Plan mensual'!J92+IF(parametros_carros!$H$30="Todos",'Plan mensual'!J96,0))+parametros_carros!$G$30*('Plan mensual'!J93+IF(parametros_carros!$H$30="Todos",'Plan mensual'!J97,0)))/60</f>
        <v>40.47</v>
      </c>
      <c r="I173" s="9">
        <f>(parametros_carros!$D$30*('Plan mensual'!K90+IF(parametros_carros!$H$30="Todos",'Plan mensual'!K94,0))+parametros_carros!$E$30*('Plan mensual'!K91+IF(parametros_carros!$H$30="Todos",'Plan mensual'!K95,0))+parametros_carros!$F$30*('Plan mensual'!K92+IF(parametros_carros!$H$30="Todos",'Plan mensual'!K96,0))+parametros_carros!$G$30*('Plan mensual'!K93+IF(parametros_carros!$H$30="Todos",'Plan mensual'!K97,0)))/60</f>
        <v>40.47</v>
      </c>
      <c r="J173" s="9">
        <f>(parametros_carros!$D$30*('Plan mensual'!L90+IF(parametros_carros!$H$30="Todos",'Plan mensual'!L94,0))+parametros_carros!$E$30*('Plan mensual'!L91+IF(parametros_carros!$H$30="Todos",'Plan mensual'!L95,0))+parametros_carros!$F$30*('Plan mensual'!L92+IF(parametros_carros!$H$30="Todos",'Plan mensual'!L96,0))+parametros_carros!$G$30*('Plan mensual'!L93+IF(parametros_carros!$H$30="Todos",'Plan mensual'!L97,0)))/60</f>
        <v>38.22166667</v>
      </c>
      <c r="K173" s="9">
        <f>(parametros_carros!$D$30*('Plan mensual'!M90+IF(parametros_carros!$H$30="Todos",'Plan mensual'!M94,0))+parametros_carros!$E$30*('Plan mensual'!M91+IF(parametros_carros!$H$30="Todos",'Plan mensual'!M95,0))+parametros_carros!$F$30*('Plan mensual'!M92+IF(parametros_carros!$H$30="Todos",'Plan mensual'!M96,0))+parametros_carros!$G$30*('Plan mensual'!M93+IF(parametros_carros!$H$30="Todos",'Plan mensual'!M97,0)))/60</f>
        <v>33.725</v>
      </c>
      <c r="L173" s="9">
        <f>(parametros_carros!$D$30*('Plan mensual'!N90+IF(parametros_carros!$H$30="Todos",'Plan mensual'!N94,0))+parametros_carros!$E$30*('Plan mensual'!N91+IF(parametros_carros!$H$30="Todos",'Plan mensual'!N95,0))+parametros_carros!$F$30*('Plan mensual'!N92+IF(parametros_carros!$H$30="Todos",'Plan mensual'!N96,0))+parametros_carros!$G$30*('Plan mensual'!N93+IF(parametros_carros!$H$30="Todos",'Plan mensual'!N97,0)))/60</f>
        <v>31.47666667</v>
      </c>
      <c r="M173" s="9">
        <f>(parametros_carros!$D$30*('Plan mensual'!O90+IF(parametros_carros!$H$30="Todos",'Plan mensual'!O94,0))+parametros_carros!$E$30*('Plan mensual'!O91+IF(parametros_carros!$H$30="Todos",'Plan mensual'!O95,0))+parametros_carros!$F$30*('Plan mensual'!O92+IF(parametros_carros!$H$30="Todos",'Plan mensual'!O96,0))+parametros_carros!$G$30*('Plan mensual'!O93+IF(parametros_carros!$H$30="Todos",'Plan mensual'!O97,0)))/60</f>
        <v>35.97333333</v>
      </c>
      <c r="N173" s="9">
        <f t="shared" si="25"/>
        <v>449.6666667</v>
      </c>
      <c r="O173" s="9">
        <f t="shared" si="26"/>
        <v>40.47</v>
      </c>
      <c r="P173" s="32">
        <f>IF(parametros_carros!$B$7=0,0,(O173+parametros_carros!$G$56)/parametros_carros!$B$7)</f>
        <v>0.2698</v>
      </c>
      <c r="Q173" s="21" t="str">
        <f t="shared" si="27"/>
        <v>Mar</v>
      </c>
    </row>
    <row r="174" ht="14.25" customHeight="1">
      <c r="A174" s="2" t="str">
        <f>parametros_carros!$B$31</f>
        <v>Pulmón de despacho y carga a pintura</v>
      </c>
      <c r="B174" s="9">
        <f>(parametros_carros!$D$31*('Plan mensual'!D90+IF(parametros_carros!$H$31="Todos",'Plan mensual'!D94,0))+parametros_carros!$E$31*('Plan mensual'!D91+IF(parametros_carros!$H$31="Todos",'Plan mensual'!D95,0))+parametros_carros!$F$31*('Plan mensual'!D92+IF(parametros_carros!$H$31="Todos",'Plan mensual'!D96,0))+parametros_carros!$G$31*('Plan mensual'!D93+IF(parametros_carros!$H$31="Todos",'Plan mensual'!D97,0)))/60</f>
        <v>6.078775</v>
      </c>
      <c r="C174" s="9">
        <f>(parametros_carros!$D$31*('Plan mensual'!E90+IF(parametros_carros!$H$31="Todos",'Plan mensual'!E94,0))+parametros_carros!$E$31*('Plan mensual'!E91+IF(parametros_carros!$H$31="Todos",'Plan mensual'!E95,0))+parametros_carros!$F$31*('Plan mensual'!E92+IF(parametros_carros!$H$31="Todos",'Plan mensual'!E96,0))+parametros_carros!$G$31*('Plan mensual'!E93+IF(parametros_carros!$H$31="Todos",'Plan mensual'!E97,0)))/60</f>
        <v>5.363625</v>
      </c>
      <c r="D174" s="9">
        <f>(parametros_carros!$D$31*('Plan mensual'!F90+IF(parametros_carros!$H$31="Todos",'Plan mensual'!F94,0))+parametros_carros!$E$31*('Plan mensual'!F91+IF(parametros_carros!$H$31="Todos",'Plan mensual'!F95,0))+parametros_carros!$F$31*('Plan mensual'!F92+IF(parametros_carros!$H$31="Todos",'Plan mensual'!F96,0))+parametros_carros!$G$31*('Plan mensual'!F93+IF(parametros_carros!$H$31="Todos",'Plan mensual'!F97,0)))/60</f>
        <v>6.43635</v>
      </c>
      <c r="E174" s="9">
        <f>(parametros_carros!$D$31*('Plan mensual'!G90+IF(parametros_carros!$H$31="Todos",'Plan mensual'!G94,0))+parametros_carros!$E$31*('Plan mensual'!G91+IF(parametros_carros!$H$31="Todos",'Plan mensual'!G95,0))+parametros_carros!$F$31*('Plan mensual'!G92+IF(parametros_carros!$H$31="Todos",'Plan mensual'!G96,0))+parametros_carros!$G$31*('Plan mensual'!G93+IF(parametros_carros!$H$31="Todos",'Plan mensual'!G97,0)))/60</f>
        <v>6.43635</v>
      </c>
      <c r="F174" s="9">
        <f>(parametros_carros!$D$31*('Plan mensual'!H90+IF(parametros_carros!$H$31="Todos",'Plan mensual'!H94,0))+parametros_carros!$E$31*('Plan mensual'!H91+IF(parametros_carros!$H$31="Todos",'Plan mensual'!H95,0))+parametros_carros!$F$31*('Plan mensual'!H92+IF(parametros_carros!$H$31="Todos",'Plan mensual'!H96,0))+parametros_carros!$G$31*('Plan mensual'!H93+IF(parametros_carros!$H$31="Todos",'Plan mensual'!H97,0)))/60</f>
        <v>6.43635</v>
      </c>
      <c r="G174" s="9">
        <f>(parametros_carros!$D$31*('Plan mensual'!I90+IF(parametros_carros!$H$31="Todos",'Plan mensual'!I94,0))+parametros_carros!$E$31*('Plan mensual'!I91+IF(parametros_carros!$H$31="Todos",'Plan mensual'!I95,0))+parametros_carros!$F$31*('Plan mensual'!I92+IF(parametros_carros!$H$31="Todos",'Plan mensual'!I96,0))+parametros_carros!$G$31*('Plan mensual'!I93+IF(parametros_carros!$H$31="Todos",'Plan mensual'!I97,0)))/60</f>
        <v>5.7212</v>
      </c>
      <c r="H174" s="9">
        <f>(parametros_carros!$D$31*('Plan mensual'!J90+IF(parametros_carros!$H$31="Todos",'Plan mensual'!J94,0))+parametros_carros!$E$31*('Plan mensual'!J91+IF(parametros_carros!$H$31="Todos",'Plan mensual'!J95,0))+parametros_carros!$F$31*('Plan mensual'!J92+IF(parametros_carros!$H$31="Todos",'Plan mensual'!J96,0))+parametros_carros!$G$31*('Plan mensual'!J93+IF(parametros_carros!$H$31="Todos",'Plan mensual'!J97,0)))/60</f>
        <v>6.43635</v>
      </c>
      <c r="I174" s="9">
        <f>(parametros_carros!$D$31*('Plan mensual'!K90+IF(parametros_carros!$H$31="Todos",'Plan mensual'!K94,0))+parametros_carros!$E$31*('Plan mensual'!K91+IF(parametros_carros!$H$31="Todos",'Plan mensual'!K95,0))+parametros_carros!$F$31*('Plan mensual'!K92+IF(parametros_carros!$H$31="Todos",'Plan mensual'!K96,0))+parametros_carros!$G$31*('Plan mensual'!K93+IF(parametros_carros!$H$31="Todos",'Plan mensual'!K97,0)))/60</f>
        <v>6.43635</v>
      </c>
      <c r="J174" s="9">
        <f>(parametros_carros!$D$31*('Plan mensual'!L90+IF(parametros_carros!$H$31="Todos",'Plan mensual'!L94,0))+parametros_carros!$E$31*('Plan mensual'!L91+IF(parametros_carros!$H$31="Todos",'Plan mensual'!L95,0))+parametros_carros!$F$31*('Plan mensual'!L92+IF(parametros_carros!$H$31="Todos",'Plan mensual'!L96,0))+parametros_carros!$G$31*('Plan mensual'!L93+IF(parametros_carros!$H$31="Todos",'Plan mensual'!L97,0)))/60</f>
        <v>6.078775</v>
      </c>
      <c r="K174" s="9">
        <f>(parametros_carros!$D$31*('Plan mensual'!M90+IF(parametros_carros!$H$31="Todos",'Plan mensual'!M94,0))+parametros_carros!$E$31*('Plan mensual'!M91+IF(parametros_carros!$H$31="Todos",'Plan mensual'!M95,0))+parametros_carros!$F$31*('Plan mensual'!M92+IF(parametros_carros!$H$31="Todos",'Plan mensual'!M96,0))+parametros_carros!$G$31*('Plan mensual'!M93+IF(parametros_carros!$H$31="Todos",'Plan mensual'!M97,0)))/60</f>
        <v>5.363625</v>
      </c>
      <c r="L174" s="9">
        <f>(parametros_carros!$D$31*('Plan mensual'!N90+IF(parametros_carros!$H$31="Todos",'Plan mensual'!N94,0))+parametros_carros!$E$31*('Plan mensual'!N91+IF(parametros_carros!$H$31="Todos",'Plan mensual'!N95,0))+parametros_carros!$F$31*('Plan mensual'!N92+IF(parametros_carros!$H$31="Todos",'Plan mensual'!N96,0))+parametros_carros!$G$31*('Plan mensual'!N93+IF(parametros_carros!$H$31="Todos",'Plan mensual'!N97,0)))/60</f>
        <v>5.00605</v>
      </c>
      <c r="M174" s="9">
        <f>(parametros_carros!$D$31*('Plan mensual'!O90+IF(parametros_carros!$H$31="Todos",'Plan mensual'!O94,0))+parametros_carros!$E$31*('Plan mensual'!O91+IF(parametros_carros!$H$31="Todos",'Plan mensual'!O95,0))+parametros_carros!$F$31*('Plan mensual'!O92+IF(parametros_carros!$H$31="Todos",'Plan mensual'!O96,0))+parametros_carros!$G$31*('Plan mensual'!O93+IF(parametros_carros!$H$31="Todos",'Plan mensual'!O97,0)))/60</f>
        <v>5.7212</v>
      </c>
      <c r="N174" s="9">
        <f t="shared" si="25"/>
        <v>71.515</v>
      </c>
      <c r="O174" s="9">
        <f t="shared" si="26"/>
        <v>6.43635</v>
      </c>
      <c r="P174" s="32">
        <f>IF(parametros_carros!$B$7=0,0,(O174+parametros_carros!$G$57)/parametros_carros!$B$7)</f>
        <v>0.05179788889</v>
      </c>
      <c r="Q174" s="21" t="str">
        <f t="shared" si="27"/>
        <v>Mar</v>
      </c>
    </row>
    <row r="175" ht="14.25" customHeight="1">
      <c r="A175" s="2" t="str">
        <f>parametros_carros!$B$32</f>
        <v>Recepción de pintados y cambio de juego</v>
      </c>
      <c r="B175" s="9">
        <f>(parametros_carros!$D$32*('Plan mensual'!D90+IF(parametros_carros!$H$32="Todos",'Plan mensual'!D94,0))+parametros_carros!$E$32*('Plan mensual'!D91+IF(parametros_carros!$H$32="Todos",'Plan mensual'!D95,0))+parametros_carros!$F$32*('Plan mensual'!D92+IF(parametros_carros!$H$32="Todos",'Plan mensual'!D96,0))+parametros_carros!$G$32*('Plan mensual'!D93+IF(parametros_carros!$H$32="Todos",'Plan mensual'!D97,0)))/60</f>
        <v>11.891925</v>
      </c>
      <c r="C175" s="9">
        <f>(parametros_carros!$D$32*('Plan mensual'!E90+IF(parametros_carros!$H$32="Todos",'Plan mensual'!E94,0))+parametros_carros!$E$32*('Plan mensual'!E91+IF(parametros_carros!$H$32="Todos",'Plan mensual'!E95,0))+parametros_carros!$F$32*('Plan mensual'!E92+IF(parametros_carros!$H$32="Todos",'Plan mensual'!E96,0))+parametros_carros!$G$32*('Plan mensual'!E93+IF(parametros_carros!$H$32="Todos",'Plan mensual'!E97,0)))/60</f>
        <v>10.492875</v>
      </c>
      <c r="D175" s="9">
        <f>(parametros_carros!$D$32*('Plan mensual'!F90+IF(parametros_carros!$H$32="Todos",'Plan mensual'!F94,0))+parametros_carros!$E$32*('Plan mensual'!F91+IF(parametros_carros!$H$32="Todos",'Plan mensual'!F95,0))+parametros_carros!$F$32*('Plan mensual'!F92+IF(parametros_carros!$H$32="Todos",'Plan mensual'!F96,0))+parametros_carros!$G$32*('Plan mensual'!F93+IF(parametros_carros!$H$32="Todos",'Plan mensual'!F97,0)))/60</f>
        <v>12.59145</v>
      </c>
      <c r="E175" s="9">
        <f>(parametros_carros!$D$32*('Plan mensual'!G90+IF(parametros_carros!$H$32="Todos",'Plan mensual'!G94,0))+parametros_carros!$E$32*('Plan mensual'!G91+IF(parametros_carros!$H$32="Todos",'Plan mensual'!G95,0))+parametros_carros!$F$32*('Plan mensual'!G92+IF(parametros_carros!$H$32="Todos",'Plan mensual'!G96,0))+parametros_carros!$G$32*('Plan mensual'!G93+IF(parametros_carros!$H$32="Todos",'Plan mensual'!G97,0)))/60</f>
        <v>12.59145</v>
      </c>
      <c r="F175" s="9">
        <f>(parametros_carros!$D$32*('Plan mensual'!H90+IF(parametros_carros!$H$32="Todos",'Plan mensual'!H94,0))+parametros_carros!$E$32*('Plan mensual'!H91+IF(parametros_carros!$H$32="Todos",'Plan mensual'!H95,0))+parametros_carros!$F$32*('Plan mensual'!H92+IF(parametros_carros!$H$32="Todos",'Plan mensual'!H96,0))+parametros_carros!$G$32*('Plan mensual'!H93+IF(parametros_carros!$H$32="Todos",'Plan mensual'!H97,0)))/60</f>
        <v>12.59145</v>
      </c>
      <c r="G175" s="9">
        <f>(parametros_carros!$D$32*('Plan mensual'!I90+IF(parametros_carros!$H$32="Todos",'Plan mensual'!I94,0))+parametros_carros!$E$32*('Plan mensual'!I91+IF(parametros_carros!$H$32="Todos",'Plan mensual'!I95,0))+parametros_carros!$F$32*('Plan mensual'!I92+IF(parametros_carros!$H$32="Todos",'Plan mensual'!I96,0))+parametros_carros!$G$32*('Plan mensual'!I93+IF(parametros_carros!$H$32="Todos",'Plan mensual'!I97,0)))/60</f>
        <v>11.1924</v>
      </c>
      <c r="H175" s="9">
        <f>(parametros_carros!$D$32*('Plan mensual'!J90+IF(parametros_carros!$H$32="Todos",'Plan mensual'!J94,0))+parametros_carros!$E$32*('Plan mensual'!J91+IF(parametros_carros!$H$32="Todos",'Plan mensual'!J95,0))+parametros_carros!$F$32*('Plan mensual'!J92+IF(parametros_carros!$H$32="Todos",'Plan mensual'!J96,0))+parametros_carros!$G$32*('Plan mensual'!J93+IF(parametros_carros!$H$32="Todos",'Plan mensual'!J97,0)))/60</f>
        <v>12.59145</v>
      </c>
      <c r="I175" s="9">
        <f>(parametros_carros!$D$32*('Plan mensual'!K90+IF(parametros_carros!$H$32="Todos",'Plan mensual'!K94,0))+parametros_carros!$E$32*('Plan mensual'!K91+IF(parametros_carros!$H$32="Todos",'Plan mensual'!K95,0))+parametros_carros!$F$32*('Plan mensual'!K92+IF(parametros_carros!$H$32="Todos",'Plan mensual'!K96,0))+parametros_carros!$G$32*('Plan mensual'!K93+IF(parametros_carros!$H$32="Todos",'Plan mensual'!K97,0)))/60</f>
        <v>12.59145</v>
      </c>
      <c r="J175" s="9">
        <f>(parametros_carros!$D$32*('Plan mensual'!L90+IF(parametros_carros!$H$32="Todos",'Plan mensual'!L94,0))+parametros_carros!$E$32*('Plan mensual'!L91+IF(parametros_carros!$H$32="Todos",'Plan mensual'!L95,0))+parametros_carros!$F$32*('Plan mensual'!L92+IF(parametros_carros!$H$32="Todos",'Plan mensual'!L96,0))+parametros_carros!$G$32*('Plan mensual'!L93+IF(parametros_carros!$H$32="Todos",'Plan mensual'!L97,0)))/60</f>
        <v>11.891925</v>
      </c>
      <c r="K175" s="9">
        <f>(parametros_carros!$D$32*('Plan mensual'!M90+IF(parametros_carros!$H$32="Todos",'Plan mensual'!M94,0))+parametros_carros!$E$32*('Plan mensual'!M91+IF(parametros_carros!$H$32="Todos",'Plan mensual'!M95,0))+parametros_carros!$F$32*('Plan mensual'!M92+IF(parametros_carros!$H$32="Todos",'Plan mensual'!M96,0))+parametros_carros!$G$32*('Plan mensual'!M93+IF(parametros_carros!$H$32="Todos",'Plan mensual'!M97,0)))/60</f>
        <v>10.492875</v>
      </c>
      <c r="L175" s="9">
        <f>(parametros_carros!$D$32*('Plan mensual'!N90+IF(parametros_carros!$H$32="Todos",'Plan mensual'!N94,0))+parametros_carros!$E$32*('Plan mensual'!N91+IF(parametros_carros!$H$32="Todos",'Plan mensual'!N95,0))+parametros_carros!$F$32*('Plan mensual'!N92+IF(parametros_carros!$H$32="Todos",'Plan mensual'!N96,0))+parametros_carros!$G$32*('Plan mensual'!N93+IF(parametros_carros!$H$32="Todos",'Plan mensual'!N97,0)))/60</f>
        <v>9.79335</v>
      </c>
      <c r="M175" s="9">
        <f>(parametros_carros!$D$32*('Plan mensual'!O90+IF(parametros_carros!$H$32="Todos",'Plan mensual'!O94,0))+parametros_carros!$E$32*('Plan mensual'!O91+IF(parametros_carros!$H$32="Todos",'Plan mensual'!O95,0))+parametros_carros!$F$32*('Plan mensual'!O92+IF(parametros_carros!$H$32="Todos",'Plan mensual'!O96,0))+parametros_carros!$G$32*('Plan mensual'!O93+IF(parametros_carros!$H$32="Todos",'Plan mensual'!O97,0)))/60</f>
        <v>11.1924</v>
      </c>
      <c r="N175" s="9">
        <f t="shared" si="25"/>
        <v>139.905</v>
      </c>
      <c r="O175" s="9">
        <f t="shared" si="26"/>
        <v>12.59145</v>
      </c>
      <c r="P175" s="32">
        <f>IF(parametros_carros!$B$7=0,0,(O175+parametros_carros!$G$58)/parametros_carros!$B$7)</f>
        <v>0.09283188889</v>
      </c>
      <c r="Q175" s="21" t="str">
        <f t="shared" si="27"/>
        <v>Mar</v>
      </c>
    </row>
    <row r="176" ht="14.25" customHeight="1">
      <c r="A176" s="2" t="str">
        <f>parametros_carros!$B$33</f>
        <v>Carga de polvo y presurización</v>
      </c>
      <c r="B176" s="9">
        <f>(parametros_carros!$D$33*('Plan mensual'!D90+IF(parametros_carros!$H$33="Todos",'Plan mensual'!D94,0))+parametros_carros!$E$33*('Plan mensual'!D91+IF(parametros_carros!$H$33="Todos",'Plan mensual'!D95,0))+parametros_carros!$F$33*('Plan mensual'!D92+IF(parametros_carros!$H$33="Todos",'Plan mensual'!D96,0))+parametros_carros!$G$33*('Plan mensual'!D93+IF(parametros_carros!$H$33="Todos",'Plan mensual'!D97,0)))/60</f>
        <v>25.26724167</v>
      </c>
      <c r="C176" s="9">
        <f>(parametros_carros!$D$33*('Plan mensual'!E90+IF(parametros_carros!$H$33="Todos",'Plan mensual'!E94,0))+parametros_carros!$E$33*('Plan mensual'!E91+IF(parametros_carros!$H$33="Todos",'Plan mensual'!E95,0))+parametros_carros!$F$33*('Plan mensual'!E92+IF(parametros_carros!$H$33="Todos",'Plan mensual'!E96,0))+parametros_carros!$G$33*('Plan mensual'!E93+IF(parametros_carros!$H$33="Todos",'Plan mensual'!E97,0)))/60</f>
        <v>22.294625</v>
      </c>
      <c r="D176" s="9">
        <f>(parametros_carros!$D$33*('Plan mensual'!F90+IF(parametros_carros!$H$33="Todos",'Plan mensual'!F94,0))+parametros_carros!$E$33*('Plan mensual'!F91+IF(parametros_carros!$H$33="Todos",'Plan mensual'!F95,0))+parametros_carros!$F$33*('Plan mensual'!F92+IF(parametros_carros!$H$33="Todos",'Plan mensual'!F96,0))+parametros_carros!$G$33*('Plan mensual'!F93+IF(parametros_carros!$H$33="Todos",'Plan mensual'!F97,0)))/60</f>
        <v>26.75355</v>
      </c>
      <c r="E176" s="9">
        <f>(parametros_carros!$D$33*('Plan mensual'!G90+IF(parametros_carros!$H$33="Todos",'Plan mensual'!G94,0))+parametros_carros!$E$33*('Plan mensual'!G91+IF(parametros_carros!$H$33="Todos",'Plan mensual'!G95,0))+parametros_carros!$F$33*('Plan mensual'!G92+IF(parametros_carros!$H$33="Todos",'Plan mensual'!G96,0))+parametros_carros!$G$33*('Plan mensual'!G93+IF(parametros_carros!$H$33="Todos",'Plan mensual'!G97,0)))/60</f>
        <v>26.75355</v>
      </c>
      <c r="F176" s="9">
        <f>(parametros_carros!$D$33*('Plan mensual'!H90+IF(parametros_carros!$H$33="Todos",'Plan mensual'!H94,0))+parametros_carros!$E$33*('Plan mensual'!H91+IF(parametros_carros!$H$33="Todos",'Plan mensual'!H95,0))+parametros_carros!$F$33*('Plan mensual'!H92+IF(parametros_carros!$H$33="Todos",'Plan mensual'!H96,0))+parametros_carros!$G$33*('Plan mensual'!H93+IF(parametros_carros!$H$33="Todos",'Plan mensual'!H97,0)))/60</f>
        <v>26.75355</v>
      </c>
      <c r="G176" s="9">
        <f>(parametros_carros!$D$33*('Plan mensual'!I90+IF(parametros_carros!$H$33="Todos",'Plan mensual'!I94,0))+parametros_carros!$E$33*('Plan mensual'!I91+IF(parametros_carros!$H$33="Todos",'Plan mensual'!I95,0))+parametros_carros!$F$33*('Plan mensual'!I92+IF(parametros_carros!$H$33="Todos",'Plan mensual'!I96,0))+parametros_carros!$G$33*('Plan mensual'!I93+IF(parametros_carros!$H$33="Todos",'Plan mensual'!I97,0)))/60</f>
        <v>23.78093333</v>
      </c>
      <c r="H176" s="9">
        <f>(parametros_carros!$D$33*('Plan mensual'!J90+IF(parametros_carros!$H$33="Todos",'Plan mensual'!J94,0))+parametros_carros!$E$33*('Plan mensual'!J91+IF(parametros_carros!$H$33="Todos",'Plan mensual'!J95,0))+parametros_carros!$F$33*('Plan mensual'!J92+IF(parametros_carros!$H$33="Todos",'Plan mensual'!J96,0))+parametros_carros!$G$33*('Plan mensual'!J93+IF(parametros_carros!$H$33="Todos",'Plan mensual'!J97,0)))/60</f>
        <v>26.75355</v>
      </c>
      <c r="I176" s="9">
        <f>(parametros_carros!$D$33*('Plan mensual'!K90+IF(parametros_carros!$H$33="Todos",'Plan mensual'!K94,0))+parametros_carros!$E$33*('Plan mensual'!K91+IF(parametros_carros!$H$33="Todos",'Plan mensual'!K95,0))+parametros_carros!$F$33*('Plan mensual'!K92+IF(parametros_carros!$H$33="Todos",'Plan mensual'!K96,0))+parametros_carros!$G$33*('Plan mensual'!K93+IF(parametros_carros!$H$33="Todos",'Plan mensual'!K97,0)))/60</f>
        <v>26.75355</v>
      </c>
      <c r="J176" s="9">
        <f>(parametros_carros!$D$33*('Plan mensual'!L90+IF(parametros_carros!$H$33="Todos",'Plan mensual'!L94,0))+parametros_carros!$E$33*('Plan mensual'!L91+IF(parametros_carros!$H$33="Todos",'Plan mensual'!L95,0))+parametros_carros!$F$33*('Plan mensual'!L92+IF(parametros_carros!$H$33="Todos",'Plan mensual'!L96,0))+parametros_carros!$G$33*('Plan mensual'!L93+IF(parametros_carros!$H$33="Todos",'Plan mensual'!L97,0)))/60</f>
        <v>25.26724167</v>
      </c>
      <c r="K176" s="9">
        <f>(parametros_carros!$D$33*('Plan mensual'!M90+IF(parametros_carros!$H$33="Todos",'Plan mensual'!M94,0))+parametros_carros!$E$33*('Plan mensual'!M91+IF(parametros_carros!$H$33="Todos",'Plan mensual'!M95,0))+parametros_carros!$F$33*('Plan mensual'!M92+IF(parametros_carros!$H$33="Todos",'Plan mensual'!M96,0))+parametros_carros!$G$33*('Plan mensual'!M93+IF(parametros_carros!$H$33="Todos",'Plan mensual'!M97,0)))/60</f>
        <v>22.294625</v>
      </c>
      <c r="L176" s="9">
        <f>(parametros_carros!$D$33*('Plan mensual'!N90+IF(parametros_carros!$H$33="Todos",'Plan mensual'!N94,0))+parametros_carros!$E$33*('Plan mensual'!N91+IF(parametros_carros!$H$33="Todos",'Plan mensual'!N95,0))+parametros_carros!$F$33*('Plan mensual'!N92+IF(parametros_carros!$H$33="Todos",'Plan mensual'!N96,0))+parametros_carros!$G$33*('Plan mensual'!N93+IF(parametros_carros!$H$33="Todos",'Plan mensual'!N97,0)))/60</f>
        <v>20.80831667</v>
      </c>
      <c r="M176" s="9">
        <f>(parametros_carros!$D$33*('Plan mensual'!O90+IF(parametros_carros!$H$33="Todos",'Plan mensual'!O94,0))+parametros_carros!$E$33*('Plan mensual'!O91+IF(parametros_carros!$H$33="Todos",'Plan mensual'!O95,0))+parametros_carros!$F$33*('Plan mensual'!O92+IF(parametros_carros!$H$33="Todos",'Plan mensual'!O96,0))+parametros_carros!$G$33*('Plan mensual'!O93+IF(parametros_carros!$H$33="Todos",'Plan mensual'!O97,0)))/60</f>
        <v>23.78093333</v>
      </c>
      <c r="N176" s="9">
        <f t="shared" si="25"/>
        <v>297.2616667</v>
      </c>
      <c r="O176" s="9">
        <f t="shared" si="26"/>
        <v>26.75355</v>
      </c>
      <c r="P176" s="32">
        <f>IF(parametros_carros!$B$7=0,0,(O176+parametros_carros!$G$59)/parametros_carros!$B$7)</f>
        <v>0.2850236667</v>
      </c>
      <c r="Q176" s="21" t="str">
        <f t="shared" si="27"/>
        <v>Mar</v>
      </c>
    </row>
    <row r="177" ht="14.25" customHeight="1">
      <c r="A177" s="2" t="str">
        <f>parametros_carros!$B$34</f>
        <v>Montaje, manga, precinto y etiquetado</v>
      </c>
      <c r="B177" s="9">
        <f>(parametros_carros!$D$34*('Plan mensual'!D90+IF(parametros_carros!$H$34="Todos",'Plan mensual'!D94,0))+parametros_carros!$E$34*('Plan mensual'!D91+IF(parametros_carros!$H$34="Todos",'Plan mensual'!D95,0))+parametros_carros!$F$34*('Plan mensual'!D92+IF(parametros_carros!$H$34="Todos",'Plan mensual'!D96,0))+parametros_carros!$G$34*('Plan mensual'!D93+IF(parametros_carros!$H$34="Todos",'Plan mensual'!D97,0)))/60</f>
        <v>14.09285833</v>
      </c>
      <c r="C177" s="9">
        <f>(parametros_carros!$D$34*('Plan mensual'!E90+IF(parametros_carros!$H$34="Todos",'Plan mensual'!E94,0))+parametros_carros!$E$34*('Plan mensual'!E91+IF(parametros_carros!$H$34="Todos",'Plan mensual'!E95,0))+parametros_carros!$F$34*('Plan mensual'!E92+IF(parametros_carros!$H$34="Todos",'Plan mensual'!E96,0))+parametros_carros!$G$34*('Plan mensual'!E93+IF(parametros_carros!$H$34="Todos",'Plan mensual'!E97,0)))/60</f>
        <v>12.434875</v>
      </c>
      <c r="D177" s="9">
        <f>(parametros_carros!$D$34*('Plan mensual'!F90+IF(parametros_carros!$H$34="Todos",'Plan mensual'!F94,0))+parametros_carros!$E$34*('Plan mensual'!F91+IF(parametros_carros!$H$34="Todos",'Plan mensual'!F95,0))+parametros_carros!$F$34*('Plan mensual'!F92+IF(parametros_carros!$H$34="Todos",'Plan mensual'!F96,0))+parametros_carros!$G$34*('Plan mensual'!F93+IF(parametros_carros!$H$34="Todos",'Plan mensual'!F97,0)))/60</f>
        <v>14.92185</v>
      </c>
      <c r="E177" s="9">
        <f>(parametros_carros!$D$34*('Plan mensual'!G90+IF(parametros_carros!$H$34="Todos",'Plan mensual'!G94,0))+parametros_carros!$E$34*('Plan mensual'!G91+IF(parametros_carros!$H$34="Todos",'Plan mensual'!G95,0))+parametros_carros!$F$34*('Plan mensual'!G92+IF(parametros_carros!$H$34="Todos",'Plan mensual'!G96,0))+parametros_carros!$G$34*('Plan mensual'!G93+IF(parametros_carros!$H$34="Todos",'Plan mensual'!G97,0)))/60</f>
        <v>14.92185</v>
      </c>
      <c r="F177" s="9">
        <f>(parametros_carros!$D$34*('Plan mensual'!H90+IF(parametros_carros!$H$34="Todos",'Plan mensual'!H94,0))+parametros_carros!$E$34*('Plan mensual'!H91+IF(parametros_carros!$H$34="Todos",'Plan mensual'!H95,0))+parametros_carros!$F$34*('Plan mensual'!H92+IF(parametros_carros!$H$34="Todos",'Plan mensual'!H96,0))+parametros_carros!$G$34*('Plan mensual'!H93+IF(parametros_carros!$H$34="Todos",'Plan mensual'!H97,0)))/60</f>
        <v>14.92185</v>
      </c>
      <c r="G177" s="9">
        <f>(parametros_carros!$D$34*('Plan mensual'!I90+IF(parametros_carros!$H$34="Todos",'Plan mensual'!I94,0))+parametros_carros!$E$34*('Plan mensual'!I91+IF(parametros_carros!$H$34="Todos",'Plan mensual'!I95,0))+parametros_carros!$F$34*('Plan mensual'!I92+IF(parametros_carros!$H$34="Todos",'Plan mensual'!I96,0))+parametros_carros!$G$34*('Plan mensual'!I93+IF(parametros_carros!$H$34="Todos",'Plan mensual'!I97,0)))/60</f>
        <v>13.26386667</v>
      </c>
      <c r="H177" s="9">
        <f>(parametros_carros!$D$34*('Plan mensual'!J90+IF(parametros_carros!$H$34="Todos",'Plan mensual'!J94,0))+parametros_carros!$E$34*('Plan mensual'!J91+IF(parametros_carros!$H$34="Todos",'Plan mensual'!J95,0))+parametros_carros!$F$34*('Plan mensual'!J92+IF(parametros_carros!$H$34="Todos",'Plan mensual'!J96,0))+parametros_carros!$G$34*('Plan mensual'!J93+IF(parametros_carros!$H$34="Todos",'Plan mensual'!J97,0)))/60</f>
        <v>14.92185</v>
      </c>
      <c r="I177" s="9">
        <f>(parametros_carros!$D$34*('Plan mensual'!K90+IF(parametros_carros!$H$34="Todos",'Plan mensual'!K94,0))+parametros_carros!$E$34*('Plan mensual'!K91+IF(parametros_carros!$H$34="Todos",'Plan mensual'!K95,0))+parametros_carros!$F$34*('Plan mensual'!K92+IF(parametros_carros!$H$34="Todos",'Plan mensual'!K96,0))+parametros_carros!$G$34*('Plan mensual'!K93+IF(parametros_carros!$H$34="Todos",'Plan mensual'!K97,0)))/60</f>
        <v>14.92185</v>
      </c>
      <c r="J177" s="9">
        <f>(parametros_carros!$D$34*('Plan mensual'!L90+IF(parametros_carros!$H$34="Todos",'Plan mensual'!L94,0))+parametros_carros!$E$34*('Plan mensual'!L91+IF(parametros_carros!$H$34="Todos",'Plan mensual'!L95,0))+parametros_carros!$F$34*('Plan mensual'!L92+IF(parametros_carros!$H$34="Todos",'Plan mensual'!L96,0))+parametros_carros!$G$34*('Plan mensual'!L93+IF(parametros_carros!$H$34="Todos",'Plan mensual'!L97,0)))/60</f>
        <v>14.09285833</v>
      </c>
      <c r="K177" s="9">
        <f>(parametros_carros!$D$34*('Plan mensual'!M90+IF(parametros_carros!$H$34="Todos",'Plan mensual'!M94,0))+parametros_carros!$E$34*('Plan mensual'!M91+IF(parametros_carros!$H$34="Todos",'Plan mensual'!M95,0))+parametros_carros!$F$34*('Plan mensual'!M92+IF(parametros_carros!$H$34="Todos",'Plan mensual'!M96,0))+parametros_carros!$G$34*('Plan mensual'!M93+IF(parametros_carros!$H$34="Todos",'Plan mensual'!M97,0)))/60</f>
        <v>12.434875</v>
      </c>
      <c r="L177" s="9">
        <f>(parametros_carros!$D$34*('Plan mensual'!N90+IF(parametros_carros!$H$34="Todos",'Plan mensual'!N94,0))+parametros_carros!$E$34*('Plan mensual'!N91+IF(parametros_carros!$H$34="Todos",'Plan mensual'!N95,0))+parametros_carros!$F$34*('Plan mensual'!N92+IF(parametros_carros!$H$34="Todos",'Plan mensual'!N96,0))+parametros_carros!$G$34*('Plan mensual'!N93+IF(parametros_carros!$H$34="Todos",'Plan mensual'!N97,0)))/60</f>
        <v>11.60588333</v>
      </c>
      <c r="M177" s="9">
        <f>(parametros_carros!$D$34*('Plan mensual'!O90+IF(parametros_carros!$H$34="Todos",'Plan mensual'!O94,0))+parametros_carros!$E$34*('Plan mensual'!O91+IF(parametros_carros!$H$34="Todos",'Plan mensual'!O95,0))+parametros_carros!$F$34*('Plan mensual'!O92+IF(parametros_carros!$H$34="Todos",'Plan mensual'!O96,0))+parametros_carros!$G$34*('Plan mensual'!O93+IF(parametros_carros!$H$34="Todos",'Plan mensual'!O97,0)))/60</f>
        <v>13.26386667</v>
      </c>
      <c r="N177" s="9">
        <f t="shared" si="25"/>
        <v>165.7983333</v>
      </c>
      <c r="O177" s="9">
        <f t="shared" si="26"/>
        <v>14.92185</v>
      </c>
      <c r="P177" s="32">
        <f>IF(parametros_carros!$B$7=0,0,(O177+parametros_carros!$G$60)/parametros_carros!$B$7)</f>
        <v>0.1461456667</v>
      </c>
      <c r="Q177" s="21" t="str">
        <f t="shared" si="27"/>
        <v>Mar</v>
      </c>
    </row>
    <row r="178" ht="14.25" customHeight="1">
      <c r="A178" s="2" t="str">
        <f>parametros_carros!$B$35</f>
        <v>Calidad: pérdidas, inspección final, liberación y ensayos de lote</v>
      </c>
      <c r="B178" s="9">
        <f>(parametros_carros!$D$35*('Plan mensual'!D90+IF(parametros_carros!$H$35="Todos",'Plan mensual'!D94,0))+parametros_carros!$E$35*('Plan mensual'!D91+IF(parametros_carros!$H$35="Todos",'Plan mensual'!D95,0))+parametros_carros!$F$35*('Plan mensual'!D92+IF(parametros_carros!$H$35="Todos",'Plan mensual'!D96,0))+parametros_carros!$G$35*('Plan mensual'!D93+IF(parametros_carros!$H$35="Todos",'Plan mensual'!D97,0)))/60</f>
        <v>10.68090167</v>
      </c>
      <c r="C178" s="9">
        <f>(parametros_carros!$D$35*('Plan mensual'!E90+IF(parametros_carros!$H$35="Todos",'Plan mensual'!E94,0))+parametros_carros!$E$35*('Plan mensual'!E91+IF(parametros_carros!$H$35="Todos",'Plan mensual'!E95,0))+parametros_carros!$F$35*('Plan mensual'!E92+IF(parametros_carros!$H$35="Todos",'Plan mensual'!E96,0))+parametros_carros!$G$35*('Plan mensual'!E93+IF(parametros_carros!$H$35="Todos",'Plan mensual'!E97,0)))/60</f>
        <v>9.424325</v>
      </c>
      <c r="D178" s="9">
        <f>(parametros_carros!$D$35*('Plan mensual'!F90+IF(parametros_carros!$H$35="Todos",'Plan mensual'!F94,0))+parametros_carros!$E$35*('Plan mensual'!F91+IF(parametros_carros!$H$35="Todos",'Plan mensual'!F95,0))+parametros_carros!$F$35*('Plan mensual'!F92+IF(parametros_carros!$H$35="Todos",'Plan mensual'!F96,0))+parametros_carros!$G$35*('Plan mensual'!F93+IF(parametros_carros!$H$35="Todos",'Plan mensual'!F97,0)))/60</f>
        <v>11.30919</v>
      </c>
      <c r="E178" s="9">
        <f>(parametros_carros!$D$35*('Plan mensual'!G90+IF(parametros_carros!$H$35="Todos",'Plan mensual'!G94,0))+parametros_carros!$E$35*('Plan mensual'!G91+IF(parametros_carros!$H$35="Todos",'Plan mensual'!G95,0))+parametros_carros!$F$35*('Plan mensual'!G92+IF(parametros_carros!$H$35="Todos",'Plan mensual'!G96,0))+parametros_carros!$G$35*('Plan mensual'!G93+IF(parametros_carros!$H$35="Todos",'Plan mensual'!G97,0)))/60</f>
        <v>11.30919</v>
      </c>
      <c r="F178" s="9">
        <f>(parametros_carros!$D$35*('Plan mensual'!H90+IF(parametros_carros!$H$35="Todos",'Plan mensual'!H94,0))+parametros_carros!$E$35*('Plan mensual'!H91+IF(parametros_carros!$H$35="Todos",'Plan mensual'!H95,0))+parametros_carros!$F$35*('Plan mensual'!H92+IF(parametros_carros!$H$35="Todos",'Plan mensual'!H96,0))+parametros_carros!$G$35*('Plan mensual'!H93+IF(parametros_carros!$H$35="Todos",'Plan mensual'!H97,0)))/60</f>
        <v>11.30919</v>
      </c>
      <c r="G178" s="9">
        <f>(parametros_carros!$D$35*('Plan mensual'!I90+IF(parametros_carros!$H$35="Todos",'Plan mensual'!I94,0))+parametros_carros!$E$35*('Plan mensual'!I91+IF(parametros_carros!$H$35="Todos",'Plan mensual'!I95,0))+parametros_carros!$F$35*('Plan mensual'!I92+IF(parametros_carros!$H$35="Todos",'Plan mensual'!I96,0))+parametros_carros!$G$35*('Plan mensual'!I93+IF(parametros_carros!$H$35="Todos",'Plan mensual'!I97,0)))/60</f>
        <v>10.05261333</v>
      </c>
      <c r="H178" s="9">
        <f>(parametros_carros!$D$35*('Plan mensual'!J90+IF(parametros_carros!$H$35="Todos",'Plan mensual'!J94,0))+parametros_carros!$E$35*('Plan mensual'!J91+IF(parametros_carros!$H$35="Todos",'Plan mensual'!J95,0))+parametros_carros!$F$35*('Plan mensual'!J92+IF(parametros_carros!$H$35="Todos",'Plan mensual'!J96,0))+parametros_carros!$G$35*('Plan mensual'!J93+IF(parametros_carros!$H$35="Todos",'Plan mensual'!J97,0)))/60</f>
        <v>11.30919</v>
      </c>
      <c r="I178" s="9">
        <f>(parametros_carros!$D$35*('Plan mensual'!K90+IF(parametros_carros!$H$35="Todos",'Plan mensual'!K94,0))+parametros_carros!$E$35*('Plan mensual'!K91+IF(parametros_carros!$H$35="Todos",'Plan mensual'!K95,0))+parametros_carros!$F$35*('Plan mensual'!K92+IF(parametros_carros!$H$35="Todos",'Plan mensual'!K96,0))+parametros_carros!$G$35*('Plan mensual'!K93+IF(parametros_carros!$H$35="Todos",'Plan mensual'!K97,0)))/60</f>
        <v>11.30919</v>
      </c>
      <c r="J178" s="9">
        <f>(parametros_carros!$D$35*('Plan mensual'!L90+IF(parametros_carros!$H$35="Todos",'Plan mensual'!L94,0))+parametros_carros!$E$35*('Plan mensual'!L91+IF(parametros_carros!$H$35="Todos",'Plan mensual'!L95,0))+parametros_carros!$F$35*('Plan mensual'!L92+IF(parametros_carros!$H$35="Todos",'Plan mensual'!L96,0))+parametros_carros!$G$35*('Plan mensual'!L93+IF(parametros_carros!$H$35="Todos",'Plan mensual'!L97,0)))/60</f>
        <v>10.68090167</v>
      </c>
      <c r="K178" s="9">
        <f>(parametros_carros!$D$35*('Plan mensual'!M90+IF(parametros_carros!$H$35="Todos",'Plan mensual'!M94,0))+parametros_carros!$E$35*('Plan mensual'!M91+IF(parametros_carros!$H$35="Todos",'Plan mensual'!M95,0))+parametros_carros!$F$35*('Plan mensual'!M92+IF(parametros_carros!$H$35="Todos",'Plan mensual'!M96,0))+parametros_carros!$G$35*('Plan mensual'!M93+IF(parametros_carros!$H$35="Todos",'Plan mensual'!M97,0)))/60</f>
        <v>9.424325</v>
      </c>
      <c r="L178" s="9">
        <f>(parametros_carros!$D$35*('Plan mensual'!N90+IF(parametros_carros!$H$35="Todos",'Plan mensual'!N94,0))+parametros_carros!$E$35*('Plan mensual'!N91+IF(parametros_carros!$H$35="Todos",'Plan mensual'!N95,0))+parametros_carros!$F$35*('Plan mensual'!N92+IF(parametros_carros!$H$35="Todos",'Plan mensual'!N96,0))+parametros_carros!$G$35*('Plan mensual'!N93+IF(parametros_carros!$H$35="Todos",'Plan mensual'!N97,0)))/60</f>
        <v>8.796036667</v>
      </c>
      <c r="M178" s="9">
        <f>(parametros_carros!$D$35*('Plan mensual'!O90+IF(parametros_carros!$H$35="Todos",'Plan mensual'!O94,0))+parametros_carros!$E$35*('Plan mensual'!O91+IF(parametros_carros!$H$35="Todos",'Plan mensual'!O95,0))+parametros_carros!$F$35*('Plan mensual'!O92+IF(parametros_carros!$H$35="Todos",'Plan mensual'!O96,0))+parametros_carros!$G$35*('Plan mensual'!O93+IF(parametros_carros!$H$35="Todos",'Plan mensual'!O97,0)))/60</f>
        <v>10.05261333</v>
      </c>
      <c r="N178" s="9">
        <f t="shared" si="25"/>
        <v>125.6576667</v>
      </c>
      <c r="O178" s="9">
        <f t="shared" si="26"/>
        <v>11.30919</v>
      </c>
      <c r="P178" s="32">
        <f>IF(parametros_carros!$B$7=0,0,(O178+parametros_carros!$G$61)/parametros_carros!$B$7)</f>
        <v>0.4456168222</v>
      </c>
      <c r="Q178" s="21" t="str">
        <f t="shared" si="27"/>
        <v>Mar</v>
      </c>
    </row>
    <row r="179" ht="14.25" customHeight="1">
      <c r="A179" s="2" t="str">
        <f>parametros_carros!$B$36</f>
        <v>Depósito de producto terminado y despacho</v>
      </c>
      <c r="B179" s="9">
        <f>(parametros_carros!$D$36*('Plan mensual'!D90+IF(parametros_carros!$H$36="Todos",'Plan mensual'!D94,0))+parametros_carros!$E$36*('Plan mensual'!D91+IF(parametros_carros!$H$36="Todos",'Plan mensual'!D95,0))+parametros_carros!$F$36*('Plan mensual'!D92+IF(parametros_carros!$H$36="Todos",'Plan mensual'!D96,0))+parametros_carros!$G$36*('Plan mensual'!D93+IF(parametros_carros!$H$36="Todos",'Plan mensual'!D97,0)))/60</f>
        <v>5.166866667</v>
      </c>
      <c r="C179" s="9">
        <f>(parametros_carros!$D$36*('Plan mensual'!E90+IF(parametros_carros!$H$36="Todos",'Plan mensual'!E94,0))+parametros_carros!$E$36*('Plan mensual'!E91+IF(parametros_carros!$H$36="Todos",'Plan mensual'!E95,0))+parametros_carros!$F$36*('Plan mensual'!E92+IF(parametros_carros!$H$36="Todos",'Plan mensual'!E96,0))+parametros_carros!$G$36*('Plan mensual'!E93+IF(parametros_carros!$H$36="Todos",'Plan mensual'!E97,0)))/60</f>
        <v>4.559</v>
      </c>
      <c r="D179" s="9">
        <f>(parametros_carros!$D$36*('Plan mensual'!F90+IF(parametros_carros!$H$36="Todos",'Plan mensual'!F94,0))+parametros_carros!$E$36*('Plan mensual'!F91+IF(parametros_carros!$H$36="Todos",'Plan mensual'!F95,0))+parametros_carros!$F$36*('Plan mensual'!F92+IF(parametros_carros!$H$36="Todos",'Plan mensual'!F96,0))+parametros_carros!$G$36*('Plan mensual'!F93+IF(parametros_carros!$H$36="Todos",'Plan mensual'!F97,0)))/60</f>
        <v>5.4708</v>
      </c>
      <c r="E179" s="9">
        <f>(parametros_carros!$D$36*('Plan mensual'!G90+IF(parametros_carros!$H$36="Todos",'Plan mensual'!G94,0))+parametros_carros!$E$36*('Plan mensual'!G91+IF(parametros_carros!$H$36="Todos",'Plan mensual'!G95,0))+parametros_carros!$F$36*('Plan mensual'!G92+IF(parametros_carros!$H$36="Todos",'Plan mensual'!G96,0))+parametros_carros!$G$36*('Plan mensual'!G93+IF(parametros_carros!$H$36="Todos",'Plan mensual'!G97,0)))/60</f>
        <v>5.4708</v>
      </c>
      <c r="F179" s="9">
        <f>(parametros_carros!$D$36*('Plan mensual'!H90+IF(parametros_carros!$H$36="Todos",'Plan mensual'!H94,0))+parametros_carros!$E$36*('Plan mensual'!H91+IF(parametros_carros!$H$36="Todos",'Plan mensual'!H95,0))+parametros_carros!$F$36*('Plan mensual'!H92+IF(parametros_carros!$H$36="Todos",'Plan mensual'!H96,0))+parametros_carros!$G$36*('Plan mensual'!H93+IF(parametros_carros!$H$36="Todos",'Plan mensual'!H97,0)))/60</f>
        <v>5.4708</v>
      </c>
      <c r="G179" s="9">
        <f>(parametros_carros!$D$36*('Plan mensual'!I90+IF(parametros_carros!$H$36="Todos",'Plan mensual'!I94,0))+parametros_carros!$E$36*('Plan mensual'!I91+IF(parametros_carros!$H$36="Todos",'Plan mensual'!I95,0))+parametros_carros!$F$36*('Plan mensual'!I92+IF(parametros_carros!$H$36="Todos",'Plan mensual'!I96,0))+parametros_carros!$G$36*('Plan mensual'!I93+IF(parametros_carros!$H$36="Todos",'Plan mensual'!I97,0)))/60</f>
        <v>4.862933333</v>
      </c>
      <c r="H179" s="9">
        <f>(parametros_carros!$D$36*('Plan mensual'!J90+IF(parametros_carros!$H$36="Todos",'Plan mensual'!J94,0))+parametros_carros!$E$36*('Plan mensual'!J91+IF(parametros_carros!$H$36="Todos",'Plan mensual'!J95,0))+parametros_carros!$F$36*('Plan mensual'!J92+IF(parametros_carros!$H$36="Todos",'Plan mensual'!J96,0))+parametros_carros!$G$36*('Plan mensual'!J93+IF(parametros_carros!$H$36="Todos",'Plan mensual'!J97,0)))/60</f>
        <v>5.4708</v>
      </c>
      <c r="I179" s="9">
        <f>(parametros_carros!$D$36*('Plan mensual'!K90+IF(parametros_carros!$H$36="Todos",'Plan mensual'!K94,0))+parametros_carros!$E$36*('Plan mensual'!K91+IF(parametros_carros!$H$36="Todos",'Plan mensual'!K95,0))+parametros_carros!$F$36*('Plan mensual'!K92+IF(parametros_carros!$H$36="Todos",'Plan mensual'!K96,0))+parametros_carros!$G$36*('Plan mensual'!K93+IF(parametros_carros!$H$36="Todos",'Plan mensual'!K97,0)))/60</f>
        <v>5.4708</v>
      </c>
      <c r="J179" s="9">
        <f>(parametros_carros!$D$36*('Plan mensual'!L90+IF(parametros_carros!$H$36="Todos",'Plan mensual'!L94,0))+parametros_carros!$E$36*('Plan mensual'!L91+IF(parametros_carros!$H$36="Todos",'Plan mensual'!L95,0))+parametros_carros!$F$36*('Plan mensual'!L92+IF(parametros_carros!$H$36="Todos",'Plan mensual'!L96,0))+parametros_carros!$G$36*('Plan mensual'!L93+IF(parametros_carros!$H$36="Todos",'Plan mensual'!L97,0)))/60</f>
        <v>5.166866667</v>
      </c>
      <c r="K179" s="9">
        <f>(parametros_carros!$D$36*('Plan mensual'!M90+IF(parametros_carros!$H$36="Todos",'Plan mensual'!M94,0))+parametros_carros!$E$36*('Plan mensual'!M91+IF(parametros_carros!$H$36="Todos",'Plan mensual'!M95,0))+parametros_carros!$F$36*('Plan mensual'!M92+IF(parametros_carros!$H$36="Todos",'Plan mensual'!M96,0))+parametros_carros!$G$36*('Plan mensual'!M93+IF(parametros_carros!$H$36="Todos",'Plan mensual'!M97,0)))/60</f>
        <v>4.559</v>
      </c>
      <c r="L179" s="9">
        <f>(parametros_carros!$D$36*('Plan mensual'!N90+IF(parametros_carros!$H$36="Todos",'Plan mensual'!N94,0))+parametros_carros!$E$36*('Plan mensual'!N91+IF(parametros_carros!$H$36="Todos",'Plan mensual'!N95,0))+parametros_carros!$F$36*('Plan mensual'!N92+IF(parametros_carros!$H$36="Todos",'Plan mensual'!N96,0))+parametros_carros!$G$36*('Plan mensual'!N93+IF(parametros_carros!$H$36="Todos",'Plan mensual'!N97,0)))/60</f>
        <v>4.255066667</v>
      </c>
      <c r="M179" s="9">
        <f>(parametros_carros!$D$36*('Plan mensual'!O90+IF(parametros_carros!$H$36="Todos",'Plan mensual'!O94,0))+parametros_carros!$E$36*('Plan mensual'!O91+IF(parametros_carros!$H$36="Todos",'Plan mensual'!O95,0))+parametros_carros!$F$36*('Plan mensual'!O92+IF(parametros_carros!$H$36="Todos",'Plan mensual'!O96,0))+parametros_carros!$G$36*('Plan mensual'!O93+IF(parametros_carros!$H$36="Todos",'Plan mensual'!O97,0)))/60</f>
        <v>4.862933333</v>
      </c>
      <c r="N179" s="9">
        <f t="shared" si="25"/>
        <v>60.78666667</v>
      </c>
      <c r="O179" s="9">
        <f t="shared" si="26"/>
        <v>5.4708</v>
      </c>
      <c r="P179" s="32">
        <f>IF(parametros_carros!$B$7=0,0,(O179+parametros_carros!$G$62)/parametros_carros!$B$7)</f>
        <v>0.05869422222</v>
      </c>
      <c r="Q179" s="21" t="str">
        <f t="shared" si="27"/>
        <v>Mar</v>
      </c>
    </row>
    <row r="180" ht="14.25" customHeight="1"/>
    <row r="181" ht="45.0" customHeight="1">
      <c r="A181" s="1" t="s">
        <v>461</v>
      </c>
      <c r="B181" s="1" t="s">
        <v>8</v>
      </c>
      <c r="C181" s="1" t="s">
        <v>9</v>
      </c>
      <c r="D181" s="1" t="s">
        <v>11</v>
      </c>
      <c r="E181" s="1" t="s">
        <v>13</v>
      </c>
      <c r="F181" s="1" t="s">
        <v>14</v>
      </c>
      <c r="G181" s="1" t="s">
        <v>15</v>
      </c>
      <c r="H181" s="1" t="s">
        <v>16</v>
      </c>
      <c r="I181" s="1" t="s">
        <v>18</v>
      </c>
      <c r="J181" s="1" t="s">
        <v>19</v>
      </c>
      <c r="K181" s="1" t="s">
        <v>20</v>
      </c>
      <c r="L181" s="1" t="s">
        <v>21</v>
      </c>
      <c r="M181" s="1" t="s">
        <v>22</v>
      </c>
      <c r="N181" s="1" t="s">
        <v>32</v>
      </c>
      <c r="O181" s="1" t="s">
        <v>33</v>
      </c>
      <c r="P181" s="1" t="s">
        <v>34</v>
      </c>
      <c r="Q181" s="1" t="s">
        <v>36</v>
      </c>
    </row>
    <row r="182" ht="14.25" customHeight="1">
      <c r="A182" s="2" t="str">
        <f>parametros_carros!$B$19</f>
        <v>Recepción de materia prima</v>
      </c>
      <c r="B182" s="9">
        <f>(parametros_carros!$D$19*('Plan mensual'!D101+IF(parametros_carros!$H$19="Todos",'Plan mensual'!D105,0))+parametros_carros!$E$19*('Plan mensual'!D102+IF(parametros_carros!$H$19="Todos",'Plan mensual'!D106,0))+parametros_carros!$F$19*('Plan mensual'!D103+IF(parametros_carros!$H$19="Todos",'Plan mensual'!D107,0))+parametros_carros!$G$19*('Plan mensual'!D104+IF(parametros_carros!$H$19="Todos",'Plan mensual'!D108,0)))/60</f>
        <v>7.828145833</v>
      </c>
      <c r="C182" s="9">
        <f>(parametros_carros!$D$19*('Plan mensual'!E101+IF(parametros_carros!$H$19="Todos",'Plan mensual'!E105,0))+parametros_carros!$E$19*('Plan mensual'!E102+IF(parametros_carros!$H$19="Todos",'Plan mensual'!E106,0))+parametros_carros!$F$19*('Plan mensual'!E103+IF(parametros_carros!$H$19="Todos",'Plan mensual'!E107,0))+parametros_carros!$G$19*('Plan mensual'!E104+IF(parametros_carros!$H$19="Todos",'Plan mensual'!E108,0)))/60</f>
        <v>6.9071875</v>
      </c>
      <c r="D182" s="9">
        <f>(parametros_carros!$D$19*('Plan mensual'!F101+IF(parametros_carros!$H$19="Todos",'Plan mensual'!F105,0))+parametros_carros!$E$19*('Plan mensual'!F102+IF(parametros_carros!$H$19="Todos",'Plan mensual'!F106,0))+parametros_carros!$F$19*('Plan mensual'!F103+IF(parametros_carros!$H$19="Todos",'Plan mensual'!F107,0))+parametros_carros!$G$19*('Plan mensual'!F104+IF(parametros_carros!$H$19="Todos",'Plan mensual'!F108,0)))/60</f>
        <v>8.288625</v>
      </c>
      <c r="E182" s="9">
        <f>(parametros_carros!$D$19*('Plan mensual'!G101+IF(parametros_carros!$H$19="Todos",'Plan mensual'!G105,0))+parametros_carros!$E$19*('Plan mensual'!G102+IF(parametros_carros!$H$19="Todos",'Plan mensual'!G106,0))+parametros_carros!$F$19*('Plan mensual'!G103+IF(parametros_carros!$H$19="Todos",'Plan mensual'!G107,0))+parametros_carros!$G$19*('Plan mensual'!G104+IF(parametros_carros!$H$19="Todos",'Plan mensual'!G108,0)))/60</f>
        <v>8.288625</v>
      </c>
      <c r="F182" s="9">
        <f>(parametros_carros!$D$19*('Plan mensual'!H101+IF(parametros_carros!$H$19="Todos",'Plan mensual'!H105,0))+parametros_carros!$E$19*('Plan mensual'!H102+IF(parametros_carros!$H$19="Todos",'Plan mensual'!H106,0))+parametros_carros!$F$19*('Plan mensual'!H103+IF(parametros_carros!$H$19="Todos",'Plan mensual'!H107,0))+parametros_carros!$G$19*('Plan mensual'!H104+IF(parametros_carros!$H$19="Todos",'Plan mensual'!H108,0)))/60</f>
        <v>8.288625</v>
      </c>
      <c r="G182" s="9">
        <f>(parametros_carros!$D$19*('Plan mensual'!I101+IF(parametros_carros!$H$19="Todos",'Plan mensual'!I105,0))+parametros_carros!$E$19*('Plan mensual'!I102+IF(parametros_carros!$H$19="Todos",'Plan mensual'!I106,0))+parametros_carros!$F$19*('Plan mensual'!I103+IF(parametros_carros!$H$19="Todos",'Plan mensual'!I107,0))+parametros_carros!$G$19*('Plan mensual'!I104+IF(parametros_carros!$H$19="Todos",'Plan mensual'!I108,0)))/60</f>
        <v>7.367666667</v>
      </c>
      <c r="H182" s="9">
        <f>(parametros_carros!$D$19*('Plan mensual'!J101+IF(parametros_carros!$H$19="Todos",'Plan mensual'!J105,0))+parametros_carros!$E$19*('Plan mensual'!J102+IF(parametros_carros!$H$19="Todos",'Plan mensual'!J106,0))+parametros_carros!$F$19*('Plan mensual'!J103+IF(parametros_carros!$H$19="Todos",'Plan mensual'!J107,0))+parametros_carros!$G$19*('Plan mensual'!J104+IF(parametros_carros!$H$19="Todos",'Plan mensual'!J108,0)))/60</f>
        <v>8.288625</v>
      </c>
      <c r="I182" s="9">
        <f>(parametros_carros!$D$19*('Plan mensual'!K101+IF(parametros_carros!$H$19="Todos",'Plan mensual'!K105,0))+parametros_carros!$E$19*('Plan mensual'!K102+IF(parametros_carros!$H$19="Todos",'Plan mensual'!K106,0))+parametros_carros!$F$19*('Plan mensual'!K103+IF(parametros_carros!$H$19="Todos",'Plan mensual'!K107,0))+parametros_carros!$G$19*('Plan mensual'!K104+IF(parametros_carros!$H$19="Todos",'Plan mensual'!K108,0)))/60</f>
        <v>8.288625</v>
      </c>
      <c r="J182" s="9">
        <f>(parametros_carros!$D$19*('Plan mensual'!L101+IF(parametros_carros!$H$19="Todos",'Plan mensual'!L105,0))+parametros_carros!$E$19*('Plan mensual'!L102+IF(parametros_carros!$H$19="Todos",'Plan mensual'!L106,0))+parametros_carros!$F$19*('Plan mensual'!L103+IF(parametros_carros!$H$19="Todos",'Plan mensual'!L107,0))+parametros_carros!$G$19*('Plan mensual'!L104+IF(parametros_carros!$H$19="Todos",'Plan mensual'!L108,0)))/60</f>
        <v>7.828145833</v>
      </c>
      <c r="K182" s="9">
        <f>(parametros_carros!$D$19*('Plan mensual'!M101+IF(parametros_carros!$H$19="Todos",'Plan mensual'!M105,0))+parametros_carros!$E$19*('Plan mensual'!M102+IF(parametros_carros!$H$19="Todos",'Plan mensual'!M106,0))+parametros_carros!$F$19*('Plan mensual'!M103+IF(parametros_carros!$H$19="Todos",'Plan mensual'!M107,0))+parametros_carros!$G$19*('Plan mensual'!M104+IF(parametros_carros!$H$19="Todos",'Plan mensual'!M108,0)))/60</f>
        <v>6.9071875</v>
      </c>
      <c r="L182" s="9">
        <f>(parametros_carros!$D$19*('Plan mensual'!N101+IF(parametros_carros!$H$19="Todos",'Plan mensual'!N105,0))+parametros_carros!$E$19*('Plan mensual'!N102+IF(parametros_carros!$H$19="Todos",'Plan mensual'!N106,0))+parametros_carros!$F$19*('Plan mensual'!N103+IF(parametros_carros!$H$19="Todos",'Plan mensual'!N107,0))+parametros_carros!$G$19*('Plan mensual'!N104+IF(parametros_carros!$H$19="Todos",'Plan mensual'!N108,0)))/60</f>
        <v>6.446708333</v>
      </c>
      <c r="M182" s="9">
        <f>(parametros_carros!$D$19*('Plan mensual'!O101+IF(parametros_carros!$H$19="Todos",'Plan mensual'!O105,0))+parametros_carros!$E$19*('Plan mensual'!O102+IF(parametros_carros!$H$19="Todos",'Plan mensual'!O106,0))+parametros_carros!$F$19*('Plan mensual'!O103+IF(parametros_carros!$H$19="Todos",'Plan mensual'!O107,0))+parametros_carros!$G$19*('Plan mensual'!O104+IF(parametros_carros!$H$19="Todos",'Plan mensual'!O108,0)))/60</f>
        <v>7.367666667</v>
      </c>
      <c r="N182" s="9">
        <f t="shared" ref="N182:N199" si="28">SUM(B182:M182)</f>
        <v>92.09583333</v>
      </c>
      <c r="O182" s="9">
        <f t="shared" ref="O182:O199" si="29">MAX(B182:M182)</f>
        <v>8.288625</v>
      </c>
      <c r="P182" s="32">
        <f>IF(parametros_carros!$B$7=0,0,(O182+parametros_carros!$G$45)/parametros_carros!$B$7)</f>
        <v>0.1033686111</v>
      </c>
      <c r="Q182" s="21" t="str">
        <f t="shared" ref="Q182:Q199" si="30">IF(O182=0,"-",INDEX($B$181:$M$181,MATCH(O182,B182:M182,0)))</f>
        <v>Mar</v>
      </c>
    </row>
    <row r="183" ht="14.25" customHeight="1">
      <c r="A183" s="2" t="str">
        <f>parametros_carros!$B$20</f>
        <v>Corte de chapa (guillotina)</v>
      </c>
      <c r="B183" s="9">
        <f>(parametros_carros!$D$20*('Plan mensual'!D101+IF(parametros_carros!$H$20="Todos",'Plan mensual'!D105,0))+parametros_carros!$E$20*('Plan mensual'!D102+IF(parametros_carros!$H$20="Todos",'Plan mensual'!D106,0))+parametros_carros!$F$20*('Plan mensual'!D103+IF(parametros_carros!$H$20="Todos",'Plan mensual'!D107,0))+parametros_carros!$G$20*('Plan mensual'!D104+IF(parametros_carros!$H$20="Todos",'Plan mensual'!D108,0)))/60</f>
        <v>17.20562711</v>
      </c>
      <c r="C183" s="9">
        <f>(parametros_carros!$D$20*('Plan mensual'!E101+IF(parametros_carros!$H$20="Todos",'Plan mensual'!E105,0))+parametros_carros!$E$20*('Plan mensual'!E102+IF(parametros_carros!$H$20="Todos",'Plan mensual'!E106,0))+parametros_carros!$F$20*('Plan mensual'!E103+IF(parametros_carros!$H$20="Todos",'Plan mensual'!E107,0))+parametros_carros!$G$20*('Plan mensual'!E104+IF(parametros_carros!$H$20="Todos",'Plan mensual'!E108,0)))/60</f>
        <v>15.18143569</v>
      </c>
      <c r="D183" s="9">
        <f>(parametros_carros!$D$20*('Plan mensual'!F101+IF(parametros_carros!$H$20="Todos",'Plan mensual'!F105,0))+parametros_carros!$E$20*('Plan mensual'!F102+IF(parametros_carros!$H$20="Todos",'Plan mensual'!F106,0))+parametros_carros!$F$20*('Plan mensual'!F103+IF(parametros_carros!$H$20="Todos",'Plan mensual'!F107,0))+parametros_carros!$G$20*('Plan mensual'!F104+IF(parametros_carros!$H$20="Todos",'Plan mensual'!F108,0)))/60</f>
        <v>18.21772283</v>
      </c>
      <c r="E183" s="9">
        <f>(parametros_carros!$D$20*('Plan mensual'!G101+IF(parametros_carros!$H$20="Todos",'Plan mensual'!G105,0))+parametros_carros!$E$20*('Plan mensual'!G102+IF(parametros_carros!$H$20="Todos",'Plan mensual'!G106,0))+parametros_carros!$F$20*('Plan mensual'!G103+IF(parametros_carros!$H$20="Todos",'Plan mensual'!G107,0))+parametros_carros!$G$20*('Plan mensual'!G104+IF(parametros_carros!$H$20="Todos",'Plan mensual'!G108,0)))/60</f>
        <v>18.21772283</v>
      </c>
      <c r="F183" s="9">
        <f>(parametros_carros!$D$20*('Plan mensual'!H101+IF(parametros_carros!$H$20="Todos",'Plan mensual'!H105,0))+parametros_carros!$E$20*('Plan mensual'!H102+IF(parametros_carros!$H$20="Todos",'Plan mensual'!H106,0))+parametros_carros!$F$20*('Plan mensual'!H103+IF(parametros_carros!$H$20="Todos",'Plan mensual'!H107,0))+parametros_carros!$G$20*('Plan mensual'!H104+IF(parametros_carros!$H$20="Todos",'Plan mensual'!H108,0)))/60</f>
        <v>18.21772283</v>
      </c>
      <c r="G183" s="9">
        <f>(parametros_carros!$D$20*('Plan mensual'!I101+IF(parametros_carros!$H$20="Todos",'Plan mensual'!I105,0))+parametros_carros!$E$20*('Plan mensual'!I102+IF(parametros_carros!$H$20="Todos",'Plan mensual'!I106,0))+parametros_carros!$F$20*('Plan mensual'!I103+IF(parametros_carros!$H$20="Todos",'Plan mensual'!I107,0))+parametros_carros!$G$20*('Plan mensual'!I104+IF(parametros_carros!$H$20="Todos",'Plan mensual'!I108,0)))/60</f>
        <v>16.1935314</v>
      </c>
      <c r="H183" s="9">
        <f>(parametros_carros!$D$20*('Plan mensual'!J101+IF(parametros_carros!$H$20="Todos",'Plan mensual'!J105,0))+parametros_carros!$E$20*('Plan mensual'!J102+IF(parametros_carros!$H$20="Todos",'Plan mensual'!J106,0))+parametros_carros!$F$20*('Plan mensual'!J103+IF(parametros_carros!$H$20="Todos",'Plan mensual'!J107,0))+parametros_carros!$G$20*('Plan mensual'!J104+IF(parametros_carros!$H$20="Todos",'Plan mensual'!J108,0)))/60</f>
        <v>18.21772283</v>
      </c>
      <c r="I183" s="9">
        <f>(parametros_carros!$D$20*('Plan mensual'!K101+IF(parametros_carros!$H$20="Todos",'Plan mensual'!K105,0))+parametros_carros!$E$20*('Plan mensual'!K102+IF(parametros_carros!$H$20="Todos",'Plan mensual'!K106,0))+parametros_carros!$F$20*('Plan mensual'!K103+IF(parametros_carros!$H$20="Todos",'Plan mensual'!K107,0))+parametros_carros!$G$20*('Plan mensual'!K104+IF(parametros_carros!$H$20="Todos",'Plan mensual'!K108,0)))/60</f>
        <v>18.21772283</v>
      </c>
      <c r="J183" s="9">
        <f>(parametros_carros!$D$20*('Plan mensual'!L101+IF(parametros_carros!$H$20="Todos",'Plan mensual'!L105,0))+parametros_carros!$E$20*('Plan mensual'!L102+IF(parametros_carros!$H$20="Todos",'Plan mensual'!L106,0))+parametros_carros!$F$20*('Plan mensual'!L103+IF(parametros_carros!$H$20="Todos",'Plan mensual'!L107,0))+parametros_carros!$G$20*('Plan mensual'!L104+IF(parametros_carros!$H$20="Todos",'Plan mensual'!L108,0)))/60</f>
        <v>17.20562711</v>
      </c>
      <c r="K183" s="9">
        <f>(parametros_carros!$D$20*('Plan mensual'!M101+IF(parametros_carros!$H$20="Todos",'Plan mensual'!M105,0))+parametros_carros!$E$20*('Plan mensual'!M102+IF(parametros_carros!$H$20="Todos",'Plan mensual'!M106,0))+parametros_carros!$F$20*('Plan mensual'!M103+IF(parametros_carros!$H$20="Todos",'Plan mensual'!M107,0))+parametros_carros!$G$20*('Plan mensual'!M104+IF(parametros_carros!$H$20="Todos",'Plan mensual'!M108,0)))/60</f>
        <v>15.18143569</v>
      </c>
      <c r="L183" s="9">
        <f>(parametros_carros!$D$20*('Plan mensual'!N101+IF(parametros_carros!$H$20="Todos",'Plan mensual'!N105,0))+parametros_carros!$E$20*('Plan mensual'!N102+IF(parametros_carros!$H$20="Todos",'Plan mensual'!N106,0))+parametros_carros!$F$20*('Plan mensual'!N103+IF(parametros_carros!$H$20="Todos",'Plan mensual'!N107,0))+parametros_carros!$G$20*('Plan mensual'!N104+IF(parametros_carros!$H$20="Todos",'Plan mensual'!N108,0)))/60</f>
        <v>14.16933998</v>
      </c>
      <c r="M183" s="9">
        <f>(parametros_carros!$D$20*('Plan mensual'!O101+IF(parametros_carros!$H$20="Todos",'Plan mensual'!O105,0))+parametros_carros!$E$20*('Plan mensual'!O102+IF(parametros_carros!$H$20="Todos",'Plan mensual'!O106,0))+parametros_carros!$F$20*('Plan mensual'!O103+IF(parametros_carros!$H$20="Todos",'Plan mensual'!O107,0))+parametros_carros!$G$20*('Plan mensual'!O104+IF(parametros_carros!$H$20="Todos",'Plan mensual'!O108,0)))/60</f>
        <v>16.1935314</v>
      </c>
      <c r="N183" s="9">
        <f t="shared" si="28"/>
        <v>202.4191425</v>
      </c>
      <c r="O183" s="9">
        <f t="shared" si="29"/>
        <v>18.21772283</v>
      </c>
      <c r="P183" s="32">
        <f>IF(parametros_carros!$B$7=0,0,(O183+parametros_carros!$G$46)/parametros_carros!$B$7)</f>
        <v>0.1836737077</v>
      </c>
      <c r="Q183" s="21" t="str">
        <f t="shared" si="30"/>
        <v>Mar</v>
      </c>
    </row>
    <row r="184" ht="14.25" customHeight="1">
      <c r="A184" s="2" t="str">
        <f>parametros_carros!$B$21</f>
        <v>Marcado del cuerpo</v>
      </c>
      <c r="B184" s="9">
        <f>(parametros_carros!$D$21*('Plan mensual'!D101+IF(parametros_carros!$H$21="Todos",'Plan mensual'!D105,0))+parametros_carros!$E$21*('Plan mensual'!D102+IF(parametros_carros!$H$21="Todos",'Plan mensual'!D106,0))+parametros_carros!$F$21*('Plan mensual'!D103+IF(parametros_carros!$H$21="Todos",'Plan mensual'!D107,0))+parametros_carros!$G$21*('Plan mensual'!D104+IF(parametros_carros!$H$21="Todos",'Plan mensual'!D108,0)))/60</f>
        <v>6.851</v>
      </c>
      <c r="C184" s="9">
        <f>(parametros_carros!$D$21*('Plan mensual'!E101+IF(parametros_carros!$H$21="Todos",'Plan mensual'!E105,0))+parametros_carros!$E$21*('Plan mensual'!E102+IF(parametros_carros!$H$21="Todos",'Plan mensual'!E106,0))+parametros_carros!$F$21*('Plan mensual'!E103+IF(parametros_carros!$H$21="Todos",'Plan mensual'!E107,0))+parametros_carros!$G$21*('Plan mensual'!E104+IF(parametros_carros!$H$21="Todos",'Plan mensual'!E108,0)))/60</f>
        <v>6.045</v>
      </c>
      <c r="D184" s="9">
        <f>(parametros_carros!$D$21*('Plan mensual'!F101+IF(parametros_carros!$H$21="Todos",'Plan mensual'!F105,0))+parametros_carros!$E$21*('Plan mensual'!F102+IF(parametros_carros!$H$21="Todos",'Plan mensual'!F106,0))+parametros_carros!$F$21*('Plan mensual'!F103+IF(parametros_carros!$H$21="Todos",'Plan mensual'!F107,0))+parametros_carros!$G$21*('Plan mensual'!F104+IF(parametros_carros!$H$21="Todos",'Plan mensual'!F108,0)))/60</f>
        <v>7.254</v>
      </c>
      <c r="E184" s="9">
        <f>(parametros_carros!$D$21*('Plan mensual'!G101+IF(parametros_carros!$H$21="Todos",'Plan mensual'!G105,0))+parametros_carros!$E$21*('Plan mensual'!G102+IF(parametros_carros!$H$21="Todos",'Plan mensual'!G106,0))+parametros_carros!$F$21*('Plan mensual'!G103+IF(parametros_carros!$H$21="Todos",'Plan mensual'!G107,0))+parametros_carros!$G$21*('Plan mensual'!G104+IF(parametros_carros!$H$21="Todos",'Plan mensual'!G108,0)))/60</f>
        <v>7.254</v>
      </c>
      <c r="F184" s="9">
        <f>(parametros_carros!$D$21*('Plan mensual'!H101+IF(parametros_carros!$H$21="Todos",'Plan mensual'!H105,0))+parametros_carros!$E$21*('Plan mensual'!H102+IF(parametros_carros!$H$21="Todos",'Plan mensual'!H106,0))+parametros_carros!$F$21*('Plan mensual'!H103+IF(parametros_carros!$H$21="Todos",'Plan mensual'!H107,0))+parametros_carros!$G$21*('Plan mensual'!H104+IF(parametros_carros!$H$21="Todos",'Plan mensual'!H108,0)))/60</f>
        <v>7.254</v>
      </c>
      <c r="G184" s="9">
        <f>(parametros_carros!$D$21*('Plan mensual'!I101+IF(parametros_carros!$H$21="Todos",'Plan mensual'!I105,0))+parametros_carros!$E$21*('Plan mensual'!I102+IF(parametros_carros!$H$21="Todos",'Plan mensual'!I106,0))+parametros_carros!$F$21*('Plan mensual'!I103+IF(parametros_carros!$H$21="Todos",'Plan mensual'!I107,0))+parametros_carros!$G$21*('Plan mensual'!I104+IF(parametros_carros!$H$21="Todos",'Plan mensual'!I108,0)))/60</f>
        <v>6.448</v>
      </c>
      <c r="H184" s="9">
        <f>(parametros_carros!$D$21*('Plan mensual'!J101+IF(parametros_carros!$H$21="Todos",'Plan mensual'!J105,0))+parametros_carros!$E$21*('Plan mensual'!J102+IF(parametros_carros!$H$21="Todos",'Plan mensual'!J106,0))+parametros_carros!$F$21*('Plan mensual'!J103+IF(parametros_carros!$H$21="Todos",'Plan mensual'!J107,0))+parametros_carros!$G$21*('Plan mensual'!J104+IF(parametros_carros!$H$21="Todos",'Plan mensual'!J108,0)))/60</f>
        <v>7.254</v>
      </c>
      <c r="I184" s="9">
        <f>(parametros_carros!$D$21*('Plan mensual'!K101+IF(parametros_carros!$H$21="Todos",'Plan mensual'!K105,0))+parametros_carros!$E$21*('Plan mensual'!K102+IF(parametros_carros!$H$21="Todos",'Plan mensual'!K106,0))+parametros_carros!$F$21*('Plan mensual'!K103+IF(parametros_carros!$H$21="Todos",'Plan mensual'!K107,0))+parametros_carros!$G$21*('Plan mensual'!K104+IF(parametros_carros!$H$21="Todos",'Plan mensual'!K108,0)))/60</f>
        <v>7.254</v>
      </c>
      <c r="J184" s="9">
        <f>(parametros_carros!$D$21*('Plan mensual'!L101+IF(parametros_carros!$H$21="Todos",'Plan mensual'!L105,0))+parametros_carros!$E$21*('Plan mensual'!L102+IF(parametros_carros!$H$21="Todos",'Plan mensual'!L106,0))+parametros_carros!$F$21*('Plan mensual'!L103+IF(parametros_carros!$H$21="Todos",'Plan mensual'!L107,0))+parametros_carros!$G$21*('Plan mensual'!L104+IF(parametros_carros!$H$21="Todos",'Plan mensual'!L108,0)))/60</f>
        <v>6.851</v>
      </c>
      <c r="K184" s="9">
        <f>(parametros_carros!$D$21*('Plan mensual'!M101+IF(parametros_carros!$H$21="Todos",'Plan mensual'!M105,0))+parametros_carros!$E$21*('Plan mensual'!M102+IF(parametros_carros!$H$21="Todos",'Plan mensual'!M106,0))+parametros_carros!$F$21*('Plan mensual'!M103+IF(parametros_carros!$H$21="Todos",'Plan mensual'!M107,0))+parametros_carros!$G$21*('Plan mensual'!M104+IF(parametros_carros!$H$21="Todos",'Plan mensual'!M108,0)))/60</f>
        <v>6.045</v>
      </c>
      <c r="L184" s="9">
        <f>(parametros_carros!$D$21*('Plan mensual'!N101+IF(parametros_carros!$H$21="Todos",'Plan mensual'!N105,0))+parametros_carros!$E$21*('Plan mensual'!N102+IF(parametros_carros!$H$21="Todos",'Plan mensual'!N106,0))+parametros_carros!$F$21*('Plan mensual'!N103+IF(parametros_carros!$H$21="Todos",'Plan mensual'!N107,0))+parametros_carros!$G$21*('Plan mensual'!N104+IF(parametros_carros!$H$21="Todos",'Plan mensual'!N108,0)))/60</f>
        <v>5.642</v>
      </c>
      <c r="M184" s="9">
        <f>(parametros_carros!$D$21*('Plan mensual'!O101+IF(parametros_carros!$H$21="Todos",'Plan mensual'!O105,0))+parametros_carros!$E$21*('Plan mensual'!O102+IF(parametros_carros!$H$21="Todos",'Plan mensual'!O106,0))+parametros_carros!$F$21*('Plan mensual'!O103+IF(parametros_carros!$H$21="Todos",'Plan mensual'!O107,0))+parametros_carros!$G$21*('Plan mensual'!O104+IF(parametros_carros!$H$21="Todos",'Plan mensual'!O108,0)))/60</f>
        <v>6.448</v>
      </c>
      <c r="N184" s="9">
        <f t="shared" si="28"/>
        <v>80.6</v>
      </c>
      <c r="O184" s="9">
        <f t="shared" si="29"/>
        <v>7.254</v>
      </c>
      <c r="P184" s="32">
        <f>IF(parametros_carros!$B$7=0,0,(O184+parametros_carros!$G$47)/parametros_carros!$B$7)</f>
        <v>0.06058222222</v>
      </c>
      <c r="Q184" s="21" t="str">
        <f t="shared" si="30"/>
        <v>Mar</v>
      </c>
    </row>
    <row r="185" ht="14.25" customHeight="1">
      <c r="A185" s="2" t="str">
        <f>parametros_carros!$B$22</f>
        <v>Cilindrado</v>
      </c>
      <c r="B185" s="9">
        <f>(parametros_carros!$D$22*('Plan mensual'!D101+IF(parametros_carros!$H$22="Todos",'Plan mensual'!D105,0))+parametros_carros!$E$22*('Plan mensual'!D102+IF(parametros_carros!$H$22="Todos",'Plan mensual'!D106,0))+parametros_carros!$F$22*('Plan mensual'!D103+IF(parametros_carros!$H$22="Todos",'Plan mensual'!D107,0))+parametros_carros!$G$22*('Plan mensual'!D104+IF(parametros_carros!$H$22="Todos",'Plan mensual'!D108,0)))/60</f>
        <v>14.66173007</v>
      </c>
      <c r="C185" s="9">
        <f>(parametros_carros!$D$22*('Plan mensual'!E101+IF(parametros_carros!$H$22="Todos",'Plan mensual'!E105,0))+parametros_carros!$E$22*('Plan mensual'!E102+IF(parametros_carros!$H$22="Todos",'Plan mensual'!E106,0))+parametros_carros!$F$22*('Plan mensual'!E103+IF(parametros_carros!$H$22="Todos",'Plan mensual'!E107,0))+parametros_carros!$G$22*('Plan mensual'!E104+IF(parametros_carros!$H$22="Todos",'Plan mensual'!E108,0)))/60</f>
        <v>12.93682065</v>
      </c>
      <c r="D185" s="9">
        <f>(parametros_carros!$D$22*('Plan mensual'!F101+IF(parametros_carros!$H$22="Todos",'Plan mensual'!F105,0))+parametros_carros!$E$22*('Plan mensual'!F102+IF(parametros_carros!$H$22="Todos",'Plan mensual'!F106,0))+parametros_carros!$F$22*('Plan mensual'!F103+IF(parametros_carros!$H$22="Todos",'Plan mensual'!F107,0))+parametros_carros!$G$22*('Plan mensual'!F104+IF(parametros_carros!$H$22="Todos",'Plan mensual'!F108,0)))/60</f>
        <v>15.52418478</v>
      </c>
      <c r="E185" s="9">
        <f>(parametros_carros!$D$22*('Plan mensual'!G101+IF(parametros_carros!$H$22="Todos",'Plan mensual'!G105,0))+parametros_carros!$E$22*('Plan mensual'!G102+IF(parametros_carros!$H$22="Todos",'Plan mensual'!G106,0))+parametros_carros!$F$22*('Plan mensual'!G103+IF(parametros_carros!$H$22="Todos",'Plan mensual'!G107,0))+parametros_carros!$G$22*('Plan mensual'!G104+IF(parametros_carros!$H$22="Todos",'Plan mensual'!G108,0)))/60</f>
        <v>15.52418478</v>
      </c>
      <c r="F185" s="9">
        <f>(parametros_carros!$D$22*('Plan mensual'!H101+IF(parametros_carros!$H$22="Todos",'Plan mensual'!H105,0))+parametros_carros!$E$22*('Plan mensual'!H102+IF(parametros_carros!$H$22="Todos",'Plan mensual'!H106,0))+parametros_carros!$F$22*('Plan mensual'!H103+IF(parametros_carros!$H$22="Todos",'Plan mensual'!H107,0))+parametros_carros!$G$22*('Plan mensual'!H104+IF(parametros_carros!$H$22="Todos",'Plan mensual'!H108,0)))/60</f>
        <v>15.52418478</v>
      </c>
      <c r="G185" s="9">
        <f>(parametros_carros!$D$22*('Plan mensual'!I101+IF(parametros_carros!$H$22="Todos",'Plan mensual'!I105,0))+parametros_carros!$E$22*('Plan mensual'!I102+IF(parametros_carros!$H$22="Todos",'Plan mensual'!I106,0))+parametros_carros!$F$22*('Plan mensual'!I103+IF(parametros_carros!$H$22="Todos",'Plan mensual'!I107,0))+parametros_carros!$G$22*('Plan mensual'!I104+IF(parametros_carros!$H$22="Todos",'Plan mensual'!I108,0)))/60</f>
        <v>13.79927536</v>
      </c>
      <c r="H185" s="9">
        <f>(parametros_carros!$D$22*('Plan mensual'!J101+IF(parametros_carros!$H$22="Todos",'Plan mensual'!J105,0))+parametros_carros!$E$22*('Plan mensual'!J102+IF(parametros_carros!$H$22="Todos",'Plan mensual'!J106,0))+parametros_carros!$F$22*('Plan mensual'!J103+IF(parametros_carros!$H$22="Todos",'Plan mensual'!J107,0))+parametros_carros!$G$22*('Plan mensual'!J104+IF(parametros_carros!$H$22="Todos",'Plan mensual'!J108,0)))/60</f>
        <v>15.52418478</v>
      </c>
      <c r="I185" s="9">
        <f>(parametros_carros!$D$22*('Plan mensual'!K101+IF(parametros_carros!$H$22="Todos",'Plan mensual'!K105,0))+parametros_carros!$E$22*('Plan mensual'!K102+IF(parametros_carros!$H$22="Todos",'Plan mensual'!K106,0))+parametros_carros!$F$22*('Plan mensual'!K103+IF(parametros_carros!$H$22="Todos",'Plan mensual'!K107,0))+parametros_carros!$G$22*('Plan mensual'!K104+IF(parametros_carros!$H$22="Todos",'Plan mensual'!K108,0)))/60</f>
        <v>15.52418478</v>
      </c>
      <c r="J185" s="9">
        <f>(parametros_carros!$D$22*('Plan mensual'!L101+IF(parametros_carros!$H$22="Todos",'Plan mensual'!L105,0))+parametros_carros!$E$22*('Plan mensual'!L102+IF(parametros_carros!$H$22="Todos",'Plan mensual'!L106,0))+parametros_carros!$F$22*('Plan mensual'!L103+IF(parametros_carros!$H$22="Todos",'Plan mensual'!L107,0))+parametros_carros!$G$22*('Plan mensual'!L104+IF(parametros_carros!$H$22="Todos",'Plan mensual'!L108,0)))/60</f>
        <v>14.66173007</v>
      </c>
      <c r="K185" s="9">
        <f>(parametros_carros!$D$22*('Plan mensual'!M101+IF(parametros_carros!$H$22="Todos",'Plan mensual'!M105,0))+parametros_carros!$E$22*('Plan mensual'!M102+IF(parametros_carros!$H$22="Todos",'Plan mensual'!M106,0))+parametros_carros!$F$22*('Plan mensual'!M103+IF(parametros_carros!$H$22="Todos",'Plan mensual'!M107,0))+parametros_carros!$G$22*('Plan mensual'!M104+IF(parametros_carros!$H$22="Todos",'Plan mensual'!M108,0)))/60</f>
        <v>12.93682065</v>
      </c>
      <c r="L185" s="9">
        <f>(parametros_carros!$D$22*('Plan mensual'!N101+IF(parametros_carros!$H$22="Todos",'Plan mensual'!N105,0))+parametros_carros!$E$22*('Plan mensual'!N102+IF(parametros_carros!$H$22="Todos",'Plan mensual'!N106,0))+parametros_carros!$F$22*('Plan mensual'!N103+IF(parametros_carros!$H$22="Todos",'Plan mensual'!N107,0))+parametros_carros!$G$22*('Plan mensual'!N104+IF(parametros_carros!$H$22="Todos",'Plan mensual'!N108,0)))/60</f>
        <v>12.07436594</v>
      </c>
      <c r="M185" s="9">
        <f>(parametros_carros!$D$22*('Plan mensual'!O101+IF(parametros_carros!$H$22="Todos",'Plan mensual'!O105,0))+parametros_carros!$E$22*('Plan mensual'!O102+IF(parametros_carros!$H$22="Todos",'Plan mensual'!O106,0))+parametros_carros!$F$22*('Plan mensual'!O103+IF(parametros_carros!$H$22="Todos",'Plan mensual'!O107,0))+parametros_carros!$G$22*('Plan mensual'!O104+IF(parametros_carros!$H$22="Todos",'Plan mensual'!O108,0)))/60</f>
        <v>13.79927536</v>
      </c>
      <c r="N185" s="9">
        <f t="shared" si="28"/>
        <v>172.490942</v>
      </c>
      <c r="O185" s="9">
        <f t="shared" si="29"/>
        <v>15.52418478</v>
      </c>
      <c r="P185" s="32">
        <f>IF(parametros_carros!$B$7=0,0,(O185+parametros_carros!$G$48)/parametros_carros!$B$7)</f>
        <v>0.1434945652</v>
      </c>
      <c r="Q185" s="21" t="str">
        <f t="shared" si="30"/>
        <v>Mar</v>
      </c>
    </row>
    <row r="186" ht="14.25" customHeight="1">
      <c r="A186" s="2" t="str">
        <f>parametros_carros!$B$23</f>
        <v>Punteo del cuerpo</v>
      </c>
      <c r="B186" s="9">
        <f>(parametros_carros!$D$23*('Plan mensual'!D101+IF(parametros_carros!$H$23="Todos",'Plan mensual'!D105,0))+parametros_carros!$E$23*('Plan mensual'!D102+IF(parametros_carros!$H$23="Todos",'Plan mensual'!D106,0))+parametros_carros!$F$23*('Plan mensual'!D103+IF(parametros_carros!$H$23="Todos",'Plan mensual'!D107,0))+parametros_carros!$G$23*('Plan mensual'!D104+IF(parametros_carros!$H$23="Todos",'Plan mensual'!D108,0)))/60</f>
        <v>21.73713007</v>
      </c>
      <c r="C186" s="9">
        <f>(parametros_carros!$D$23*('Plan mensual'!E101+IF(parametros_carros!$H$23="Todos",'Plan mensual'!E105,0))+parametros_carros!$E$23*('Plan mensual'!E102+IF(parametros_carros!$H$23="Todos",'Plan mensual'!E106,0))+parametros_carros!$F$23*('Plan mensual'!E103+IF(parametros_carros!$H$23="Todos",'Plan mensual'!E107,0))+parametros_carros!$G$23*('Plan mensual'!E104+IF(parametros_carros!$H$23="Todos",'Plan mensual'!E108,0)))/60</f>
        <v>19.17982065</v>
      </c>
      <c r="D186" s="9">
        <f>(parametros_carros!$D$23*('Plan mensual'!F101+IF(parametros_carros!$H$23="Todos",'Plan mensual'!F105,0))+parametros_carros!$E$23*('Plan mensual'!F102+IF(parametros_carros!$H$23="Todos",'Plan mensual'!F106,0))+parametros_carros!$F$23*('Plan mensual'!F103+IF(parametros_carros!$H$23="Todos",'Plan mensual'!F107,0))+parametros_carros!$G$23*('Plan mensual'!F104+IF(parametros_carros!$H$23="Todos",'Plan mensual'!F108,0)))/60</f>
        <v>23.01578478</v>
      </c>
      <c r="E186" s="9">
        <f>(parametros_carros!$D$23*('Plan mensual'!G101+IF(parametros_carros!$H$23="Todos",'Plan mensual'!G105,0))+parametros_carros!$E$23*('Plan mensual'!G102+IF(parametros_carros!$H$23="Todos",'Plan mensual'!G106,0))+parametros_carros!$F$23*('Plan mensual'!G103+IF(parametros_carros!$H$23="Todos",'Plan mensual'!G107,0))+parametros_carros!$G$23*('Plan mensual'!G104+IF(parametros_carros!$H$23="Todos",'Plan mensual'!G108,0)))/60</f>
        <v>23.01578478</v>
      </c>
      <c r="F186" s="9">
        <f>(parametros_carros!$D$23*('Plan mensual'!H101+IF(parametros_carros!$H$23="Todos",'Plan mensual'!H105,0))+parametros_carros!$E$23*('Plan mensual'!H102+IF(parametros_carros!$H$23="Todos",'Plan mensual'!H106,0))+parametros_carros!$F$23*('Plan mensual'!H103+IF(parametros_carros!$H$23="Todos",'Plan mensual'!H107,0))+parametros_carros!$G$23*('Plan mensual'!H104+IF(parametros_carros!$H$23="Todos",'Plan mensual'!H108,0)))/60</f>
        <v>23.01578478</v>
      </c>
      <c r="G186" s="9">
        <f>(parametros_carros!$D$23*('Plan mensual'!I101+IF(parametros_carros!$H$23="Todos",'Plan mensual'!I105,0))+parametros_carros!$E$23*('Plan mensual'!I102+IF(parametros_carros!$H$23="Todos",'Plan mensual'!I106,0))+parametros_carros!$F$23*('Plan mensual'!I103+IF(parametros_carros!$H$23="Todos",'Plan mensual'!I107,0))+parametros_carros!$G$23*('Plan mensual'!I104+IF(parametros_carros!$H$23="Todos",'Plan mensual'!I108,0)))/60</f>
        <v>20.45847536</v>
      </c>
      <c r="H186" s="9">
        <f>(parametros_carros!$D$23*('Plan mensual'!J101+IF(parametros_carros!$H$23="Todos",'Plan mensual'!J105,0))+parametros_carros!$E$23*('Plan mensual'!J102+IF(parametros_carros!$H$23="Todos",'Plan mensual'!J106,0))+parametros_carros!$F$23*('Plan mensual'!J103+IF(parametros_carros!$H$23="Todos",'Plan mensual'!J107,0))+parametros_carros!$G$23*('Plan mensual'!J104+IF(parametros_carros!$H$23="Todos",'Plan mensual'!J108,0)))/60</f>
        <v>23.01578478</v>
      </c>
      <c r="I186" s="9">
        <f>(parametros_carros!$D$23*('Plan mensual'!K101+IF(parametros_carros!$H$23="Todos",'Plan mensual'!K105,0))+parametros_carros!$E$23*('Plan mensual'!K102+IF(parametros_carros!$H$23="Todos",'Plan mensual'!K106,0))+parametros_carros!$F$23*('Plan mensual'!K103+IF(parametros_carros!$H$23="Todos",'Plan mensual'!K107,0))+parametros_carros!$G$23*('Plan mensual'!K104+IF(parametros_carros!$H$23="Todos",'Plan mensual'!K108,0)))/60</f>
        <v>23.01578478</v>
      </c>
      <c r="J186" s="9">
        <f>(parametros_carros!$D$23*('Plan mensual'!L101+IF(parametros_carros!$H$23="Todos",'Plan mensual'!L105,0))+parametros_carros!$E$23*('Plan mensual'!L102+IF(parametros_carros!$H$23="Todos",'Plan mensual'!L106,0))+parametros_carros!$F$23*('Plan mensual'!L103+IF(parametros_carros!$H$23="Todos",'Plan mensual'!L107,0))+parametros_carros!$G$23*('Plan mensual'!L104+IF(parametros_carros!$H$23="Todos",'Plan mensual'!L108,0)))/60</f>
        <v>21.73713007</v>
      </c>
      <c r="K186" s="9">
        <f>(parametros_carros!$D$23*('Plan mensual'!M101+IF(parametros_carros!$H$23="Todos",'Plan mensual'!M105,0))+parametros_carros!$E$23*('Plan mensual'!M102+IF(parametros_carros!$H$23="Todos",'Plan mensual'!M106,0))+parametros_carros!$F$23*('Plan mensual'!M103+IF(parametros_carros!$H$23="Todos",'Plan mensual'!M107,0))+parametros_carros!$G$23*('Plan mensual'!M104+IF(parametros_carros!$H$23="Todos",'Plan mensual'!M108,0)))/60</f>
        <v>19.17982065</v>
      </c>
      <c r="L186" s="9">
        <f>(parametros_carros!$D$23*('Plan mensual'!N101+IF(parametros_carros!$H$23="Todos",'Plan mensual'!N105,0))+parametros_carros!$E$23*('Plan mensual'!N102+IF(parametros_carros!$H$23="Todos",'Plan mensual'!N106,0))+parametros_carros!$F$23*('Plan mensual'!N103+IF(parametros_carros!$H$23="Todos",'Plan mensual'!N107,0))+parametros_carros!$G$23*('Plan mensual'!N104+IF(parametros_carros!$H$23="Todos",'Plan mensual'!N108,0)))/60</f>
        <v>17.90116594</v>
      </c>
      <c r="M186" s="9">
        <f>(parametros_carros!$D$23*('Plan mensual'!O101+IF(parametros_carros!$H$23="Todos",'Plan mensual'!O105,0))+parametros_carros!$E$23*('Plan mensual'!O102+IF(parametros_carros!$H$23="Todos",'Plan mensual'!O106,0))+parametros_carros!$F$23*('Plan mensual'!O103+IF(parametros_carros!$H$23="Todos",'Plan mensual'!O107,0))+parametros_carros!$G$23*('Plan mensual'!O104+IF(parametros_carros!$H$23="Todos",'Plan mensual'!O108,0)))/60</f>
        <v>20.45847536</v>
      </c>
      <c r="N186" s="9">
        <f t="shared" si="28"/>
        <v>255.730942</v>
      </c>
      <c r="O186" s="9">
        <f t="shared" si="29"/>
        <v>23.01578478</v>
      </c>
      <c r="P186" s="32">
        <f>IF(parametros_carros!$B$7=0,0,(O186+parametros_carros!$G$49)/parametros_carros!$B$7)</f>
        <v>0.1645496763</v>
      </c>
      <c r="Q186" s="21" t="str">
        <f t="shared" si="30"/>
        <v>Mar</v>
      </c>
    </row>
    <row r="187" ht="14.25" customHeight="1">
      <c r="A187" s="2" t="str">
        <f>parametros_carros!$B$24</f>
        <v>Soldadura longitudinal</v>
      </c>
      <c r="B187" s="9">
        <f>(parametros_carros!$D$24*('Plan mensual'!D101+IF(parametros_carros!$H$24="Todos",'Plan mensual'!D105,0))+parametros_carros!$E$24*('Plan mensual'!D102+IF(parametros_carros!$H$24="Todos",'Plan mensual'!D106,0))+parametros_carros!$F$24*('Plan mensual'!D103+IF(parametros_carros!$H$24="Todos",'Plan mensual'!D107,0))+parametros_carros!$G$24*('Plan mensual'!D104+IF(parametros_carros!$H$24="Todos",'Plan mensual'!D108,0)))/60</f>
        <v>14.93506667</v>
      </c>
      <c r="C187" s="9">
        <f>(parametros_carros!$D$24*('Plan mensual'!E101+IF(parametros_carros!$H$24="Todos",'Plan mensual'!E105,0))+parametros_carros!$E$24*('Plan mensual'!E102+IF(parametros_carros!$H$24="Todos",'Plan mensual'!E106,0))+parametros_carros!$F$24*('Plan mensual'!E103+IF(parametros_carros!$H$24="Todos",'Plan mensual'!E107,0))+parametros_carros!$G$24*('Plan mensual'!E104+IF(parametros_carros!$H$24="Todos",'Plan mensual'!E108,0)))/60</f>
        <v>13.178</v>
      </c>
      <c r="D187" s="9">
        <f>(parametros_carros!$D$24*('Plan mensual'!F101+IF(parametros_carros!$H$24="Todos",'Plan mensual'!F105,0))+parametros_carros!$E$24*('Plan mensual'!F102+IF(parametros_carros!$H$24="Todos",'Plan mensual'!F106,0))+parametros_carros!$F$24*('Plan mensual'!F103+IF(parametros_carros!$H$24="Todos",'Plan mensual'!F107,0))+parametros_carros!$G$24*('Plan mensual'!F104+IF(parametros_carros!$H$24="Todos",'Plan mensual'!F108,0)))/60</f>
        <v>15.8136</v>
      </c>
      <c r="E187" s="9">
        <f>(parametros_carros!$D$24*('Plan mensual'!G101+IF(parametros_carros!$H$24="Todos",'Plan mensual'!G105,0))+parametros_carros!$E$24*('Plan mensual'!G102+IF(parametros_carros!$H$24="Todos",'Plan mensual'!G106,0))+parametros_carros!$F$24*('Plan mensual'!G103+IF(parametros_carros!$H$24="Todos",'Plan mensual'!G107,0))+parametros_carros!$G$24*('Plan mensual'!G104+IF(parametros_carros!$H$24="Todos",'Plan mensual'!G108,0)))/60</f>
        <v>15.8136</v>
      </c>
      <c r="F187" s="9">
        <f>(parametros_carros!$D$24*('Plan mensual'!H101+IF(parametros_carros!$H$24="Todos",'Plan mensual'!H105,0))+parametros_carros!$E$24*('Plan mensual'!H102+IF(parametros_carros!$H$24="Todos",'Plan mensual'!H106,0))+parametros_carros!$F$24*('Plan mensual'!H103+IF(parametros_carros!$H$24="Todos",'Plan mensual'!H107,0))+parametros_carros!$G$24*('Plan mensual'!H104+IF(parametros_carros!$H$24="Todos",'Plan mensual'!H108,0)))/60</f>
        <v>15.8136</v>
      </c>
      <c r="G187" s="9">
        <f>(parametros_carros!$D$24*('Plan mensual'!I101+IF(parametros_carros!$H$24="Todos",'Plan mensual'!I105,0))+parametros_carros!$E$24*('Plan mensual'!I102+IF(parametros_carros!$H$24="Todos",'Plan mensual'!I106,0))+parametros_carros!$F$24*('Plan mensual'!I103+IF(parametros_carros!$H$24="Todos",'Plan mensual'!I107,0))+parametros_carros!$G$24*('Plan mensual'!I104+IF(parametros_carros!$H$24="Todos",'Plan mensual'!I108,0)))/60</f>
        <v>14.05653333</v>
      </c>
      <c r="H187" s="9">
        <f>(parametros_carros!$D$24*('Plan mensual'!J101+IF(parametros_carros!$H$24="Todos",'Plan mensual'!J105,0))+parametros_carros!$E$24*('Plan mensual'!J102+IF(parametros_carros!$H$24="Todos",'Plan mensual'!J106,0))+parametros_carros!$F$24*('Plan mensual'!J103+IF(parametros_carros!$H$24="Todos",'Plan mensual'!J107,0))+parametros_carros!$G$24*('Plan mensual'!J104+IF(parametros_carros!$H$24="Todos",'Plan mensual'!J108,0)))/60</f>
        <v>15.8136</v>
      </c>
      <c r="I187" s="9">
        <f>(parametros_carros!$D$24*('Plan mensual'!K101+IF(parametros_carros!$H$24="Todos",'Plan mensual'!K105,0))+parametros_carros!$E$24*('Plan mensual'!K102+IF(parametros_carros!$H$24="Todos",'Plan mensual'!K106,0))+parametros_carros!$F$24*('Plan mensual'!K103+IF(parametros_carros!$H$24="Todos",'Plan mensual'!K107,0))+parametros_carros!$G$24*('Plan mensual'!K104+IF(parametros_carros!$H$24="Todos",'Plan mensual'!K108,0)))/60</f>
        <v>15.8136</v>
      </c>
      <c r="J187" s="9">
        <f>(parametros_carros!$D$24*('Plan mensual'!L101+IF(parametros_carros!$H$24="Todos",'Plan mensual'!L105,0))+parametros_carros!$E$24*('Plan mensual'!L102+IF(parametros_carros!$H$24="Todos",'Plan mensual'!L106,0))+parametros_carros!$F$24*('Plan mensual'!L103+IF(parametros_carros!$H$24="Todos",'Plan mensual'!L107,0))+parametros_carros!$G$24*('Plan mensual'!L104+IF(parametros_carros!$H$24="Todos",'Plan mensual'!L108,0)))/60</f>
        <v>14.93506667</v>
      </c>
      <c r="K187" s="9">
        <f>(parametros_carros!$D$24*('Plan mensual'!M101+IF(parametros_carros!$H$24="Todos",'Plan mensual'!M105,0))+parametros_carros!$E$24*('Plan mensual'!M102+IF(parametros_carros!$H$24="Todos",'Plan mensual'!M106,0))+parametros_carros!$F$24*('Plan mensual'!M103+IF(parametros_carros!$H$24="Todos",'Plan mensual'!M107,0))+parametros_carros!$G$24*('Plan mensual'!M104+IF(parametros_carros!$H$24="Todos",'Plan mensual'!M108,0)))/60</f>
        <v>13.178</v>
      </c>
      <c r="L187" s="9">
        <f>(parametros_carros!$D$24*('Plan mensual'!N101+IF(parametros_carros!$H$24="Todos",'Plan mensual'!N105,0))+parametros_carros!$E$24*('Plan mensual'!N102+IF(parametros_carros!$H$24="Todos",'Plan mensual'!N106,0))+parametros_carros!$F$24*('Plan mensual'!N103+IF(parametros_carros!$H$24="Todos",'Plan mensual'!N107,0))+parametros_carros!$G$24*('Plan mensual'!N104+IF(parametros_carros!$H$24="Todos",'Plan mensual'!N108,0)))/60</f>
        <v>12.29946667</v>
      </c>
      <c r="M187" s="9">
        <f>(parametros_carros!$D$24*('Plan mensual'!O101+IF(parametros_carros!$H$24="Todos",'Plan mensual'!O105,0))+parametros_carros!$E$24*('Plan mensual'!O102+IF(parametros_carros!$H$24="Todos",'Plan mensual'!O106,0))+parametros_carros!$F$24*('Plan mensual'!O103+IF(parametros_carros!$H$24="Todos",'Plan mensual'!O107,0))+parametros_carros!$G$24*('Plan mensual'!O104+IF(parametros_carros!$H$24="Todos",'Plan mensual'!O108,0)))/60</f>
        <v>14.05653333</v>
      </c>
      <c r="N187" s="9">
        <f t="shared" si="28"/>
        <v>175.7066667</v>
      </c>
      <c r="O187" s="9">
        <f t="shared" si="29"/>
        <v>15.8136</v>
      </c>
      <c r="P187" s="32">
        <f>IF(parametros_carros!$B$7=0,0,(O187+parametros_carros!$G$50)/parametros_carros!$B$7)</f>
        <v>0.1232017778</v>
      </c>
      <c r="Q187" s="21" t="str">
        <f t="shared" si="30"/>
        <v>Mar</v>
      </c>
    </row>
    <row r="188" ht="14.25" customHeight="1">
      <c r="A188" s="2" t="str">
        <f>parametros_carros!$B$25</f>
        <v>Soldadura de cupla en la cúpula</v>
      </c>
      <c r="B188" s="9">
        <f>(parametros_carros!$D$25*('Plan mensual'!D101+IF(parametros_carros!$H$25="Todos",'Plan mensual'!D105,0))+parametros_carros!$E$25*('Plan mensual'!D102+IF(parametros_carros!$H$25="Todos",'Plan mensual'!D106,0))+parametros_carros!$F$25*('Plan mensual'!D103+IF(parametros_carros!$H$25="Todos",'Plan mensual'!D107,0))+parametros_carros!$G$25*('Plan mensual'!D104+IF(parametros_carros!$H$25="Todos",'Plan mensual'!D108,0)))/60</f>
        <v>14.756</v>
      </c>
      <c r="C188" s="9">
        <f>(parametros_carros!$D$25*('Plan mensual'!E101+IF(parametros_carros!$H$25="Todos",'Plan mensual'!E105,0))+parametros_carros!$E$25*('Plan mensual'!E102+IF(parametros_carros!$H$25="Todos",'Plan mensual'!E106,0))+parametros_carros!$F$25*('Plan mensual'!E103+IF(parametros_carros!$H$25="Todos",'Plan mensual'!E107,0))+parametros_carros!$G$25*('Plan mensual'!E104+IF(parametros_carros!$H$25="Todos",'Plan mensual'!E108,0)))/60</f>
        <v>13.02</v>
      </c>
      <c r="D188" s="9">
        <f>(parametros_carros!$D$25*('Plan mensual'!F101+IF(parametros_carros!$H$25="Todos",'Plan mensual'!F105,0))+parametros_carros!$E$25*('Plan mensual'!F102+IF(parametros_carros!$H$25="Todos",'Plan mensual'!F106,0))+parametros_carros!$F$25*('Plan mensual'!F103+IF(parametros_carros!$H$25="Todos",'Plan mensual'!F107,0))+parametros_carros!$G$25*('Plan mensual'!F104+IF(parametros_carros!$H$25="Todos",'Plan mensual'!F108,0)))/60</f>
        <v>15.624</v>
      </c>
      <c r="E188" s="9">
        <f>(parametros_carros!$D$25*('Plan mensual'!G101+IF(parametros_carros!$H$25="Todos",'Plan mensual'!G105,0))+parametros_carros!$E$25*('Plan mensual'!G102+IF(parametros_carros!$H$25="Todos",'Plan mensual'!G106,0))+parametros_carros!$F$25*('Plan mensual'!G103+IF(parametros_carros!$H$25="Todos",'Plan mensual'!G107,0))+parametros_carros!$G$25*('Plan mensual'!G104+IF(parametros_carros!$H$25="Todos",'Plan mensual'!G108,0)))/60</f>
        <v>15.624</v>
      </c>
      <c r="F188" s="9">
        <f>(parametros_carros!$D$25*('Plan mensual'!H101+IF(parametros_carros!$H$25="Todos",'Plan mensual'!H105,0))+parametros_carros!$E$25*('Plan mensual'!H102+IF(parametros_carros!$H$25="Todos",'Plan mensual'!H106,0))+parametros_carros!$F$25*('Plan mensual'!H103+IF(parametros_carros!$H$25="Todos",'Plan mensual'!H107,0))+parametros_carros!$G$25*('Plan mensual'!H104+IF(parametros_carros!$H$25="Todos",'Plan mensual'!H108,0)))/60</f>
        <v>15.624</v>
      </c>
      <c r="G188" s="9">
        <f>(parametros_carros!$D$25*('Plan mensual'!I101+IF(parametros_carros!$H$25="Todos",'Plan mensual'!I105,0))+parametros_carros!$E$25*('Plan mensual'!I102+IF(parametros_carros!$H$25="Todos",'Plan mensual'!I106,0))+parametros_carros!$F$25*('Plan mensual'!I103+IF(parametros_carros!$H$25="Todos",'Plan mensual'!I107,0))+parametros_carros!$G$25*('Plan mensual'!I104+IF(parametros_carros!$H$25="Todos",'Plan mensual'!I108,0)))/60</f>
        <v>13.888</v>
      </c>
      <c r="H188" s="9">
        <f>(parametros_carros!$D$25*('Plan mensual'!J101+IF(parametros_carros!$H$25="Todos",'Plan mensual'!J105,0))+parametros_carros!$E$25*('Plan mensual'!J102+IF(parametros_carros!$H$25="Todos",'Plan mensual'!J106,0))+parametros_carros!$F$25*('Plan mensual'!J103+IF(parametros_carros!$H$25="Todos",'Plan mensual'!J107,0))+parametros_carros!$G$25*('Plan mensual'!J104+IF(parametros_carros!$H$25="Todos",'Plan mensual'!J108,0)))/60</f>
        <v>15.624</v>
      </c>
      <c r="I188" s="9">
        <f>(parametros_carros!$D$25*('Plan mensual'!K101+IF(parametros_carros!$H$25="Todos",'Plan mensual'!K105,0))+parametros_carros!$E$25*('Plan mensual'!K102+IF(parametros_carros!$H$25="Todos",'Plan mensual'!K106,0))+parametros_carros!$F$25*('Plan mensual'!K103+IF(parametros_carros!$H$25="Todos",'Plan mensual'!K107,0))+parametros_carros!$G$25*('Plan mensual'!K104+IF(parametros_carros!$H$25="Todos",'Plan mensual'!K108,0)))/60</f>
        <v>15.624</v>
      </c>
      <c r="J188" s="9">
        <f>(parametros_carros!$D$25*('Plan mensual'!L101+IF(parametros_carros!$H$25="Todos",'Plan mensual'!L105,0))+parametros_carros!$E$25*('Plan mensual'!L102+IF(parametros_carros!$H$25="Todos",'Plan mensual'!L106,0))+parametros_carros!$F$25*('Plan mensual'!L103+IF(parametros_carros!$H$25="Todos",'Plan mensual'!L107,0))+parametros_carros!$G$25*('Plan mensual'!L104+IF(parametros_carros!$H$25="Todos",'Plan mensual'!L108,0)))/60</f>
        <v>14.756</v>
      </c>
      <c r="K188" s="9">
        <f>(parametros_carros!$D$25*('Plan mensual'!M101+IF(parametros_carros!$H$25="Todos",'Plan mensual'!M105,0))+parametros_carros!$E$25*('Plan mensual'!M102+IF(parametros_carros!$H$25="Todos",'Plan mensual'!M106,0))+parametros_carros!$F$25*('Plan mensual'!M103+IF(parametros_carros!$H$25="Todos",'Plan mensual'!M107,0))+parametros_carros!$G$25*('Plan mensual'!M104+IF(parametros_carros!$H$25="Todos",'Plan mensual'!M108,0)))/60</f>
        <v>13.02</v>
      </c>
      <c r="L188" s="9">
        <f>(parametros_carros!$D$25*('Plan mensual'!N101+IF(parametros_carros!$H$25="Todos",'Plan mensual'!N105,0))+parametros_carros!$E$25*('Plan mensual'!N102+IF(parametros_carros!$H$25="Todos",'Plan mensual'!N106,0))+parametros_carros!$F$25*('Plan mensual'!N103+IF(parametros_carros!$H$25="Todos",'Plan mensual'!N107,0))+parametros_carros!$G$25*('Plan mensual'!N104+IF(parametros_carros!$H$25="Todos",'Plan mensual'!N108,0)))/60</f>
        <v>12.152</v>
      </c>
      <c r="M188" s="9">
        <f>(parametros_carros!$D$25*('Plan mensual'!O101+IF(parametros_carros!$H$25="Todos",'Plan mensual'!O105,0))+parametros_carros!$E$25*('Plan mensual'!O102+IF(parametros_carros!$H$25="Todos",'Plan mensual'!O106,0))+parametros_carros!$F$25*('Plan mensual'!O103+IF(parametros_carros!$H$25="Todos",'Plan mensual'!O107,0))+parametros_carros!$G$25*('Plan mensual'!O104+IF(parametros_carros!$H$25="Todos",'Plan mensual'!O108,0)))/60</f>
        <v>13.888</v>
      </c>
      <c r="N188" s="9">
        <f t="shared" si="28"/>
        <v>173.6</v>
      </c>
      <c r="O188" s="9">
        <f t="shared" si="29"/>
        <v>15.624</v>
      </c>
      <c r="P188" s="32">
        <f>IF(parametros_carros!$B$7=0,0,(O188+parametros_carros!$G$51)/parametros_carros!$B$7)</f>
        <v>0.12416</v>
      </c>
      <c r="Q188" s="21" t="str">
        <f t="shared" si="30"/>
        <v>Mar</v>
      </c>
    </row>
    <row r="189" ht="14.25" customHeight="1">
      <c r="A189" s="2" t="str">
        <f>parametros_carros!$B$26</f>
        <v>Armado y soldadura circunferencial</v>
      </c>
      <c r="B189" s="9">
        <f>(parametros_carros!$D$26*('Plan mensual'!D101+IF(parametros_carros!$H$26="Todos",'Plan mensual'!D105,0))+parametros_carros!$E$26*('Plan mensual'!D102+IF(parametros_carros!$H$26="Todos",'Plan mensual'!D106,0))+parametros_carros!$F$26*('Plan mensual'!D103+IF(parametros_carros!$H$26="Todos",'Plan mensual'!D107,0))+parametros_carros!$G$26*('Plan mensual'!D104+IF(parametros_carros!$H$26="Todos",'Plan mensual'!D108,0)))/60</f>
        <v>69.78358333</v>
      </c>
      <c r="C189" s="9">
        <f>(parametros_carros!$D$26*('Plan mensual'!E101+IF(parametros_carros!$H$26="Todos",'Plan mensual'!E105,0))+parametros_carros!$E$26*('Plan mensual'!E102+IF(parametros_carros!$H$26="Todos",'Plan mensual'!E106,0))+parametros_carros!$F$26*('Plan mensual'!E103+IF(parametros_carros!$H$26="Todos",'Plan mensual'!E107,0))+parametros_carros!$G$26*('Plan mensual'!E104+IF(parametros_carros!$H$26="Todos",'Plan mensual'!E108,0)))/60</f>
        <v>61.57375</v>
      </c>
      <c r="D189" s="9">
        <f>(parametros_carros!$D$26*('Plan mensual'!F101+IF(parametros_carros!$H$26="Todos",'Plan mensual'!F105,0))+parametros_carros!$E$26*('Plan mensual'!F102+IF(parametros_carros!$H$26="Todos",'Plan mensual'!F106,0))+parametros_carros!$F$26*('Plan mensual'!F103+IF(parametros_carros!$H$26="Todos",'Plan mensual'!F107,0))+parametros_carros!$G$26*('Plan mensual'!F104+IF(parametros_carros!$H$26="Todos",'Plan mensual'!F108,0)))/60</f>
        <v>73.8885</v>
      </c>
      <c r="E189" s="9">
        <f>(parametros_carros!$D$26*('Plan mensual'!G101+IF(parametros_carros!$H$26="Todos",'Plan mensual'!G105,0))+parametros_carros!$E$26*('Plan mensual'!G102+IF(parametros_carros!$H$26="Todos",'Plan mensual'!G106,0))+parametros_carros!$F$26*('Plan mensual'!G103+IF(parametros_carros!$H$26="Todos",'Plan mensual'!G107,0))+parametros_carros!$G$26*('Plan mensual'!G104+IF(parametros_carros!$H$26="Todos",'Plan mensual'!G108,0)))/60</f>
        <v>73.8885</v>
      </c>
      <c r="F189" s="9">
        <f>(parametros_carros!$D$26*('Plan mensual'!H101+IF(parametros_carros!$H$26="Todos",'Plan mensual'!H105,0))+parametros_carros!$E$26*('Plan mensual'!H102+IF(parametros_carros!$H$26="Todos",'Plan mensual'!H106,0))+parametros_carros!$F$26*('Plan mensual'!H103+IF(parametros_carros!$H$26="Todos",'Plan mensual'!H107,0))+parametros_carros!$G$26*('Plan mensual'!H104+IF(parametros_carros!$H$26="Todos",'Plan mensual'!H108,0)))/60</f>
        <v>73.8885</v>
      </c>
      <c r="G189" s="9">
        <f>(parametros_carros!$D$26*('Plan mensual'!I101+IF(parametros_carros!$H$26="Todos",'Plan mensual'!I105,0))+parametros_carros!$E$26*('Plan mensual'!I102+IF(parametros_carros!$H$26="Todos",'Plan mensual'!I106,0))+parametros_carros!$F$26*('Plan mensual'!I103+IF(parametros_carros!$H$26="Todos",'Plan mensual'!I107,0))+parametros_carros!$G$26*('Plan mensual'!I104+IF(parametros_carros!$H$26="Todos",'Plan mensual'!I108,0)))/60</f>
        <v>65.67866667</v>
      </c>
      <c r="H189" s="9">
        <f>(parametros_carros!$D$26*('Plan mensual'!J101+IF(parametros_carros!$H$26="Todos",'Plan mensual'!J105,0))+parametros_carros!$E$26*('Plan mensual'!J102+IF(parametros_carros!$H$26="Todos",'Plan mensual'!J106,0))+parametros_carros!$F$26*('Plan mensual'!J103+IF(parametros_carros!$H$26="Todos",'Plan mensual'!J107,0))+parametros_carros!$G$26*('Plan mensual'!J104+IF(parametros_carros!$H$26="Todos",'Plan mensual'!J108,0)))/60</f>
        <v>73.8885</v>
      </c>
      <c r="I189" s="9">
        <f>(parametros_carros!$D$26*('Plan mensual'!K101+IF(parametros_carros!$H$26="Todos",'Plan mensual'!K105,0))+parametros_carros!$E$26*('Plan mensual'!K102+IF(parametros_carros!$H$26="Todos",'Plan mensual'!K106,0))+parametros_carros!$F$26*('Plan mensual'!K103+IF(parametros_carros!$H$26="Todos",'Plan mensual'!K107,0))+parametros_carros!$G$26*('Plan mensual'!K104+IF(parametros_carros!$H$26="Todos",'Plan mensual'!K108,0)))/60</f>
        <v>73.8885</v>
      </c>
      <c r="J189" s="9">
        <f>(parametros_carros!$D$26*('Plan mensual'!L101+IF(parametros_carros!$H$26="Todos",'Plan mensual'!L105,0))+parametros_carros!$E$26*('Plan mensual'!L102+IF(parametros_carros!$H$26="Todos",'Plan mensual'!L106,0))+parametros_carros!$F$26*('Plan mensual'!L103+IF(parametros_carros!$H$26="Todos",'Plan mensual'!L107,0))+parametros_carros!$G$26*('Plan mensual'!L104+IF(parametros_carros!$H$26="Todos",'Plan mensual'!L108,0)))/60</f>
        <v>69.78358333</v>
      </c>
      <c r="K189" s="9">
        <f>(parametros_carros!$D$26*('Plan mensual'!M101+IF(parametros_carros!$H$26="Todos",'Plan mensual'!M105,0))+parametros_carros!$E$26*('Plan mensual'!M102+IF(parametros_carros!$H$26="Todos",'Plan mensual'!M106,0))+parametros_carros!$F$26*('Plan mensual'!M103+IF(parametros_carros!$H$26="Todos",'Plan mensual'!M107,0))+parametros_carros!$G$26*('Plan mensual'!M104+IF(parametros_carros!$H$26="Todos",'Plan mensual'!M108,0)))/60</f>
        <v>61.57375</v>
      </c>
      <c r="L189" s="9">
        <f>(parametros_carros!$D$26*('Plan mensual'!N101+IF(parametros_carros!$H$26="Todos",'Plan mensual'!N105,0))+parametros_carros!$E$26*('Plan mensual'!N102+IF(parametros_carros!$H$26="Todos",'Plan mensual'!N106,0))+parametros_carros!$F$26*('Plan mensual'!N103+IF(parametros_carros!$H$26="Todos",'Plan mensual'!N107,0))+parametros_carros!$G$26*('Plan mensual'!N104+IF(parametros_carros!$H$26="Todos",'Plan mensual'!N108,0)))/60</f>
        <v>57.46883333</v>
      </c>
      <c r="M189" s="9">
        <f>(parametros_carros!$D$26*('Plan mensual'!O101+IF(parametros_carros!$H$26="Todos",'Plan mensual'!O105,0))+parametros_carros!$E$26*('Plan mensual'!O102+IF(parametros_carros!$H$26="Todos",'Plan mensual'!O106,0))+parametros_carros!$F$26*('Plan mensual'!O103+IF(parametros_carros!$H$26="Todos",'Plan mensual'!O107,0))+parametros_carros!$G$26*('Plan mensual'!O104+IF(parametros_carros!$H$26="Todos",'Plan mensual'!O108,0)))/60</f>
        <v>65.67866667</v>
      </c>
      <c r="N189" s="9">
        <f t="shared" si="28"/>
        <v>820.9833333</v>
      </c>
      <c r="O189" s="9">
        <f t="shared" si="29"/>
        <v>73.8885</v>
      </c>
      <c r="P189" s="32">
        <f>IF(parametros_carros!$B$7=0,0,(O189+parametros_carros!$G$52)/parametros_carros!$B$7)</f>
        <v>0.51259</v>
      </c>
      <c r="Q189" s="21" t="str">
        <f t="shared" si="30"/>
        <v>Mar</v>
      </c>
    </row>
    <row r="190" ht="14.25" customHeight="1">
      <c r="A190" s="2" t="str">
        <f>parametros_carros!$B$27</f>
        <v>Soldadura de accesorios</v>
      </c>
      <c r="B190" s="9">
        <f>(parametros_carros!$D$27*('Plan mensual'!D101+IF(parametros_carros!$H$27="Todos",'Plan mensual'!D105,0))+parametros_carros!$E$27*('Plan mensual'!D102+IF(parametros_carros!$H$27="Todos",'Plan mensual'!D106,0))+parametros_carros!$F$27*('Plan mensual'!D103+IF(parametros_carros!$H$27="Todos",'Plan mensual'!D107,0))+parametros_carros!$G$27*('Plan mensual'!D104+IF(parametros_carros!$H$27="Todos",'Plan mensual'!D108,0)))/60</f>
        <v>71.10108333</v>
      </c>
      <c r="C190" s="9">
        <f>(parametros_carros!$D$27*('Plan mensual'!E101+IF(parametros_carros!$H$27="Todos",'Plan mensual'!E105,0))+parametros_carros!$E$27*('Plan mensual'!E102+IF(parametros_carros!$H$27="Todos",'Plan mensual'!E106,0))+parametros_carros!$F$27*('Plan mensual'!E103+IF(parametros_carros!$H$27="Todos",'Plan mensual'!E107,0))+parametros_carros!$G$27*('Plan mensual'!E104+IF(parametros_carros!$H$27="Todos",'Plan mensual'!E108,0)))/60</f>
        <v>62.73625</v>
      </c>
      <c r="D190" s="9">
        <f>(parametros_carros!$D$27*('Plan mensual'!F101+IF(parametros_carros!$H$27="Todos",'Plan mensual'!F105,0))+parametros_carros!$E$27*('Plan mensual'!F102+IF(parametros_carros!$H$27="Todos",'Plan mensual'!F106,0))+parametros_carros!$F$27*('Plan mensual'!F103+IF(parametros_carros!$H$27="Todos",'Plan mensual'!F107,0))+parametros_carros!$G$27*('Plan mensual'!F104+IF(parametros_carros!$H$27="Todos",'Plan mensual'!F108,0)))/60</f>
        <v>75.2835</v>
      </c>
      <c r="E190" s="9">
        <f>(parametros_carros!$D$27*('Plan mensual'!G101+IF(parametros_carros!$H$27="Todos",'Plan mensual'!G105,0))+parametros_carros!$E$27*('Plan mensual'!G102+IF(parametros_carros!$H$27="Todos",'Plan mensual'!G106,0))+parametros_carros!$F$27*('Plan mensual'!G103+IF(parametros_carros!$H$27="Todos",'Plan mensual'!G107,0))+parametros_carros!$G$27*('Plan mensual'!G104+IF(parametros_carros!$H$27="Todos",'Plan mensual'!G108,0)))/60</f>
        <v>75.2835</v>
      </c>
      <c r="F190" s="9">
        <f>(parametros_carros!$D$27*('Plan mensual'!H101+IF(parametros_carros!$H$27="Todos",'Plan mensual'!H105,0))+parametros_carros!$E$27*('Plan mensual'!H102+IF(parametros_carros!$H$27="Todos",'Plan mensual'!H106,0))+parametros_carros!$F$27*('Plan mensual'!H103+IF(parametros_carros!$H$27="Todos",'Plan mensual'!H107,0))+parametros_carros!$G$27*('Plan mensual'!H104+IF(parametros_carros!$H$27="Todos",'Plan mensual'!H108,0)))/60</f>
        <v>75.2835</v>
      </c>
      <c r="G190" s="9">
        <f>(parametros_carros!$D$27*('Plan mensual'!I101+IF(parametros_carros!$H$27="Todos",'Plan mensual'!I105,0))+parametros_carros!$E$27*('Plan mensual'!I102+IF(parametros_carros!$H$27="Todos",'Plan mensual'!I106,0))+parametros_carros!$F$27*('Plan mensual'!I103+IF(parametros_carros!$H$27="Todos",'Plan mensual'!I107,0))+parametros_carros!$G$27*('Plan mensual'!I104+IF(parametros_carros!$H$27="Todos",'Plan mensual'!I108,0)))/60</f>
        <v>66.91866667</v>
      </c>
      <c r="H190" s="9">
        <f>(parametros_carros!$D$27*('Plan mensual'!J101+IF(parametros_carros!$H$27="Todos",'Plan mensual'!J105,0))+parametros_carros!$E$27*('Plan mensual'!J102+IF(parametros_carros!$H$27="Todos",'Plan mensual'!J106,0))+parametros_carros!$F$27*('Plan mensual'!J103+IF(parametros_carros!$H$27="Todos",'Plan mensual'!J107,0))+parametros_carros!$G$27*('Plan mensual'!J104+IF(parametros_carros!$H$27="Todos",'Plan mensual'!J108,0)))/60</f>
        <v>75.2835</v>
      </c>
      <c r="I190" s="9">
        <f>(parametros_carros!$D$27*('Plan mensual'!K101+IF(parametros_carros!$H$27="Todos",'Plan mensual'!K105,0))+parametros_carros!$E$27*('Plan mensual'!K102+IF(parametros_carros!$H$27="Todos",'Plan mensual'!K106,0))+parametros_carros!$F$27*('Plan mensual'!K103+IF(parametros_carros!$H$27="Todos",'Plan mensual'!K107,0))+parametros_carros!$G$27*('Plan mensual'!K104+IF(parametros_carros!$H$27="Todos",'Plan mensual'!K108,0)))/60</f>
        <v>75.2835</v>
      </c>
      <c r="J190" s="9">
        <f>(parametros_carros!$D$27*('Plan mensual'!L101+IF(parametros_carros!$H$27="Todos",'Plan mensual'!L105,0))+parametros_carros!$E$27*('Plan mensual'!L102+IF(parametros_carros!$H$27="Todos",'Plan mensual'!L106,0))+parametros_carros!$F$27*('Plan mensual'!L103+IF(parametros_carros!$H$27="Todos",'Plan mensual'!L107,0))+parametros_carros!$G$27*('Plan mensual'!L104+IF(parametros_carros!$H$27="Todos",'Plan mensual'!L108,0)))/60</f>
        <v>71.10108333</v>
      </c>
      <c r="K190" s="9">
        <f>(parametros_carros!$D$27*('Plan mensual'!M101+IF(parametros_carros!$H$27="Todos",'Plan mensual'!M105,0))+parametros_carros!$E$27*('Plan mensual'!M102+IF(parametros_carros!$H$27="Todos",'Plan mensual'!M106,0))+parametros_carros!$F$27*('Plan mensual'!M103+IF(parametros_carros!$H$27="Todos",'Plan mensual'!M107,0))+parametros_carros!$G$27*('Plan mensual'!M104+IF(parametros_carros!$H$27="Todos",'Plan mensual'!M108,0)))/60</f>
        <v>62.73625</v>
      </c>
      <c r="L190" s="9">
        <f>(parametros_carros!$D$27*('Plan mensual'!N101+IF(parametros_carros!$H$27="Todos",'Plan mensual'!N105,0))+parametros_carros!$E$27*('Plan mensual'!N102+IF(parametros_carros!$H$27="Todos",'Plan mensual'!N106,0))+parametros_carros!$F$27*('Plan mensual'!N103+IF(parametros_carros!$H$27="Todos",'Plan mensual'!N107,0))+parametros_carros!$G$27*('Plan mensual'!N104+IF(parametros_carros!$H$27="Todos",'Plan mensual'!N108,0)))/60</f>
        <v>58.55383333</v>
      </c>
      <c r="M190" s="9">
        <f>(parametros_carros!$D$27*('Plan mensual'!O101+IF(parametros_carros!$H$27="Todos",'Plan mensual'!O105,0))+parametros_carros!$E$27*('Plan mensual'!O102+IF(parametros_carros!$H$27="Todos",'Plan mensual'!O106,0))+parametros_carros!$F$27*('Plan mensual'!O103+IF(parametros_carros!$H$27="Todos",'Plan mensual'!O107,0))+parametros_carros!$G$27*('Plan mensual'!O104+IF(parametros_carros!$H$27="Todos",'Plan mensual'!O108,0)))/60</f>
        <v>66.91866667</v>
      </c>
      <c r="N190" s="9">
        <f t="shared" si="28"/>
        <v>836.4833333</v>
      </c>
      <c r="O190" s="9">
        <f t="shared" si="29"/>
        <v>75.2835</v>
      </c>
      <c r="P190" s="32">
        <f>IF(parametros_carros!$B$7=0,0,(O190+parametros_carros!$G$53)/parametros_carros!$B$7)</f>
        <v>0.52189</v>
      </c>
      <c r="Q190" s="21" t="str">
        <f t="shared" si="30"/>
        <v>Mar</v>
      </c>
    </row>
    <row r="191" ht="14.25" customHeight="1">
      <c r="A191" s="2" t="str">
        <f>parametros_carros!$B$28</f>
        <v>Fabricación de accesorios</v>
      </c>
      <c r="B191" s="9">
        <f>(parametros_carros!$D$28*('Plan mensual'!D101+IF(parametros_carros!$H$28="Todos",'Plan mensual'!D105,0))+parametros_carros!$E$28*('Plan mensual'!D102+IF(parametros_carros!$H$28="Todos",'Plan mensual'!D106,0))+parametros_carros!$F$28*('Plan mensual'!D103+IF(parametros_carros!$H$28="Todos",'Plan mensual'!D107,0))+parametros_carros!$G$28*('Plan mensual'!D104+IF(parametros_carros!$H$28="Todos",'Plan mensual'!D108,0)))/60</f>
        <v>48.30833333</v>
      </c>
      <c r="C191" s="9">
        <f>(parametros_carros!$D$28*('Plan mensual'!E101+IF(parametros_carros!$H$28="Todos",'Plan mensual'!E105,0))+parametros_carros!$E$28*('Plan mensual'!E102+IF(parametros_carros!$H$28="Todos",'Plan mensual'!E106,0))+parametros_carros!$F$28*('Plan mensual'!E103+IF(parametros_carros!$H$28="Todos",'Plan mensual'!E107,0))+parametros_carros!$G$28*('Plan mensual'!E104+IF(parametros_carros!$H$28="Todos",'Plan mensual'!E108,0)))/60</f>
        <v>42.625</v>
      </c>
      <c r="D191" s="9">
        <f>(parametros_carros!$D$28*('Plan mensual'!F101+IF(parametros_carros!$H$28="Todos",'Plan mensual'!F105,0))+parametros_carros!$E$28*('Plan mensual'!F102+IF(parametros_carros!$H$28="Todos",'Plan mensual'!F106,0))+parametros_carros!$F$28*('Plan mensual'!F103+IF(parametros_carros!$H$28="Todos",'Plan mensual'!F107,0))+parametros_carros!$G$28*('Plan mensual'!F104+IF(parametros_carros!$H$28="Todos",'Plan mensual'!F108,0)))/60</f>
        <v>51.15</v>
      </c>
      <c r="E191" s="9">
        <f>(parametros_carros!$D$28*('Plan mensual'!G101+IF(parametros_carros!$H$28="Todos",'Plan mensual'!G105,0))+parametros_carros!$E$28*('Plan mensual'!G102+IF(parametros_carros!$H$28="Todos",'Plan mensual'!G106,0))+parametros_carros!$F$28*('Plan mensual'!G103+IF(parametros_carros!$H$28="Todos",'Plan mensual'!G107,0))+parametros_carros!$G$28*('Plan mensual'!G104+IF(parametros_carros!$H$28="Todos",'Plan mensual'!G108,0)))/60</f>
        <v>51.15</v>
      </c>
      <c r="F191" s="9">
        <f>(parametros_carros!$D$28*('Plan mensual'!H101+IF(parametros_carros!$H$28="Todos",'Plan mensual'!H105,0))+parametros_carros!$E$28*('Plan mensual'!H102+IF(parametros_carros!$H$28="Todos",'Plan mensual'!H106,0))+parametros_carros!$F$28*('Plan mensual'!H103+IF(parametros_carros!$H$28="Todos",'Plan mensual'!H107,0))+parametros_carros!$G$28*('Plan mensual'!H104+IF(parametros_carros!$H$28="Todos",'Plan mensual'!H108,0)))/60</f>
        <v>51.15</v>
      </c>
      <c r="G191" s="9">
        <f>(parametros_carros!$D$28*('Plan mensual'!I101+IF(parametros_carros!$H$28="Todos",'Plan mensual'!I105,0))+parametros_carros!$E$28*('Plan mensual'!I102+IF(parametros_carros!$H$28="Todos",'Plan mensual'!I106,0))+parametros_carros!$F$28*('Plan mensual'!I103+IF(parametros_carros!$H$28="Todos",'Plan mensual'!I107,0))+parametros_carros!$G$28*('Plan mensual'!I104+IF(parametros_carros!$H$28="Todos",'Plan mensual'!I108,0)))/60</f>
        <v>45.46666667</v>
      </c>
      <c r="H191" s="9">
        <f>(parametros_carros!$D$28*('Plan mensual'!J101+IF(parametros_carros!$H$28="Todos",'Plan mensual'!J105,0))+parametros_carros!$E$28*('Plan mensual'!J102+IF(parametros_carros!$H$28="Todos",'Plan mensual'!J106,0))+parametros_carros!$F$28*('Plan mensual'!J103+IF(parametros_carros!$H$28="Todos",'Plan mensual'!J107,0))+parametros_carros!$G$28*('Plan mensual'!J104+IF(parametros_carros!$H$28="Todos",'Plan mensual'!J108,0)))/60</f>
        <v>51.15</v>
      </c>
      <c r="I191" s="9">
        <f>(parametros_carros!$D$28*('Plan mensual'!K101+IF(parametros_carros!$H$28="Todos",'Plan mensual'!K105,0))+parametros_carros!$E$28*('Plan mensual'!K102+IF(parametros_carros!$H$28="Todos",'Plan mensual'!K106,0))+parametros_carros!$F$28*('Plan mensual'!K103+IF(parametros_carros!$H$28="Todos",'Plan mensual'!K107,0))+parametros_carros!$G$28*('Plan mensual'!K104+IF(parametros_carros!$H$28="Todos",'Plan mensual'!K108,0)))/60</f>
        <v>51.15</v>
      </c>
      <c r="J191" s="9">
        <f>(parametros_carros!$D$28*('Plan mensual'!L101+IF(parametros_carros!$H$28="Todos",'Plan mensual'!L105,0))+parametros_carros!$E$28*('Plan mensual'!L102+IF(parametros_carros!$H$28="Todos",'Plan mensual'!L106,0))+parametros_carros!$F$28*('Plan mensual'!L103+IF(parametros_carros!$H$28="Todos",'Plan mensual'!L107,0))+parametros_carros!$G$28*('Plan mensual'!L104+IF(parametros_carros!$H$28="Todos",'Plan mensual'!L108,0)))/60</f>
        <v>48.30833333</v>
      </c>
      <c r="K191" s="9">
        <f>(parametros_carros!$D$28*('Plan mensual'!M101+IF(parametros_carros!$H$28="Todos",'Plan mensual'!M105,0))+parametros_carros!$E$28*('Plan mensual'!M102+IF(parametros_carros!$H$28="Todos",'Plan mensual'!M106,0))+parametros_carros!$F$28*('Plan mensual'!M103+IF(parametros_carros!$H$28="Todos",'Plan mensual'!M107,0))+parametros_carros!$G$28*('Plan mensual'!M104+IF(parametros_carros!$H$28="Todos",'Plan mensual'!M108,0)))/60</f>
        <v>42.625</v>
      </c>
      <c r="L191" s="9">
        <f>(parametros_carros!$D$28*('Plan mensual'!N101+IF(parametros_carros!$H$28="Todos",'Plan mensual'!N105,0))+parametros_carros!$E$28*('Plan mensual'!N102+IF(parametros_carros!$H$28="Todos",'Plan mensual'!N106,0))+parametros_carros!$F$28*('Plan mensual'!N103+IF(parametros_carros!$H$28="Todos",'Plan mensual'!N107,0))+parametros_carros!$G$28*('Plan mensual'!N104+IF(parametros_carros!$H$28="Todos",'Plan mensual'!N108,0)))/60</f>
        <v>39.78333333</v>
      </c>
      <c r="M191" s="9">
        <f>(parametros_carros!$D$28*('Plan mensual'!O101+IF(parametros_carros!$H$28="Todos",'Plan mensual'!O105,0))+parametros_carros!$E$28*('Plan mensual'!O102+IF(parametros_carros!$H$28="Todos",'Plan mensual'!O106,0))+parametros_carros!$F$28*('Plan mensual'!O103+IF(parametros_carros!$H$28="Todos",'Plan mensual'!O107,0))+parametros_carros!$G$28*('Plan mensual'!O104+IF(parametros_carros!$H$28="Todos",'Plan mensual'!O108,0)))/60</f>
        <v>45.46666667</v>
      </c>
      <c r="N191" s="9">
        <f t="shared" si="28"/>
        <v>568.3333333</v>
      </c>
      <c r="O191" s="9">
        <f t="shared" si="29"/>
        <v>51.15</v>
      </c>
      <c r="P191" s="32">
        <f>IF(parametros_carros!$B$7=0,0,(O191+parametros_carros!$G$54)/parametros_carros!$B$7)</f>
        <v>0.3743333333</v>
      </c>
      <c r="Q191" s="21" t="str">
        <f t="shared" si="30"/>
        <v>Mar</v>
      </c>
    </row>
    <row r="192" ht="14.25" customHeight="1">
      <c r="A192" s="2" t="str">
        <f>parametros_carros!$B$29</f>
        <v>Prueba hidráulica</v>
      </c>
      <c r="B192" s="9">
        <f>(parametros_carros!$D$29*('Plan mensual'!D101+IF(parametros_carros!$H$29="Todos",'Plan mensual'!D105,0))+parametros_carros!$E$29*('Plan mensual'!D102+IF(parametros_carros!$H$29="Todos",'Plan mensual'!D106,0))+parametros_carros!$F$29*('Plan mensual'!D103+IF(parametros_carros!$H$29="Todos",'Plan mensual'!D107,0))+parametros_carros!$G$29*('Plan mensual'!D104+IF(parametros_carros!$H$29="Todos",'Plan mensual'!D108,0)))/60</f>
        <v>39.43716667</v>
      </c>
      <c r="C192" s="9">
        <f>(parametros_carros!$D$29*('Plan mensual'!E101+IF(parametros_carros!$H$29="Todos",'Plan mensual'!E105,0))+parametros_carros!$E$29*('Plan mensual'!E102+IF(parametros_carros!$H$29="Todos",'Plan mensual'!E106,0))+parametros_carros!$F$29*('Plan mensual'!E103+IF(parametros_carros!$H$29="Todos",'Plan mensual'!E107,0))+parametros_carros!$G$29*('Plan mensual'!E104+IF(parametros_carros!$H$29="Todos",'Plan mensual'!E108,0)))/60</f>
        <v>34.7975</v>
      </c>
      <c r="D192" s="9">
        <f>(parametros_carros!$D$29*('Plan mensual'!F101+IF(parametros_carros!$H$29="Todos",'Plan mensual'!F105,0))+parametros_carros!$E$29*('Plan mensual'!F102+IF(parametros_carros!$H$29="Todos",'Plan mensual'!F106,0))+parametros_carros!$F$29*('Plan mensual'!F103+IF(parametros_carros!$H$29="Todos",'Plan mensual'!F107,0))+parametros_carros!$G$29*('Plan mensual'!F104+IF(parametros_carros!$H$29="Todos",'Plan mensual'!F108,0)))/60</f>
        <v>41.757</v>
      </c>
      <c r="E192" s="9">
        <f>(parametros_carros!$D$29*('Plan mensual'!G101+IF(parametros_carros!$H$29="Todos",'Plan mensual'!G105,0))+parametros_carros!$E$29*('Plan mensual'!G102+IF(parametros_carros!$H$29="Todos",'Plan mensual'!G106,0))+parametros_carros!$F$29*('Plan mensual'!G103+IF(parametros_carros!$H$29="Todos",'Plan mensual'!G107,0))+parametros_carros!$G$29*('Plan mensual'!G104+IF(parametros_carros!$H$29="Todos",'Plan mensual'!G108,0)))/60</f>
        <v>41.757</v>
      </c>
      <c r="F192" s="9">
        <f>(parametros_carros!$D$29*('Plan mensual'!H101+IF(parametros_carros!$H$29="Todos",'Plan mensual'!H105,0))+parametros_carros!$E$29*('Plan mensual'!H102+IF(parametros_carros!$H$29="Todos",'Plan mensual'!H106,0))+parametros_carros!$F$29*('Plan mensual'!H103+IF(parametros_carros!$H$29="Todos",'Plan mensual'!H107,0))+parametros_carros!$G$29*('Plan mensual'!H104+IF(parametros_carros!$H$29="Todos",'Plan mensual'!H108,0)))/60</f>
        <v>41.757</v>
      </c>
      <c r="G192" s="9">
        <f>(parametros_carros!$D$29*('Plan mensual'!I101+IF(parametros_carros!$H$29="Todos",'Plan mensual'!I105,0))+parametros_carros!$E$29*('Plan mensual'!I102+IF(parametros_carros!$H$29="Todos",'Plan mensual'!I106,0))+parametros_carros!$F$29*('Plan mensual'!I103+IF(parametros_carros!$H$29="Todos",'Plan mensual'!I107,0))+parametros_carros!$G$29*('Plan mensual'!I104+IF(parametros_carros!$H$29="Todos",'Plan mensual'!I108,0)))/60</f>
        <v>37.11733333</v>
      </c>
      <c r="H192" s="9">
        <f>(parametros_carros!$D$29*('Plan mensual'!J101+IF(parametros_carros!$H$29="Todos",'Plan mensual'!J105,0))+parametros_carros!$E$29*('Plan mensual'!J102+IF(parametros_carros!$H$29="Todos",'Plan mensual'!J106,0))+parametros_carros!$F$29*('Plan mensual'!J103+IF(parametros_carros!$H$29="Todos",'Plan mensual'!J107,0))+parametros_carros!$G$29*('Plan mensual'!J104+IF(parametros_carros!$H$29="Todos",'Plan mensual'!J108,0)))/60</f>
        <v>41.757</v>
      </c>
      <c r="I192" s="9">
        <f>(parametros_carros!$D$29*('Plan mensual'!K101+IF(parametros_carros!$H$29="Todos",'Plan mensual'!K105,0))+parametros_carros!$E$29*('Plan mensual'!K102+IF(parametros_carros!$H$29="Todos",'Plan mensual'!K106,0))+parametros_carros!$F$29*('Plan mensual'!K103+IF(parametros_carros!$H$29="Todos",'Plan mensual'!K107,0))+parametros_carros!$G$29*('Plan mensual'!K104+IF(parametros_carros!$H$29="Todos",'Plan mensual'!K108,0)))/60</f>
        <v>41.757</v>
      </c>
      <c r="J192" s="9">
        <f>(parametros_carros!$D$29*('Plan mensual'!L101+IF(parametros_carros!$H$29="Todos",'Plan mensual'!L105,0))+parametros_carros!$E$29*('Plan mensual'!L102+IF(parametros_carros!$H$29="Todos",'Plan mensual'!L106,0))+parametros_carros!$F$29*('Plan mensual'!L103+IF(parametros_carros!$H$29="Todos",'Plan mensual'!L107,0))+parametros_carros!$G$29*('Plan mensual'!L104+IF(parametros_carros!$H$29="Todos",'Plan mensual'!L108,0)))/60</f>
        <v>39.43716667</v>
      </c>
      <c r="K192" s="9">
        <f>(parametros_carros!$D$29*('Plan mensual'!M101+IF(parametros_carros!$H$29="Todos",'Plan mensual'!M105,0))+parametros_carros!$E$29*('Plan mensual'!M102+IF(parametros_carros!$H$29="Todos",'Plan mensual'!M106,0))+parametros_carros!$F$29*('Plan mensual'!M103+IF(parametros_carros!$H$29="Todos",'Plan mensual'!M107,0))+parametros_carros!$G$29*('Plan mensual'!M104+IF(parametros_carros!$H$29="Todos",'Plan mensual'!M108,0)))/60</f>
        <v>34.7975</v>
      </c>
      <c r="L192" s="9">
        <f>(parametros_carros!$D$29*('Plan mensual'!N101+IF(parametros_carros!$H$29="Todos",'Plan mensual'!N105,0))+parametros_carros!$E$29*('Plan mensual'!N102+IF(parametros_carros!$H$29="Todos",'Plan mensual'!N106,0))+parametros_carros!$F$29*('Plan mensual'!N103+IF(parametros_carros!$H$29="Todos",'Plan mensual'!N107,0))+parametros_carros!$G$29*('Plan mensual'!N104+IF(parametros_carros!$H$29="Todos",'Plan mensual'!N108,0)))/60</f>
        <v>32.47766667</v>
      </c>
      <c r="M192" s="9">
        <f>(parametros_carros!$D$29*('Plan mensual'!O101+IF(parametros_carros!$H$29="Todos",'Plan mensual'!O105,0))+parametros_carros!$E$29*('Plan mensual'!O102+IF(parametros_carros!$H$29="Todos",'Plan mensual'!O106,0))+parametros_carros!$F$29*('Plan mensual'!O103+IF(parametros_carros!$H$29="Todos",'Plan mensual'!O107,0))+parametros_carros!$G$29*('Plan mensual'!O104+IF(parametros_carros!$H$29="Todos",'Plan mensual'!O108,0)))/60</f>
        <v>37.11733333</v>
      </c>
      <c r="N192" s="9">
        <f t="shared" si="28"/>
        <v>463.9666667</v>
      </c>
      <c r="O192" s="9">
        <f t="shared" si="29"/>
        <v>41.757</v>
      </c>
      <c r="P192" s="32">
        <f>IF(parametros_carros!$B$7=0,0,(O192+parametros_carros!$G$55)/parametros_carros!$B$7)</f>
        <v>0.3006022222</v>
      </c>
      <c r="Q192" s="21" t="str">
        <f t="shared" si="30"/>
        <v>Mar</v>
      </c>
    </row>
    <row r="193" ht="14.25" customHeight="1">
      <c r="A193" s="2" t="str">
        <f>parametros_carros!$B$30</f>
        <v>Secado</v>
      </c>
      <c r="B193" s="9">
        <f>(parametros_carros!$D$30*('Plan mensual'!D101+IF(parametros_carros!$H$30="Todos",'Plan mensual'!D105,0))+parametros_carros!$E$30*('Plan mensual'!D102+IF(parametros_carros!$H$30="Todos",'Plan mensual'!D106,0))+parametros_carros!$F$30*('Plan mensual'!D103+IF(parametros_carros!$H$30="Todos",'Plan mensual'!D107,0))+parametros_carros!$G$30*('Plan mensual'!D104+IF(parametros_carros!$H$30="Todos",'Plan mensual'!D108,0)))/60</f>
        <v>44.17733333</v>
      </c>
      <c r="C193" s="9">
        <f>(parametros_carros!$D$30*('Plan mensual'!E101+IF(parametros_carros!$H$30="Todos",'Plan mensual'!E105,0))+parametros_carros!$E$30*('Plan mensual'!E102+IF(parametros_carros!$H$30="Todos",'Plan mensual'!E106,0))+parametros_carros!$F$30*('Plan mensual'!E103+IF(parametros_carros!$H$30="Todos",'Plan mensual'!E107,0))+parametros_carros!$G$30*('Plan mensual'!E104+IF(parametros_carros!$H$30="Todos",'Plan mensual'!E108,0)))/60</f>
        <v>38.98</v>
      </c>
      <c r="D193" s="9">
        <f>(parametros_carros!$D$30*('Plan mensual'!F101+IF(parametros_carros!$H$30="Todos",'Plan mensual'!F105,0))+parametros_carros!$E$30*('Plan mensual'!F102+IF(parametros_carros!$H$30="Todos",'Plan mensual'!F106,0))+parametros_carros!$F$30*('Plan mensual'!F103+IF(parametros_carros!$H$30="Todos",'Plan mensual'!F107,0))+parametros_carros!$G$30*('Plan mensual'!F104+IF(parametros_carros!$H$30="Todos",'Plan mensual'!F108,0)))/60</f>
        <v>46.776</v>
      </c>
      <c r="E193" s="9">
        <f>(parametros_carros!$D$30*('Plan mensual'!G101+IF(parametros_carros!$H$30="Todos",'Plan mensual'!G105,0))+parametros_carros!$E$30*('Plan mensual'!G102+IF(parametros_carros!$H$30="Todos",'Plan mensual'!G106,0))+parametros_carros!$F$30*('Plan mensual'!G103+IF(parametros_carros!$H$30="Todos",'Plan mensual'!G107,0))+parametros_carros!$G$30*('Plan mensual'!G104+IF(parametros_carros!$H$30="Todos",'Plan mensual'!G108,0)))/60</f>
        <v>46.776</v>
      </c>
      <c r="F193" s="9">
        <f>(parametros_carros!$D$30*('Plan mensual'!H101+IF(parametros_carros!$H$30="Todos",'Plan mensual'!H105,0))+parametros_carros!$E$30*('Plan mensual'!H102+IF(parametros_carros!$H$30="Todos",'Plan mensual'!H106,0))+parametros_carros!$F$30*('Plan mensual'!H103+IF(parametros_carros!$H$30="Todos",'Plan mensual'!H107,0))+parametros_carros!$G$30*('Plan mensual'!H104+IF(parametros_carros!$H$30="Todos",'Plan mensual'!H108,0)))/60</f>
        <v>46.776</v>
      </c>
      <c r="G193" s="9">
        <f>(parametros_carros!$D$30*('Plan mensual'!I101+IF(parametros_carros!$H$30="Todos",'Plan mensual'!I105,0))+parametros_carros!$E$30*('Plan mensual'!I102+IF(parametros_carros!$H$30="Todos",'Plan mensual'!I106,0))+parametros_carros!$F$30*('Plan mensual'!I103+IF(parametros_carros!$H$30="Todos",'Plan mensual'!I107,0))+parametros_carros!$G$30*('Plan mensual'!I104+IF(parametros_carros!$H$30="Todos",'Plan mensual'!I108,0)))/60</f>
        <v>41.57866667</v>
      </c>
      <c r="H193" s="9">
        <f>(parametros_carros!$D$30*('Plan mensual'!J101+IF(parametros_carros!$H$30="Todos",'Plan mensual'!J105,0))+parametros_carros!$E$30*('Plan mensual'!J102+IF(parametros_carros!$H$30="Todos",'Plan mensual'!J106,0))+parametros_carros!$F$30*('Plan mensual'!J103+IF(parametros_carros!$H$30="Todos",'Plan mensual'!J107,0))+parametros_carros!$G$30*('Plan mensual'!J104+IF(parametros_carros!$H$30="Todos",'Plan mensual'!J108,0)))/60</f>
        <v>46.776</v>
      </c>
      <c r="I193" s="9">
        <f>(parametros_carros!$D$30*('Plan mensual'!K101+IF(parametros_carros!$H$30="Todos",'Plan mensual'!K105,0))+parametros_carros!$E$30*('Plan mensual'!K102+IF(parametros_carros!$H$30="Todos",'Plan mensual'!K106,0))+parametros_carros!$F$30*('Plan mensual'!K103+IF(parametros_carros!$H$30="Todos",'Plan mensual'!K107,0))+parametros_carros!$G$30*('Plan mensual'!K104+IF(parametros_carros!$H$30="Todos",'Plan mensual'!K108,0)))/60</f>
        <v>46.776</v>
      </c>
      <c r="J193" s="9">
        <f>(parametros_carros!$D$30*('Plan mensual'!L101+IF(parametros_carros!$H$30="Todos",'Plan mensual'!L105,0))+parametros_carros!$E$30*('Plan mensual'!L102+IF(parametros_carros!$H$30="Todos",'Plan mensual'!L106,0))+parametros_carros!$F$30*('Plan mensual'!L103+IF(parametros_carros!$H$30="Todos",'Plan mensual'!L107,0))+parametros_carros!$G$30*('Plan mensual'!L104+IF(parametros_carros!$H$30="Todos",'Plan mensual'!L108,0)))/60</f>
        <v>44.17733333</v>
      </c>
      <c r="K193" s="9">
        <f>(parametros_carros!$D$30*('Plan mensual'!M101+IF(parametros_carros!$H$30="Todos",'Plan mensual'!M105,0))+parametros_carros!$E$30*('Plan mensual'!M102+IF(parametros_carros!$H$30="Todos",'Plan mensual'!M106,0))+parametros_carros!$F$30*('Plan mensual'!M103+IF(parametros_carros!$H$30="Todos",'Plan mensual'!M107,0))+parametros_carros!$G$30*('Plan mensual'!M104+IF(parametros_carros!$H$30="Todos",'Plan mensual'!M108,0)))/60</f>
        <v>38.98</v>
      </c>
      <c r="L193" s="9">
        <f>(parametros_carros!$D$30*('Plan mensual'!N101+IF(parametros_carros!$H$30="Todos",'Plan mensual'!N105,0))+parametros_carros!$E$30*('Plan mensual'!N102+IF(parametros_carros!$H$30="Todos",'Plan mensual'!N106,0))+parametros_carros!$F$30*('Plan mensual'!N103+IF(parametros_carros!$H$30="Todos",'Plan mensual'!N107,0))+parametros_carros!$G$30*('Plan mensual'!N104+IF(parametros_carros!$H$30="Todos",'Plan mensual'!N108,0)))/60</f>
        <v>36.38133333</v>
      </c>
      <c r="M193" s="9">
        <f>(parametros_carros!$D$30*('Plan mensual'!O101+IF(parametros_carros!$H$30="Todos",'Plan mensual'!O105,0))+parametros_carros!$E$30*('Plan mensual'!O102+IF(parametros_carros!$H$30="Todos",'Plan mensual'!O106,0))+parametros_carros!$F$30*('Plan mensual'!O103+IF(parametros_carros!$H$30="Todos",'Plan mensual'!O107,0))+parametros_carros!$G$30*('Plan mensual'!O104+IF(parametros_carros!$H$30="Todos",'Plan mensual'!O108,0)))/60</f>
        <v>41.57866667</v>
      </c>
      <c r="N193" s="9">
        <f t="shared" si="28"/>
        <v>519.7333333</v>
      </c>
      <c r="O193" s="9">
        <f t="shared" si="29"/>
        <v>46.776</v>
      </c>
      <c r="P193" s="32">
        <f>IF(parametros_carros!$B$7=0,0,(O193+parametros_carros!$G$56)/parametros_carros!$B$7)</f>
        <v>0.31184</v>
      </c>
      <c r="Q193" s="21" t="str">
        <f t="shared" si="30"/>
        <v>Mar</v>
      </c>
    </row>
    <row r="194" ht="14.25" customHeight="1">
      <c r="A194" s="2" t="str">
        <f>parametros_carros!$B$31</f>
        <v>Pulmón de despacho y carga a pintura</v>
      </c>
      <c r="B194" s="9">
        <f>(parametros_carros!$D$31*('Plan mensual'!D101+IF(parametros_carros!$H$31="Todos",'Plan mensual'!D105,0))+parametros_carros!$E$31*('Plan mensual'!D102+IF(parametros_carros!$H$31="Todos",'Plan mensual'!D106,0))+parametros_carros!$F$31*('Plan mensual'!D103+IF(parametros_carros!$H$31="Todos",'Plan mensual'!D107,0))+parametros_carros!$G$31*('Plan mensual'!D104+IF(parametros_carros!$H$31="Todos",'Plan mensual'!D108,0)))/60</f>
        <v>7.026666667</v>
      </c>
      <c r="C194" s="9">
        <f>(parametros_carros!$D$31*('Plan mensual'!E101+IF(parametros_carros!$H$31="Todos",'Plan mensual'!E105,0))+parametros_carros!$E$31*('Plan mensual'!E102+IF(parametros_carros!$H$31="Todos",'Plan mensual'!E106,0))+parametros_carros!$F$31*('Plan mensual'!E103+IF(parametros_carros!$H$31="Todos",'Plan mensual'!E107,0))+parametros_carros!$G$31*('Plan mensual'!E104+IF(parametros_carros!$H$31="Todos",'Plan mensual'!E108,0)))/60</f>
        <v>6.2</v>
      </c>
      <c r="D194" s="9">
        <f>(parametros_carros!$D$31*('Plan mensual'!F101+IF(parametros_carros!$H$31="Todos",'Plan mensual'!F105,0))+parametros_carros!$E$31*('Plan mensual'!F102+IF(parametros_carros!$H$31="Todos",'Plan mensual'!F106,0))+parametros_carros!$F$31*('Plan mensual'!F103+IF(parametros_carros!$H$31="Todos",'Plan mensual'!F107,0))+parametros_carros!$G$31*('Plan mensual'!F104+IF(parametros_carros!$H$31="Todos",'Plan mensual'!F108,0)))/60</f>
        <v>7.44</v>
      </c>
      <c r="E194" s="9">
        <f>(parametros_carros!$D$31*('Plan mensual'!G101+IF(parametros_carros!$H$31="Todos",'Plan mensual'!G105,0))+parametros_carros!$E$31*('Plan mensual'!G102+IF(parametros_carros!$H$31="Todos",'Plan mensual'!G106,0))+parametros_carros!$F$31*('Plan mensual'!G103+IF(parametros_carros!$H$31="Todos",'Plan mensual'!G107,0))+parametros_carros!$G$31*('Plan mensual'!G104+IF(parametros_carros!$H$31="Todos",'Plan mensual'!G108,0)))/60</f>
        <v>7.44</v>
      </c>
      <c r="F194" s="9">
        <f>(parametros_carros!$D$31*('Plan mensual'!H101+IF(parametros_carros!$H$31="Todos",'Plan mensual'!H105,0))+parametros_carros!$E$31*('Plan mensual'!H102+IF(parametros_carros!$H$31="Todos",'Plan mensual'!H106,0))+parametros_carros!$F$31*('Plan mensual'!H103+IF(parametros_carros!$H$31="Todos",'Plan mensual'!H107,0))+parametros_carros!$G$31*('Plan mensual'!H104+IF(parametros_carros!$H$31="Todos",'Plan mensual'!H108,0)))/60</f>
        <v>7.44</v>
      </c>
      <c r="G194" s="9">
        <f>(parametros_carros!$D$31*('Plan mensual'!I101+IF(parametros_carros!$H$31="Todos",'Plan mensual'!I105,0))+parametros_carros!$E$31*('Plan mensual'!I102+IF(parametros_carros!$H$31="Todos",'Plan mensual'!I106,0))+parametros_carros!$F$31*('Plan mensual'!I103+IF(parametros_carros!$H$31="Todos",'Plan mensual'!I107,0))+parametros_carros!$G$31*('Plan mensual'!I104+IF(parametros_carros!$H$31="Todos",'Plan mensual'!I108,0)))/60</f>
        <v>6.613333333</v>
      </c>
      <c r="H194" s="9">
        <f>(parametros_carros!$D$31*('Plan mensual'!J101+IF(parametros_carros!$H$31="Todos",'Plan mensual'!J105,0))+parametros_carros!$E$31*('Plan mensual'!J102+IF(parametros_carros!$H$31="Todos",'Plan mensual'!J106,0))+parametros_carros!$F$31*('Plan mensual'!J103+IF(parametros_carros!$H$31="Todos",'Plan mensual'!J107,0))+parametros_carros!$G$31*('Plan mensual'!J104+IF(parametros_carros!$H$31="Todos",'Plan mensual'!J108,0)))/60</f>
        <v>7.44</v>
      </c>
      <c r="I194" s="9">
        <f>(parametros_carros!$D$31*('Plan mensual'!K101+IF(parametros_carros!$H$31="Todos",'Plan mensual'!K105,0))+parametros_carros!$E$31*('Plan mensual'!K102+IF(parametros_carros!$H$31="Todos",'Plan mensual'!K106,0))+parametros_carros!$F$31*('Plan mensual'!K103+IF(parametros_carros!$H$31="Todos",'Plan mensual'!K107,0))+parametros_carros!$G$31*('Plan mensual'!K104+IF(parametros_carros!$H$31="Todos",'Plan mensual'!K108,0)))/60</f>
        <v>7.44</v>
      </c>
      <c r="J194" s="9">
        <f>(parametros_carros!$D$31*('Plan mensual'!L101+IF(parametros_carros!$H$31="Todos",'Plan mensual'!L105,0))+parametros_carros!$E$31*('Plan mensual'!L102+IF(parametros_carros!$H$31="Todos",'Plan mensual'!L106,0))+parametros_carros!$F$31*('Plan mensual'!L103+IF(parametros_carros!$H$31="Todos",'Plan mensual'!L107,0))+parametros_carros!$G$31*('Plan mensual'!L104+IF(parametros_carros!$H$31="Todos",'Plan mensual'!L108,0)))/60</f>
        <v>7.026666667</v>
      </c>
      <c r="K194" s="9">
        <f>(parametros_carros!$D$31*('Plan mensual'!M101+IF(parametros_carros!$H$31="Todos",'Plan mensual'!M105,0))+parametros_carros!$E$31*('Plan mensual'!M102+IF(parametros_carros!$H$31="Todos",'Plan mensual'!M106,0))+parametros_carros!$F$31*('Plan mensual'!M103+IF(parametros_carros!$H$31="Todos",'Plan mensual'!M107,0))+parametros_carros!$G$31*('Plan mensual'!M104+IF(parametros_carros!$H$31="Todos",'Plan mensual'!M108,0)))/60</f>
        <v>6.2</v>
      </c>
      <c r="L194" s="9">
        <f>(parametros_carros!$D$31*('Plan mensual'!N101+IF(parametros_carros!$H$31="Todos",'Plan mensual'!N105,0))+parametros_carros!$E$31*('Plan mensual'!N102+IF(parametros_carros!$H$31="Todos",'Plan mensual'!N106,0))+parametros_carros!$F$31*('Plan mensual'!N103+IF(parametros_carros!$H$31="Todos",'Plan mensual'!N107,0))+parametros_carros!$G$31*('Plan mensual'!N104+IF(parametros_carros!$H$31="Todos",'Plan mensual'!N108,0)))/60</f>
        <v>5.786666667</v>
      </c>
      <c r="M194" s="9">
        <f>(parametros_carros!$D$31*('Plan mensual'!O101+IF(parametros_carros!$H$31="Todos",'Plan mensual'!O105,0))+parametros_carros!$E$31*('Plan mensual'!O102+IF(parametros_carros!$H$31="Todos",'Plan mensual'!O106,0))+parametros_carros!$F$31*('Plan mensual'!O103+IF(parametros_carros!$H$31="Todos",'Plan mensual'!O107,0))+parametros_carros!$G$31*('Plan mensual'!O104+IF(parametros_carros!$H$31="Todos",'Plan mensual'!O108,0)))/60</f>
        <v>6.613333333</v>
      </c>
      <c r="N194" s="9">
        <f t="shared" si="28"/>
        <v>82.66666667</v>
      </c>
      <c r="O194" s="9">
        <f t="shared" si="29"/>
        <v>7.44</v>
      </c>
      <c r="P194" s="32">
        <f>IF(parametros_carros!$B$7=0,0,(O194+parametros_carros!$G$57)/parametros_carros!$B$7)</f>
        <v>0.05848888889</v>
      </c>
      <c r="Q194" s="21" t="str">
        <f t="shared" si="30"/>
        <v>Mar</v>
      </c>
    </row>
    <row r="195" ht="14.25" customHeight="1">
      <c r="A195" s="2" t="str">
        <f>parametros_carros!$B$32</f>
        <v>Recepción de pintados y cambio de juego</v>
      </c>
      <c r="B195" s="9">
        <f>(parametros_carros!$D$32*('Plan mensual'!D101+IF(parametros_carros!$H$32="Todos",'Plan mensual'!D105,0))+parametros_carros!$E$32*('Plan mensual'!D102+IF(parametros_carros!$H$32="Todos",'Plan mensual'!D106,0))+parametros_carros!$F$32*('Plan mensual'!D103+IF(parametros_carros!$H$32="Todos",'Plan mensual'!D107,0))+parametros_carros!$G$32*('Plan mensual'!D104+IF(parametros_carros!$H$32="Todos",'Plan mensual'!D108,0)))/60</f>
        <v>13.74591667</v>
      </c>
      <c r="C195" s="9">
        <f>(parametros_carros!$D$32*('Plan mensual'!E101+IF(parametros_carros!$H$32="Todos",'Plan mensual'!E105,0))+parametros_carros!$E$32*('Plan mensual'!E102+IF(parametros_carros!$H$32="Todos",'Plan mensual'!E106,0))+parametros_carros!$F$32*('Plan mensual'!E103+IF(parametros_carros!$H$32="Todos",'Plan mensual'!E107,0))+parametros_carros!$G$32*('Plan mensual'!E104+IF(parametros_carros!$H$32="Todos",'Plan mensual'!E108,0)))/60</f>
        <v>12.12875</v>
      </c>
      <c r="D195" s="9">
        <f>(parametros_carros!$D$32*('Plan mensual'!F101+IF(parametros_carros!$H$32="Todos",'Plan mensual'!F105,0))+parametros_carros!$E$32*('Plan mensual'!F102+IF(parametros_carros!$H$32="Todos",'Plan mensual'!F106,0))+parametros_carros!$F$32*('Plan mensual'!F103+IF(parametros_carros!$H$32="Todos",'Plan mensual'!F107,0))+parametros_carros!$G$32*('Plan mensual'!F104+IF(parametros_carros!$H$32="Todos",'Plan mensual'!F108,0)))/60</f>
        <v>14.5545</v>
      </c>
      <c r="E195" s="9">
        <f>(parametros_carros!$D$32*('Plan mensual'!G101+IF(parametros_carros!$H$32="Todos",'Plan mensual'!G105,0))+parametros_carros!$E$32*('Plan mensual'!G102+IF(parametros_carros!$H$32="Todos",'Plan mensual'!G106,0))+parametros_carros!$F$32*('Plan mensual'!G103+IF(parametros_carros!$H$32="Todos",'Plan mensual'!G107,0))+parametros_carros!$G$32*('Plan mensual'!G104+IF(parametros_carros!$H$32="Todos",'Plan mensual'!G108,0)))/60</f>
        <v>14.5545</v>
      </c>
      <c r="F195" s="9">
        <f>(parametros_carros!$D$32*('Plan mensual'!H101+IF(parametros_carros!$H$32="Todos",'Plan mensual'!H105,0))+parametros_carros!$E$32*('Plan mensual'!H102+IF(parametros_carros!$H$32="Todos",'Plan mensual'!H106,0))+parametros_carros!$F$32*('Plan mensual'!H103+IF(parametros_carros!$H$32="Todos",'Plan mensual'!H107,0))+parametros_carros!$G$32*('Plan mensual'!H104+IF(parametros_carros!$H$32="Todos",'Plan mensual'!H108,0)))/60</f>
        <v>14.5545</v>
      </c>
      <c r="G195" s="9">
        <f>(parametros_carros!$D$32*('Plan mensual'!I101+IF(parametros_carros!$H$32="Todos",'Plan mensual'!I105,0))+parametros_carros!$E$32*('Plan mensual'!I102+IF(parametros_carros!$H$32="Todos",'Plan mensual'!I106,0))+parametros_carros!$F$32*('Plan mensual'!I103+IF(parametros_carros!$H$32="Todos",'Plan mensual'!I107,0))+parametros_carros!$G$32*('Plan mensual'!I104+IF(parametros_carros!$H$32="Todos",'Plan mensual'!I108,0)))/60</f>
        <v>12.93733333</v>
      </c>
      <c r="H195" s="9">
        <f>(parametros_carros!$D$32*('Plan mensual'!J101+IF(parametros_carros!$H$32="Todos",'Plan mensual'!J105,0))+parametros_carros!$E$32*('Plan mensual'!J102+IF(parametros_carros!$H$32="Todos",'Plan mensual'!J106,0))+parametros_carros!$F$32*('Plan mensual'!J103+IF(parametros_carros!$H$32="Todos",'Plan mensual'!J107,0))+parametros_carros!$G$32*('Plan mensual'!J104+IF(parametros_carros!$H$32="Todos",'Plan mensual'!J108,0)))/60</f>
        <v>14.5545</v>
      </c>
      <c r="I195" s="9">
        <f>(parametros_carros!$D$32*('Plan mensual'!K101+IF(parametros_carros!$H$32="Todos",'Plan mensual'!K105,0))+parametros_carros!$E$32*('Plan mensual'!K102+IF(parametros_carros!$H$32="Todos",'Plan mensual'!K106,0))+parametros_carros!$F$32*('Plan mensual'!K103+IF(parametros_carros!$H$32="Todos",'Plan mensual'!K107,0))+parametros_carros!$G$32*('Plan mensual'!K104+IF(parametros_carros!$H$32="Todos",'Plan mensual'!K108,0)))/60</f>
        <v>14.5545</v>
      </c>
      <c r="J195" s="9">
        <f>(parametros_carros!$D$32*('Plan mensual'!L101+IF(parametros_carros!$H$32="Todos",'Plan mensual'!L105,0))+parametros_carros!$E$32*('Plan mensual'!L102+IF(parametros_carros!$H$32="Todos",'Plan mensual'!L106,0))+parametros_carros!$F$32*('Plan mensual'!L103+IF(parametros_carros!$H$32="Todos",'Plan mensual'!L107,0))+parametros_carros!$G$32*('Plan mensual'!L104+IF(parametros_carros!$H$32="Todos",'Plan mensual'!L108,0)))/60</f>
        <v>13.74591667</v>
      </c>
      <c r="K195" s="9">
        <f>(parametros_carros!$D$32*('Plan mensual'!M101+IF(parametros_carros!$H$32="Todos",'Plan mensual'!M105,0))+parametros_carros!$E$32*('Plan mensual'!M102+IF(parametros_carros!$H$32="Todos",'Plan mensual'!M106,0))+parametros_carros!$F$32*('Plan mensual'!M103+IF(parametros_carros!$H$32="Todos",'Plan mensual'!M107,0))+parametros_carros!$G$32*('Plan mensual'!M104+IF(parametros_carros!$H$32="Todos",'Plan mensual'!M108,0)))/60</f>
        <v>12.12875</v>
      </c>
      <c r="L195" s="9">
        <f>(parametros_carros!$D$32*('Plan mensual'!N101+IF(parametros_carros!$H$32="Todos",'Plan mensual'!N105,0))+parametros_carros!$E$32*('Plan mensual'!N102+IF(parametros_carros!$H$32="Todos",'Plan mensual'!N106,0))+parametros_carros!$F$32*('Plan mensual'!N103+IF(parametros_carros!$H$32="Todos",'Plan mensual'!N107,0))+parametros_carros!$G$32*('Plan mensual'!N104+IF(parametros_carros!$H$32="Todos",'Plan mensual'!N108,0)))/60</f>
        <v>11.32016667</v>
      </c>
      <c r="M195" s="9">
        <f>(parametros_carros!$D$32*('Plan mensual'!O101+IF(parametros_carros!$H$32="Todos",'Plan mensual'!O105,0))+parametros_carros!$E$32*('Plan mensual'!O102+IF(parametros_carros!$H$32="Todos",'Plan mensual'!O106,0))+parametros_carros!$F$32*('Plan mensual'!O103+IF(parametros_carros!$H$32="Todos",'Plan mensual'!O107,0))+parametros_carros!$G$32*('Plan mensual'!O104+IF(parametros_carros!$H$32="Todos",'Plan mensual'!O108,0)))/60</f>
        <v>12.93733333</v>
      </c>
      <c r="N195" s="9">
        <f t="shared" si="28"/>
        <v>161.7166667</v>
      </c>
      <c r="O195" s="9">
        <f t="shared" si="29"/>
        <v>14.5545</v>
      </c>
      <c r="P195" s="32">
        <f>IF(parametros_carros!$B$7=0,0,(O195+parametros_carros!$G$58)/parametros_carros!$B$7)</f>
        <v>0.1059188889</v>
      </c>
      <c r="Q195" s="21" t="str">
        <f t="shared" si="30"/>
        <v>Mar</v>
      </c>
    </row>
    <row r="196" ht="14.25" customHeight="1">
      <c r="A196" s="2" t="str">
        <f>parametros_carros!$B$33</f>
        <v>Carga de polvo y presurización</v>
      </c>
      <c r="B196" s="9">
        <f>(parametros_carros!$D$33*('Plan mensual'!D101+IF(parametros_carros!$H$33="Todos",'Plan mensual'!D105,0))+parametros_carros!$E$33*('Plan mensual'!D102+IF(parametros_carros!$H$33="Todos",'Plan mensual'!D106,0))+parametros_carros!$F$33*('Plan mensual'!D103+IF(parametros_carros!$H$33="Todos",'Plan mensual'!D107,0))+parametros_carros!$G$33*('Plan mensual'!D104+IF(parametros_carros!$H$33="Todos",'Plan mensual'!D108,0)))/60</f>
        <v>29.10244167</v>
      </c>
      <c r="C196" s="9">
        <f>(parametros_carros!$D$33*('Plan mensual'!E101+IF(parametros_carros!$H$33="Todos",'Plan mensual'!E105,0))+parametros_carros!$E$33*('Plan mensual'!E102+IF(parametros_carros!$H$33="Todos",'Plan mensual'!E106,0))+parametros_carros!$F$33*('Plan mensual'!E103+IF(parametros_carros!$H$33="Todos",'Plan mensual'!E107,0))+parametros_carros!$G$33*('Plan mensual'!E104+IF(parametros_carros!$H$33="Todos",'Plan mensual'!E108,0)))/60</f>
        <v>25.678625</v>
      </c>
      <c r="D196" s="9">
        <f>(parametros_carros!$D$33*('Plan mensual'!F101+IF(parametros_carros!$H$33="Todos",'Plan mensual'!F105,0))+parametros_carros!$E$33*('Plan mensual'!F102+IF(parametros_carros!$H$33="Todos",'Plan mensual'!F106,0))+parametros_carros!$F$33*('Plan mensual'!F103+IF(parametros_carros!$H$33="Todos",'Plan mensual'!F107,0))+parametros_carros!$G$33*('Plan mensual'!F104+IF(parametros_carros!$H$33="Todos",'Plan mensual'!F108,0)))/60</f>
        <v>30.81435</v>
      </c>
      <c r="E196" s="9">
        <f>(parametros_carros!$D$33*('Plan mensual'!G101+IF(parametros_carros!$H$33="Todos",'Plan mensual'!G105,0))+parametros_carros!$E$33*('Plan mensual'!G102+IF(parametros_carros!$H$33="Todos",'Plan mensual'!G106,0))+parametros_carros!$F$33*('Plan mensual'!G103+IF(parametros_carros!$H$33="Todos",'Plan mensual'!G107,0))+parametros_carros!$G$33*('Plan mensual'!G104+IF(parametros_carros!$H$33="Todos",'Plan mensual'!G108,0)))/60</f>
        <v>30.81435</v>
      </c>
      <c r="F196" s="9">
        <f>(parametros_carros!$D$33*('Plan mensual'!H101+IF(parametros_carros!$H$33="Todos",'Plan mensual'!H105,0))+parametros_carros!$E$33*('Plan mensual'!H102+IF(parametros_carros!$H$33="Todos",'Plan mensual'!H106,0))+parametros_carros!$F$33*('Plan mensual'!H103+IF(parametros_carros!$H$33="Todos",'Plan mensual'!H107,0))+parametros_carros!$G$33*('Plan mensual'!H104+IF(parametros_carros!$H$33="Todos",'Plan mensual'!H108,0)))/60</f>
        <v>30.81435</v>
      </c>
      <c r="G196" s="9">
        <f>(parametros_carros!$D$33*('Plan mensual'!I101+IF(parametros_carros!$H$33="Todos",'Plan mensual'!I105,0))+parametros_carros!$E$33*('Plan mensual'!I102+IF(parametros_carros!$H$33="Todos",'Plan mensual'!I106,0))+parametros_carros!$F$33*('Plan mensual'!I103+IF(parametros_carros!$H$33="Todos",'Plan mensual'!I107,0))+parametros_carros!$G$33*('Plan mensual'!I104+IF(parametros_carros!$H$33="Todos",'Plan mensual'!I108,0)))/60</f>
        <v>27.39053333</v>
      </c>
      <c r="H196" s="9">
        <f>(parametros_carros!$D$33*('Plan mensual'!J101+IF(parametros_carros!$H$33="Todos",'Plan mensual'!J105,0))+parametros_carros!$E$33*('Plan mensual'!J102+IF(parametros_carros!$H$33="Todos",'Plan mensual'!J106,0))+parametros_carros!$F$33*('Plan mensual'!J103+IF(parametros_carros!$H$33="Todos",'Plan mensual'!J107,0))+parametros_carros!$G$33*('Plan mensual'!J104+IF(parametros_carros!$H$33="Todos",'Plan mensual'!J108,0)))/60</f>
        <v>30.81435</v>
      </c>
      <c r="I196" s="9">
        <f>(parametros_carros!$D$33*('Plan mensual'!K101+IF(parametros_carros!$H$33="Todos",'Plan mensual'!K105,0))+parametros_carros!$E$33*('Plan mensual'!K102+IF(parametros_carros!$H$33="Todos",'Plan mensual'!K106,0))+parametros_carros!$F$33*('Plan mensual'!K103+IF(parametros_carros!$H$33="Todos",'Plan mensual'!K107,0))+parametros_carros!$G$33*('Plan mensual'!K104+IF(parametros_carros!$H$33="Todos",'Plan mensual'!K108,0)))/60</f>
        <v>30.81435</v>
      </c>
      <c r="J196" s="9">
        <f>(parametros_carros!$D$33*('Plan mensual'!L101+IF(parametros_carros!$H$33="Todos",'Plan mensual'!L105,0))+parametros_carros!$E$33*('Plan mensual'!L102+IF(parametros_carros!$H$33="Todos",'Plan mensual'!L106,0))+parametros_carros!$F$33*('Plan mensual'!L103+IF(parametros_carros!$H$33="Todos",'Plan mensual'!L107,0))+parametros_carros!$G$33*('Plan mensual'!L104+IF(parametros_carros!$H$33="Todos",'Plan mensual'!L108,0)))/60</f>
        <v>29.10244167</v>
      </c>
      <c r="K196" s="9">
        <f>(parametros_carros!$D$33*('Plan mensual'!M101+IF(parametros_carros!$H$33="Todos",'Plan mensual'!M105,0))+parametros_carros!$E$33*('Plan mensual'!M102+IF(parametros_carros!$H$33="Todos",'Plan mensual'!M106,0))+parametros_carros!$F$33*('Plan mensual'!M103+IF(parametros_carros!$H$33="Todos",'Plan mensual'!M107,0))+parametros_carros!$G$33*('Plan mensual'!M104+IF(parametros_carros!$H$33="Todos",'Plan mensual'!M108,0)))/60</f>
        <v>25.678625</v>
      </c>
      <c r="L196" s="9">
        <f>(parametros_carros!$D$33*('Plan mensual'!N101+IF(parametros_carros!$H$33="Todos",'Plan mensual'!N105,0))+parametros_carros!$E$33*('Plan mensual'!N102+IF(parametros_carros!$H$33="Todos",'Plan mensual'!N106,0))+parametros_carros!$F$33*('Plan mensual'!N103+IF(parametros_carros!$H$33="Todos",'Plan mensual'!N107,0))+parametros_carros!$G$33*('Plan mensual'!N104+IF(parametros_carros!$H$33="Todos",'Plan mensual'!N108,0)))/60</f>
        <v>23.96671667</v>
      </c>
      <c r="M196" s="9">
        <f>(parametros_carros!$D$33*('Plan mensual'!O101+IF(parametros_carros!$H$33="Todos",'Plan mensual'!O105,0))+parametros_carros!$E$33*('Plan mensual'!O102+IF(parametros_carros!$H$33="Todos",'Plan mensual'!O106,0))+parametros_carros!$F$33*('Plan mensual'!O103+IF(parametros_carros!$H$33="Todos",'Plan mensual'!O107,0))+parametros_carros!$G$33*('Plan mensual'!O104+IF(parametros_carros!$H$33="Todos",'Plan mensual'!O108,0)))/60</f>
        <v>27.39053333</v>
      </c>
      <c r="N196" s="9">
        <f t="shared" si="28"/>
        <v>342.3816667</v>
      </c>
      <c r="O196" s="9">
        <f t="shared" si="29"/>
        <v>30.81435</v>
      </c>
      <c r="P196" s="32">
        <f>IF(parametros_carros!$B$7=0,0,(O196+parametros_carros!$G$59)/parametros_carros!$B$7)</f>
        <v>0.3120956667</v>
      </c>
      <c r="Q196" s="21" t="str">
        <f t="shared" si="30"/>
        <v>Mar</v>
      </c>
    </row>
    <row r="197" ht="14.25" customHeight="1">
      <c r="A197" s="2" t="str">
        <f>parametros_carros!$B$34</f>
        <v>Montaje, manga, precinto y etiquetado</v>
      </c>
      <c r="B197" s="9">
        <f>(parametros_carros!$D$34*('Plan mensual'!D101+IF(parametros_carros!$H$34="Todos",'Plan mensual'!D105,0))+parametros_carros!$E$34*('Plan mensual'!D102+IF(parametros_carros!$H$34="Todos",'Plan mensual'!D106,0))+parametros_carros!$F$34*('Plan mensual'!D103+IF(parametros_carros!$H$34="Todos",'Plan mensual'!D107,0))+parametros_carros!$G$34*('Plan mensual'!D104+IF(parametros_carros!$H$34="Todos",'Plan mensual'!D108,0)))/60</f>
        <v>16.23273333</v>
      </c>
      <c r="C197" s="9">
        <f>(parametros_carros!$D$34*('Plan mensual'!E101+IF(parametros_carros!$H$34="Todos",'Plan mensual'!E105,0))+parametros_carros!$E$34*('Plan mensual'!E102+IF(parametros_carros!$H$34="Todos",'Plan mensual'!E106,0))+parametros_carros!$F$34*('Plan mensual'!E103+IF(parametros_carros!$H$34="Todos",'Plan mensual'!E107,0))+parametros_carros!$G$34*('Plan mensual'!E104+IF(parametros_carros!$H$34="Todos",'Plan mensual'!E108,0)))/60</f>
        <v>14.323</v>
      </c>
      <c r="D197" s="9">
        <f>(parametros_carros!$D$34*('Plan mensual'!F101+IF(parametros_carros!$H$34="Todos",'Plan mensual'!F105,0))+parametros_carros!$E$34*('Plan mensual'!F102+IF(parametros_carros!$H$34="Todos",'Plan mensual'!F106,0))+parametros_carros!$F$34*('Plan mensual'!F103+IF(parametros_carros!$H$34="Todos",'Plan mensual'!F107,0))+parametros_carros!$G$34*('Plan mensual'!F104+IF(parametros_carros!$H$34="Todos",'Plan mensual'!F108,0)))/60</f>
        <v>17.1876</v>
      </c>
      <c r="E197" s="9">
        <f>(parametros_carros!$D$34*('Plan mensual'!G101+IF(parametros_carros!$H$34="Todos",'Plan mensual'!G105,0))+parametros_carros!$E$34*('Plan mensual'!G102+IF(parametros_carros!$H$34="Todos",'Plan mensual'!G106,0))+parametros_carros!$F$34*('Plan mensual'!G103+IF(parametros_carros!$H$34="Todos",'Plan mensual'!G107,0))+parametros_carros!$G$34*('Plan mensual'!G104+IF(parametros_carros!$H$34="Todos",'Plan mensual'!G108,0)))/60</f>
        <v>17.1876</v>
      </c>
      <c r="F197" s="9">
        <f>(parametros_carros!$D$34*('Plan mensual'!H101+IF(parametros_carros!$H$34="Todos",'Plan mensual'!H105,0))+parametros_carros!$E$34*('Plan mensual'!H102+IF(parametros_carros!$H$34="Todos",'Plan mensual'!H106,0))+parametros_carros!$F$34*('Plan mensual'!H103+IF(parametros_carros!$H$34="Todos",'Plan mensual'!H107,0))+parametros_carros!$G$34*('Plan mensual'!H104+IF(parametros_carros!$H$34="Todos",'Plan mensual'!H108,0)))/60</f>
        <v>17.1876</v>
      </c>
      <c r="G197" s="9">
        <f>(parametros_carros!$D$34*('Plan mensual'!I101+IF(parametros_carros!$H$34="Todos",'Plan mensual'!I105,0))+parametros_carros!$E$34*('Plan mensual'!I102+IF(parametros_carros!$H$34="Todos",'Plan mensual'!I106,0))+parametros_carros!$F$34*('Plan mensual'!I103+IF(parametros_carros!$H$34="Todos",'Plan mensual'!I107,0))+parametros_carros!$G$34*('Plan mensual'!I104+IF(parametros_carros!$H$34="Todos",'Plan mensual'!I108,0)))/60</f>
        <v>15.27786667</v>
      </c>
      <c r="H197" s="9">
        <f>(parametros_carros!$D$34*('Plan mensual'!J101+IF(parametros_carros!$H$34="Todos",'Plan mensual'!J105,0))+parametros_carros!$E$34*('Plan mensual'!J102+IF(parametros_carros!$H$34="Todos",'Plan mensual'!J106,0))+parametros_carros!$F$34*('Plan mensual'!J103+IF(parametros_carros!$H$34="Todos",'Plan mensual'!J107,0))+parametros_carros!$G$34*('Plan mensual'!J104+IF(parametros_carros!$H$34="Todos",'Plan mensual'!J108,0)))/60</f>
        <v>17.1876</v>
      </c>
      <c r="I197" s="9">
        <f>(parametros_carros!$D$34*('Plan mensual'!K101+IF(parametros_carros!$H$34="Todos",'Plan mensual'!K105,0))+parametros_carros!$E$34*('Plan mensual'!K102+IF(parametros_carros!$H$34="Todos",'Plan mensual'!K106,0))+parametros_carros!$F$34*('Plan mensual'!K103+IF(parametros_carros!$H$34="Todos",'Plan mensual'!K107,0))+parametros_carros!$G$34*('Plan mensual'!K104+IF(parametros_carros!$H$34="Todos",'Plan mensual'!K108,0)))/60</f>
        <v>17.1876</v>
      </c>
      <c r="J197" s="9">
        <f>(parametros_carros!$D$34*('Plan mensual'!L101+IF(parametros_carros!$H$34="Todos",'Plan mensual'!L105,0))+parametros_carros!$E$34*('Plan mensual'!L102+IF(parametros_carros!$H$34="Todos",'Plan mensual'!L106,0))+parametros_carros!$F$34*('Plan mensual'!L103+IF(parametros_carros!$H$34="Todos",'Plan mensual'!L107,0))+parametros_carros!$G$34*('Plan mensual'!L104+IF(parametros_carros!$H$34="Todos",'Plan mensual'!L108,0)))/60</f>
        <v>16.23273333</v>
      </c>
      <c r="K197" s="9">
        <f>(parametros_carros!$D$34*('Plan mensual'!M101+IF(parametros_carros!$H$34="Todos",'Plan mensual'!M105,0))+parametros_carros!$E$34*('Plan mensual'!M102+IF(parametros_carros!$H$34="Todos",'Plan mensual'!M106,0))+parametros_carros!$F$34*('Plan mensual'!M103+IF(parametros_carros!$H$34="Todos",'Plan mensual'!M107,0))+parametros_carros!$G$34*('Plan mensual'!M104+IF(parametros_carros!$H$34="Todos",'Plan mensual'!M108,0)))/60</f>
        <v>14.323</v>
      </c>
      <c r="L197" s="9">
        <f>(parametros_carros!$D$34*('Plan mensual'!N101+IF(parametros_carros!$H$34="Todos",'Plan mensual'!N105,0))+parametros_carros!$E$34*('Plan mensual'!N102+IF(parametros_carros!$H$34="Todos",'Plan mensual'!N106,0))+parametros_carros!$F$34*('Plan mensual'!N103+IF(parametros_carros!$H$34="Todos",'Plan mensual'!N107,0))+parametros_carros!$G$34*('Plan mensual'!N104+IF(parametros_carros!$H$34="Todos",'Plan mensual'!N108,0)))/60</f>
        <v>13.36813333</v>
      </c>
      <c r="M197" s="9">
        <f>(parametros_carros!$D$34*('Plan mensual'!O101+IF(parametros_carros!$H$34="Todos",'Plan mensual'!O105,0))+parametros_carros!$E$34*('Plan mensual'!O102+IF(parametros_carros!$H$34="Todos",'Plan mensual'!O106,0))+parametros_carros!$F$34*('Plan mensual'!O103+IF(parametros_carros!$H$34="Todos",'Plan mensual'!O107,0))+parametros_carros!$G$34*('Plan mensual'!O104+IF(parametros_carros!$H$34="Todos",'Plan mensual'!O108,0)))/60</f>
        <v>15.27786667</v>
      </c>
      <c r="N197" s="9">
        <f t="shared" si="28"/>
        <v>190.9733333</v>
      </c>
      <c r="O197" s="9">
        <f t="shared" si="29"/>
        <v>17.1876</v>
      </c>
      <c r="P197" s="32">
        <f>IF(parametros_carros!$B$7=0,0,(O197+parametros_carros!$G$60)/parametros_carros!$B$7)</f>
        <v>0.1612506667</v>
      </c>
      <c r="Q197" s="21" t="str">
        <f t="shared" si="30"/>
        <v>Mar</v>
      </c>
    </row>
    <row r="198" ht="14.25" customHeight="1">
      <c r="A198" s="2" t="str">
        <f>parametros_carros!$B$35</f>
        <v>Calidad: pérdidas, inspección final, liberación y ensayos de lote</v>
      </c>
      <c r="B198" s="9">
        <f>(parametros_carros!$D$35*('Plan mensual'!D101+IF(parametros_carros!$H$35="Todos",'Plan mensual'!D105,0))+parametros_carros!$E$35*('Plan mensual'!D102+IF(parametros_carros!$H$35="Todos",'Plan mensual'!D106,0))+parametros_carros!$F$35*('Plan mensual'!D103+IF(parametros_carros!$H$35="Todos",'Plan mensual'!D107,0))+parametros_carros!$G$35*('Plan mensual'!D104+IF(parametros_carros!$H$35="Todos",'Plan mensual'!D108,0)))/60</f>
        <v>12.30271583</v>
      </c>
      <c r="C198" s="9">
        <f>(parametros_carros!$D$35*('Plan mensual'!E101+IF(parametros_carros!$H$35="Todos",'Plan mensual'!E105,0))+parametros_carros!$E$35*('Plan mensual'!E102+IF(parametros_carros!$H$35="Todos",'Plan mensual'!E106,0))+parametros_carros!$F$35*('Plan mensual'!E103+IF(parametros_carros!$H$35="Todos",'Plan mensual'!E107,0))+parametros_carros!$G$35*('Plan mensual'!E104+IF(parametros_carros!$H$35="Todos",'Plan mensual'!E108,0)))/60</f>
        <v>10.8553375</v>
      </c>
      <c r="D198" s="9">
        <f>(parametros_carros!$D$35*('Plan mensual'!F101+IF(parametros_carros!$H$35="Todos",'Plan mensual'!F105,0))+parametros_carros!$E$35*('Plan mensual'!F102+IF(parametros_carros!$H$35="Todos",'Plan mensual'!F106,0))+parametros_carros!$F$35*('Plan mensual'!F103+IF(parametros_carros!$H$35="Todos",'Plan mensual'!F107,0))+parametros_carros!$G$35*('Plan mensual'!F104+IF(parametros_carros!$H$35="Todos",'Plan mensual'!F108,0)))/60</f>
        <v>13.026405</v>
      </c>
      <c r="E198" s="9">
        <f>(parametros_carros!$D$35*('Plan mensual'!G101+IF(parametros_carros!$H$35="Todos",'Plan mensual'!G105,0))+parametros_carros!$E$35*('Plan mensual'!G102+IF(parametros_carros!$H$35="Todos",'Plan mensual'!G106,0))+parametros_carros!$F$35*('Plan mensual'!G103+IF(parametros_carros!$H$35="Todos",'Plan mensual'!G107,0))+parametros_carros!$G$35*('Plan mensual'!G104+IF(parametros_carros!$H$35="Todos",'Plan mensual'!G108,0)))/60</f>
        <v>13.026405</v>
      </c>
      <c r="F198" s="9">
        <f>(parametros_carros!$D$35*('Plan mensual'!H101+IF(parametros_carros!$H$35="Todos",'Plan mensual'!H105,0))+parametros_carros!$E$35*('Plan mensual'!H102+IF(parametros_carros!$H$35="Todos",'Plan mensual'!H106,0))+parametros_carros!$F$35*('Plan mensual'!H103+IF(parametros_carros!$H$35="Todos",'Plan mensual'!H107,0))+parametros_carros!$G$35*('Plan mensual'!H104+IF(parametros_carros!$H$35="Todos",'Plan mensual'!H108,0)))/60</f>
        <v>13.026405</v>
      </c>
      <c r="G198" s="9">
        <f>(parametros_carros!$D$35*('Plan mensual'!I101+IF(parametros_carros!$H$35="Todos",'Plan mensual'!I105,0))+parametros_carros!$E$35*('Plan mensual'!I102+IF(parametros_carros!$H$35="Todos",'Plan mensual'!I106,0))+parametros_carros!$F$35*('Plan mensual'!I103+IF(parametros_carros!$H$35="Todos",'Plan mensual'!I107,0))+parametros_carros!$G$35*('Plan mensual'!I104+IF(parametros_carros!$H$35="Todos",'Plan mensual'!I108,0)))/60</f>
        <v>11.57902667</v>
      </c>
      <c r="H198" s="9">
        <f>(parametros_carros!$D$35*('Plan mensual'!J101+IF(parametros_carros!$H$35="Todos",'Plan mensual'!J105,0))+parametros_carros!$E$35*('Plan mensual'!J102+IF(parametros_carros!$H$35="Todos",'Plan mensual'!J106,0))+parametros_carros!$F$35*('Plan mensual'!J103+IF(parametros_carros!$H$35="Todos",'Plan mensual'!J107,0))+parametros_carros!$G$35*('Plan mensual'!J104+IF(parametros_carros!$H$35="Todos",'Plan mensual'!J108,0)))/60</f>
        <v>13.026405</v>
      </c>
      <c r="I198" s="9">
        <f>(parametros_carros!$D$35*('Plan mensual'!K101+IF(parametros_carros!$H$35="Todos",'Plan mensual'!K105,0))+parametros_carros!$E$35*('Plan mensual'!K102+IF(parametros_carros!$H$35="Todos",'Plan mensual'!K106,0))+parametros_carros!$F$35*('Plan mensual'!K103+IF(parametros_carros!$H$35="Todos",'Plan mensual'!K107,0))+parametros_carros!$G$35*('Plan mensual'!K104+IF(parametros_carros!$H$35="Todos",'Plan mensual'!K108,0)))/60</f>
        <v>13.026405</v>
      </c>
      <c r="J198" s="9">
        <f>(parametros_carros!$D$35*('Plan mensual'!L101+IF(parametros_carros!$H$35="Todos",'Plan mensual'!L105,0))+parametros_carros!$E$35*('Plan mensual'!L102+IF(parametros_carros!$H$35="Todos",'Plan mensual'!L106,0))+parametros_carros!$F$35*('Plan mensual'!L103+IF(parametros_carros!$H$35="Todos",'Plan mensual'!L107,0))+parametros_carros!$G$35*('Plan mensual'!L104+IF(parametros_carros!$H$35="Todos",'Plan mensual'!L108,0)))/60</f>
        <v>12.30271583</v>
      </c>
      <c r="K198" s="9">
        <f>(parametros_carros!$D$35*('Plan mensual'!M101+IF(parametros_carros!$H$35="Todos",'Plan mensual'!M105,0))+parametros_carros!$E$35*('Plan mensual'!M102+IF(parametros_carros!$H$35="Todos",'Plan mensual'!M106,0))+parametros_carros!$F$35*('Plan mensual'!M103+IF(parametros_carros!$H$35="Todos",'Plan mensual'!M107,0))+parametros_carros!$G$35*('Plan mensual'!M104+IF(parametros_carros!$H$35="Todos",'Plan mensual'!M108,0)))/60</f>
        <v>10.8553375</v>
      </c>
      <c r="L198" s="9">
        <f>(parametros_carros!$D$35*('Plan mensual'!N101+IF(parametros_carros!$H$35="Todos",'Plan mensual'!N105,0))+parametros_carros!$E$35*('Plan mensual'!N102+IF(parametros_carros!$H$35="Todos",'Plan mensual'!N106,0))+parametros_carros!$F$35*('Plan mensual'!N103+IF(parametros_carros!$H$35="Todos",'Plan mensual'!N107,0))+parametros_carros!$G$35*('Plan mensual'!N104+IF(parametros_carros!$H$35="Todos",'Plan mensual'!N108,0)))/60</f>
        <v>10.13164833</v>
      </c>
      <c r="M198" s="9">
        <f>(parametros_carros!$D$35*('Plan mensual'!O101+IF(parametros_carros!$H$35="Todos",'Plan mensual'!O105,0))+parametros_carros!$E$35*('Plan mensual'!O102+IF(parametros_carros!$H$35="Todos",'Plan mensual'!O106,0))+parametros_carros!$F$35*('Plan mensual'!O103+IF(parametros_carros!$H$35="Todos",'Plan mensual'!O107,0))+parametros_carros!$G$35*('Plan mensual'!O104+IF(parametros_carros!$H$35="Todos",'Plan mensual'!O108,0)))/60</f>
        <v>11.57902667</v>
      </c>
      <c r="N198" s="9">
        <f t="shared" si="28"/>
        <v>144.7378333</v>
      </c>
      <c r="O198" s="9">
        <f t="shared" si="29"/>
        <v>13.026405</v>
      </c>
      <c r="P198" s="32">
        <f>IF(parametros_carros!$B$7=0,0,(O198+parametros_carros!$G$61)/parametros_carros!$B$7)</f>
        <v>0.4570649222</v>
      </c>
      <c r="Q198" s="21" t="str">
        <f t="shared" si="30"/>
        <v>Mar</v>
      </c>
    </row>
    <row r="199" ht="14.25" customHeight="1">
      <c r="A199" s="2" t="str">
        <f>parametros_carros!$B$36</f>
        <v>Depósito de producto terminado y despacho</v>
      </c>
      <c r="B199" s="9">
        <f>(parametros_carros!$D$36*('Plan mensual'!D101+IF(parametros_carros!$H$36="Todos",'Plan mensual'!D105,0))+parametros_carros!$E$36*('Plan mensual'!D102+IF(parametros_carros!$H$36="Todos",'Plan mensual'!D106,0))+parametros_carros!$F$36*('Plan mensual'!D103+IF(parametros_carros!$H$36="Todos",'Plan mensual'!D107,0))+parametros_carros!$G$36*('Plan mensual'!D104+IF(parametros_carros!$H$36="Todos",'Plan mensual'!D108,0)))/60</f>
        <v>5.972666667</v>
      </c>
      <c r="C199" s="9">
        <f>(parametros_carros!$D$36*('Plan mensual'!E101+IF(parametros_carros!$H$36="Todos",'Plan mensual'!E105,0))+parametros_carros!$E$36*('Plan mensual'!E102+IF(parametros_carros!$H$36="Todos",'Plan mensual'!E106,0))+parametros_carros!$F$36*('Plan mensual'!E103+IF(parametros_carros!$H$36="Todos",'Plan mensual'!E107,0))+parametros_carros!$G$36*('Plan mensual'!E104+IF(parametros_carros!$H$36="Todos",'Plan mensual'!E108,0)))/60</f>
        <v>5.27</v>
      </c>
      <c r="D199" s="9">
        <f>(parametros_carros!$D$36*('Plan mensual'!F101+IF(parametros_carros!$H$36="Todos",'Plan mensual'!F105,0))+parametros_carros!$E$36*('Plan mensual'!F102+IF(parametros_carros!$H$36="Todos",'Plan mensual'!F106,0))+parametros_carros!$F$36*('Plan mensual'!F103+IF(parametros_carros!$H$36="Todos",'Plan mensual'!F107,0))+parametros_carros!$G$36*('Plan mensual'!F104+IF(parametros_carros!$H$36="Todos",'Plan mensual'!F108,0)))/60</f>
        <v>6.324</v>
      </c>
      <c r="E199" s="9">
        <f>(parametros_carros!$D$36*('Plan mensual'!G101+IF(parametros_carros!$H$36="Todos",'Plan mensual'!G105,0))+parametros_carros!$E$36*('Plan mensual'!G102+IF(parametros_carros!$H$36="Todos",'Plan mensual'!G106,0))+parametros_carros!$F$36*('Plan mensual'!G103+IF(parametros_carros!$H$36="Todos",'Plan mensual'!G107,0))+parametros_carros!$G$36*('Plan mensual'!G104+IF(parametros_carros!$H$36="Todos",'Plan mensual'!G108,0)))/60</f>
        <v>6.324</v>
      </c>
      <c r="F199" s="9">
        <f>(parametros_carros!$D$36*('Plan mensual'!H101+IF(parametros_carros!$H$36="Todos",'Plan mensual'!H105,0))+parametros_carros!$E$36*('Plan mensual'!H102+IF(parametros_carros!$H$36="Todos",'Plan mensual'!H106,0))+parametros_carros!$F$36*('Plan mensual'!H103+IF(parametros_carros!$H$36="Todos",'Plan mensual'!H107,0))+parametros_carros!$G$36*('Plan mensual'!H104+IF(parametros_carros!$H$36="Todos",'Plan mensual'!H108,0)))/60</f>
        <v>6.324</v>
      </c>
      <c r="G199" s="9">
        <f>(parametros_carros!$D$36*('Plan mensual'!I101+IF(parametros_carros!$H$36="Todos",'Plan mensual'!I105,0))+parametros_carros!$E$36*('Plan mensual'!I102+IF(parametros_carros!$H$36="Todos",'Plan mensual'!I106,0))+parametros_carros!$F$36*('Plan mensual'!I103+IF(parametros_carros!$H$36="Todos",'Plan mensual'!I107,0))+parametros_carros!$G$36*('Plan mensual'!I104+IF(parametros_carros!$H$36="Todos",'Plan mensual'!I108,0)))/60</f>
        <v>5.621333333</v>
      </c>
      <c r="H199" s="9">
        <f>(parametros_carros!$D$36*('Plan mensual'!J101+IF(parametros_carros!$H$36="Todos",'Plan mensual'!J105,0))+parametros_carros!$E$36*('Plan mensual'!J102+IF(parametros_carros!$H$36="Todos",'Plan mensual'!J106,0))+parametros_carros!$F$36*('Plan mensual'!J103+IF(parametros_carros!$H$36="Todos",'Plan mensual'!J107,0))+parametros_carros!$G$36*('Plan mensual'!J104+IF(parametros_carros!$H$36="Todos",'Plan mensual'!J108,0)))/60</f>
        <v>6.324</v>
      </c>
      <c r="I199" s="9">
        <f>(parametros_carros!$D$36*('Plan mensual'!K101+IF(parametros_carros!$H$36="Todos",'Plan mensual'!K105,0))+parametros_carros!$E$36*('Plan mensual'!K102+IF(parametros_carros!$H$36="Todos",'Plan mensual'!K106,0))+parametros_carros!$F$36*('Plan mensual'!K103+IF(parametros_carros!$H$36="Todos",'Plan mensual'!K107,0))+parametros_carros!$G$36*('Plan mensual'!K104+IF(parametros_carros!$H$36="Todos",'Plan mensual'!K108,0)))/60</f>
        <v>6.324</v>
      </c>
      <c r="J199" s="9">
        <f>(parametros_carros!$D$36*('Plan mensual'!L101+IF(parametros_carros!$H$36="Todos",'Plan mensual'!L105,0))+parametros_carros!$E$36*('Plan mensual'!L102+IF(parametros_carros!$H$36="Todos",'Plan mensual'!L106,0))+parametros_carros!$F$36*('Plan mensual'!L103+IF(parametros_carros!$H$36="Todos",'Plan mensual'!L107,0))+parametros_carros!$G$36*('Plan mensual'!L104+IF(parametros_carros!$H$36="Todos",'Plan mensual'!L108,0)))/60</f>
        <v>5.972666667</v>
      </c>
      <c r="K199" s="9">
        <f>(parametros_carros!$D$36*('Plan mensual'!M101+IF(parametros_carros!$H$36="Todos",'Plan mensual'!M105,0))+parametros_carros!$E$36*('Plan mensual'!M102+IF(parametros_carros!$H$36="Todos",'Plan mensual'!M106,0))+parametros_carros!$F$36*('Plan mensual'!M103+IF(parametros_carros!$H$36="Todos",'Plan mensual'!M107,0))+parametros_carros!$G$36*('Plan mensual'!M104+IF(parametros_carros!$H$36="Todos",'Plan mensual'!M108,0)))/60</f>
        <v>5.27</v>
      </c>
      <c r="L199" s="9">
        <f>(parametros_carros!$D$36*('Plan mensual'!N101+IF(parametros_carros!$H$36="Todos",'Plan mensual'!N105,0))+parametros_carros!$E$36*('Plan mensual'!N102+IF(parametros_carros!$H$36="Todos",'Plan mensual'!N106,0))+parametros_carros!$F$36*('Plan mensual'!N103+IF(parametros_carros!$H$36="Todos",'Plan mensual'!N107,0))+parametros_carros!$G$36*('Plan mensual'!N104+IF(parametros_carros!$H$36="Todos",'Plan mensual'!N108,0)))/60</f>
        <v>4.918666667</v>
      </c>
      <c r="M199" s="9">
        <f>(parametros_carros!$D$36*('Plan mensual'!O101+IF(parametros_carros!$H$36="Todos",'Plan mensual'!O105,0))+parametros_carros!$E$36*('Plan mensual'!O102+IF(parametros_carros!$H$36="Todos",'Plan mensual'!O106,0))+parametros_carros!$F$36*('Plan mensual'!O103+IF(parametros_carros!$H$36="Todos",'Plan mensual'!O107,0))+parametros_carros!$G$36*('Plan mensual'!O104+IF(parametros_carros!$H$36="Todos",'Plan mensual'!O108,0)))/60</f>
        <v>5.621333333</v>
      </c>
      <c r="N199" s="9">
        <f t="shared" si="28"/>
        <v>70.26666667</v>
      </c>
      <c r="O199" s="9">
        <f t="shared" si="29"/>
        <v>6.324</v>
      </c>
      <c r="P199" s="32">
        <f>IF(parametros_carros!$B$7=0,0,(O199+parametros_carros!$G$62)/parametros_carros!$B$7)</f>
        <v>0.06438222222</v>
      </c>
      <c r="Q199" s="21" t="str">
        <f t="shared" si="30"/>
        <v>Mar</v>
      </c>
    </row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62.0"/>
    <col customWidth="1" min="2" max="11" width="9.0"/>
    <col customWidth="1" min="12" max="12" width="3.0"/>
    <col customWidth="1" min="13" max="13" width="32.0"/>
    <col customWidth="1" min="14" max="25" width="8.86"/>
  </cols>
  <sheetData>
    <row r="1" ht="14.25" customHeight="1">
      <c r="A1" s="1" t="s">
        <v>117</v>
      </c>
      <c r="B1" s="1">
        <v>2026.0</v>
      </c>
      <c r="C1" s="1">
        <v>2027.0</v>
      </c>
      <c r="D1" s="1">
        <v>2028.0</v>
      </c>
      <c r="E1" s="1">
        <v>2029.0</v>
      </c>
      <c r="F1" s="1">
        <v>2030.0</v>
      </c>
      <c r="G1" s="1">
        <v>2031.0</v>
      </c>
      <c r="H1" s="1">
        <v>2032.0</v>
      </c>
      <c r="I1" s="1">
        <v>2033.0</v>
      </c>
      <c r="J1" s="1">
        <v>2034.0</v>
      </c>
      <c r="K1" s="1">
        <v>2035.0</v>
      </c>
      <c r="M1" s="14" t="s">
        <v>118</v>
      </c>
    </row>
    <row r="2" ht="14.25" customHeight="1">
      <c r="A2" s="2" t="str">
        <f>parametros_carros!$B$19</f>
        <v>Recepción de materia prima</v>
      </c>
      <c r="B2" s="31">
        <f>IF(B23*B44=0,0,'Demanda por puesto'!$P$2/(B23*B44))</f>
        <v>0.05053531111</v>
      </c>
      <c r="C2" s="31">
        <f>IF(C23*C44=0,0,'Demanda por puesto'!$P$22/(C23*C44))</f>
        <v>0.05226433611</v>
      </c>
      <c r="D2" s="31">
        <f>IF(D23*D44=0,0,'Demanda por puesto'!$P$42/(D23*D44))</f>
        <v>0.05452811111</v>
      </c>
      <c r="E2" s="31">
        <f>IF(E23*E44=0,0,'Demanda por puesto'!$P$62/(E23*E44))</f>
        <v>0.05885958611</v>
      </c>
      <c r="F2" s="31">
        <f>IF(F23*F44=0,0,'Demanda por puesto'!$P$82/(F23*F44))</f>
        <v>0.06586481111</v>
      </c>
      <c r="G2" s="31">
        <f>IF(G23*G44=0,0,'Demanda por puesto'!$P$102/(G23*G44))</f>
        <v>0.07283438611</v>
      </c>
      <c r="H2" s="31">
        <f>IF(H23*H44=0,0,'Demanda por puesto'!$P$122/(H23*H44))</f>
        <v>0.08115866111</v>
      </c>
      <c r="I2" s="31">
        <f>IF(I23*I44=0,0,'Demanda por puesto'!$P$142/(I23*I44))</f>
        <v>0.08982161111</v>
      </c>
      <c r="J2" s="31">
        <f>IF(J23*J44=0,0,'Demanda por puesto'!$P$162/(J23*J44))</f>
        <v>0.09591776111</v>
      </c>
      <c r="K2" s="31">
        <f>IF(K23*K44=0,0,'Demanda por puesto'!$P$182/(K23*K44))</f>
        <v>0.1033686111</v>
      </c>
      <c r="M2" s="33" t="s">
        <v>128</v>
      </c>
    </row>
    <row r="3" ht="14.25" customHeight="1">
      <c r="A3" s="2" t="str">
        <f>parametros_carros!$B$20</f>
        <v>Corte de chapa (guillotina)</v>
      </c>
      <c r="B3" s="31">
        <f>IF(B24*B45=0,0,'Demanda por puesto'!$P$3/(B24*B45))</f>
        <v>0.06754303019</v>
      </c>
      <c r="C3" s="31">
        <f>IF(C24*C45=0,0,'Demanda por puesto'!$P$23/(C24*C45))</f>
        <v>0.07136748671</v>
      </c>
      <c r="D3" s="31">
        <f>IF(D24*D45=0,0,'Demanda por puesto'!$P$43/(D24*D45))</f>
        <v>0.0763262657</v>
      </c>
      <c r="E3" s="31">
        <f>IF(E24*E45=0,0,'Demanda por puesto'!$P$63/(E24*E45))</f>
        <v>0.08586739251</v>
      </c>
      <c r="F3" s="31">
        <f>IF(F24*F45=0,0,'Demanda por puesto'!$P$83/(F24*F45))</f>
        <v>0.1012360229</v>
      </c>
      <c r="G3" s="31">
        <f>IF(G24*G45=0,0,'Demanda por puesto'!$P$103/(G24*G45))</f>
        <v>0.1165082222</v>
      </c>
      <c r="H3" s="31">
        <f>IF(H24*H45=0,0,'Demanda por puesto'!$P$123/(H24*H45))</f>
        <v>0.1348244179</v>
      </c>
      <c r="I3" s="31">
        <f>IF(I24*I45=0,0,'Demanda por puesto'!$P$143/(I24*I45))</f>
        <v>0.1538985048</v>
      </c>
      <c r="J3" s="31">
        <f>IF(J24*J45=0,0,'Demanda por puesto'!$P$163/(J24*J45))</f>
        <v>0.167286657</v>
      </c>
      <c r="K3" s="31">
        <f>IF(K24*K45=0,0,'Demanda por puesto'!$P$183/(K24*K45))</f>
        <v>0.1836737077</v>
      </c>
      <c r="M3" s="34" t="s">
        <v>137</v>
      </c>
    </row>
    <row r="4" ht="14.25" customHeight="1">
      <c r="A4" s="2" t="str">
        <f>parametros_carros!$B$21</f>
        <v>Marcado del cuerpo</v>
      </c>
      <c r="B4" s="31">
        <f>IF(B25*B46=0,0,'Demanda por puesto'!$P$4/(B25*B46))</f>
        <v>0.01434322222</v>
      </c>
      <c r="C4" s="31">
        <f>IF(C25*C46=0,0,'Demanda por puesto'!$P$24/(C25*C46))</f>
        <v>0.01585822222</v>
      </c>
      <c r="D4" s="31">
        <f>IF(D25*D46=0,0,'Demanda por puesto'!$P$44/(D25*D46))</f>
        <v>0.01783822222</v>
      </c>
      <c r="E4" s="31">
        <f>IF(E25*E46=0,0,'Demanda por puesto'!$P$64/(E25*E46))</f>
        <v>0.02163022222</v>
      </c>
      <c r="F4" s="31">
        <f>IF(F25*F46=0,0,'Demanda por puesto'!$P$84/(F25*F46))</f>
        <v>0.02775922222</v>
      </c>
      <c r="G4" s="31">
        <f>IF(G25*G46=0,0,'Demanda por puesto'!$P$104/(G25*G46))</f>
        <v>0.03385522222</v>
      </c>
      <c r="H4" s="31">
        <f>IF(H25*H46=0,0,'Demanda por puesto'!$P$124/(H25*H46))</f>
        <v>0.04114222222</v>
      </c>
      <c r="I4" s="31">
        <f>IF(I25*I46=0,0,'Demanda por puesto'!$P$144/(I25*I46))</f>
        <v>0.04872622222</v>
      </c>
      <c r="J4" s="31">
        <f>IF(J25*J46=0,0,'Demanda por puesto'!$P$164/(J25*J46))</f>
        <v>0.05406022222</v>
      </c>
      <c r="K4" s="31">
        <f>IF(K25*K46=0,0,'Demanda por puesto'!$P$184/(K25*K46))</f>
        <v>0.06058222222</v>
      </c>
      <c r="M4" s="35" t="s">
        <v>149</v>
      </c>
    </row>
    <row r="5" ht="14.25" customHeight="1">
      <c r="A5" s="2" t="str">
        <f>parametros_carros!$B$22</f>
        <v>Cilindrado</v>
      </c>
      <c r="B5" s="31">
        <f>IF(B26*B47=0,0,'Demanda por puesto'!$P$5/(B26*B47))</f>
        <v>0.04453573913</v>
      </c>
      <c r="C5" s="31">
        <f>IF(C26*C47=0,0,'Demanda por puesto'!$P$25/(C26*C47))</f>
        <v>0.04778743478</v>
      </c>
      <c r="D5" s="31">
        <f>IF(D26*D47=0,0,'Demanda por puesto'!$P$45/(D26*D47))</f>
        <v>0.05202030435</v>
      </c>
      <c r="E5" s="31">
        <f>IF(E26*E47=0,0,'Demanda por puesto'!$P$65/(E26*E47))</f>
        <v>0.0601486087</v>
      </c>
      <c r="F5" s="31">
        <f>IF(F26*F47=0,0,'Demanda por puesto'!$P$85/(F26*F47))</f>
        <v>0.07324952174</v>
      </c>
      <c r="G5" s="31">
        <f>IF(G26*G47=0,0,'Demanda por puesto'!$P$105/(G26*G47))</f>
        <v>0.086264</v>
      </c>
      <c r="H5" s="31">
        <f>IF(H26*H47=0,0,'Demanda por puesto'!$P$125/(H26*H47))</f>
        <v>0.1018698696</v>
      </c>
      <c r="I5" s="31">
        <f>IF(I26*I47=0,0,'Demanda por puesto'!$P$145/(I26*I47))</f>
        <v>0.1181194783</v>
      </c>
      <c r="J5" s="31">
        <f>IF(J26*J47=0,0,'Demanda por puesto'!$P$165/(J26*J47))</f>
        <v>0.1295310435</v>
      </c>
      <c r="K5" s="31">
        <f>IF(K26*K47=0,0,'Demanda por puesto'!$P$185/(K26*K47))</f>
        <v>0.1434945652</v>
      </c>
      <c r="M5" s="36" t="s">
        <v>155</v>
      </c>
    </row>
    <row r="6" ht="14.25" customHeight="1">
      <c r="A6" s="2" t="str">
        <f>parametros_carros!$B$23</f>
        <v>Punteo del cuerpo</v>
      </c>
      <c r="B6" s="31">
        <f>IF(B27*B48=0,0,'Demanda por puesto'!$P$6/(B27*B48))</f>
        <v>0.01782585024</v>
      </c>
      <c r="C6" s="31">
        <f>IF(C27*C48=0,0,'Demanda por puesto'!$P$26/(C27*C48))</f>
        <v>0.02267754589</v>
      </c>
      <c r="D6" s="31">
        <f>IF(D27*D48=0,0,'Demanda por puesto'!$P$46/(D27*D48))</f>
        <v>0.02893041546</v>
      </c>
      <c r="E6" s="31">
        <f>IF(E27*E48=0,0,'Demanda por puesto'!$P$66/(E27*E48))</f>
        <v>0.04099571981</v>
      </c>
      <c r="F6" s="31">
        <f>IF(F27*F48=0,0,'Demanda por puesto'!$P$86/(F27*F48))</f>
        <v>0.06039363285</v>
      </c>
      <c r="G6" s="31">
        <f>IF(G27*G48=0,0,'Demanda por puesto'!$P$106/(G27*G48))</f>
        <v>0.07964111111</v>
      </c>
      <c r="H6" s="31">
        <f>IF(H27*H48=0,0,'Demanda por puesto'!$P$126/(H27*H48))</f>
        <v>0.1028059807</v>
      </c>
      <c r="I6" s="31">
        <f>IF(I27*I48=0,0,'Demanda por puesto'!$P$146/(I27*I48))</f>
        <v>0.1269315894</v>
      </c>
      <c r="J6" s="31">
        <f>IF(J27*J48=0,0,'Demanda por puesto'!$P$166/(J27*J48))</f>
        <v>0.1438281546</v>
      </c>
      <c r="K6" s="31">
        <f>IF(K27*K48=0,0,'Demanda por puesto'!$P$186/(K27*K48))</f>
        <v>0.1645496763</v>
      </c>
    </row>
    <row r="7" ht="14.25" customHeight="1">
      <c r="A7" s="2" t="str">
        <f>parametros_carros!$B$24</f>
        <v>Soldadura longitudinal</v>
      </c>
      <c r="B7" s="31">
        <f>IF(B28*B49=0,0,'Demanda por puesto'!$P$7/(B28*B49))</f>
        <v>0.02240277778</v>
      </c>
      <c r="C7" s="31">
        <f>IF(C28*C49=0,0,'Demanda por puesto'!$P$27/(C28*C49))</f>
        <v>0.02570077778</v>
      </c>
      <c r="D7" s="31">
        <f>IF(D28*D49=0,0,'Demanda por puesto'!$P$47/(D28*D49))</f>
        <v>0.03002277778</v>
      </c>
      <c r="E7" s="31">
        <f>IF(E28*E49=0,0,'Demanda por puesto'!$P$67/(E28*E49))</f>
        <v>0.03829577778</v>
      </c>
      <c r="F7" s="31">
        <f>IF(F28*F49=0,0,'Demanda por puesto'!$P$87/(F28*F49))</f>
        <v>0.05165277778</v>
      </c>
      <c r="G7" s="31">
        <f>IF(G28*G49=0,0,'Demanda por puesto'!$P$107/(G28*G49))</f>
        <v>0.06493377778</v>
      </c>
      <c r="H7" s="31">
        <f>IF(H28*H49=0,0,'Demanda por puesto'!$P$127/(H28*H49))</f>
        <v>0.08081677778</v>
      </c>
      <c r="I7" s="31">
        <f>IF(I28*I49=0,0,'Demanda por puesto'!$P$147/(I28*I49))</f>
        <v>0.09735277778</v>
      </c>
      <c r="J7" s="31">
        <f>IF(J28*J49=0,0,'Demanda por puesto'!$P$167/(J28*J49))</f>
        <v>0.1089877778</v>
      </c>
      <c r="K7" s="31">
        <f>IF(K28*K49=0,0,'Demanda por puesto'!$P$187/(K28*K49))</f>
        <v>0.1232017778</v>
      </c>
    </row>
    <row r="8" ht="14.25" customHeight="1">
      <c r="A8" s="2" t="str">
        <f>parametros_carros!$B$25</f>
        <v>Soldadura de cupla en la cúpula</v>
      </c>
      <c r="B8" s="31">
        <f>IF(B29*B50=0,0,'Demanda por puesto'!$P$8/(B29*B50))</f>
        <v>0.024568</v>
      </c>
      <c r="C8" s="31">
        <f>IF(C29*C50=0,0,'Demanda por puesto'!$P$28/(C29*C50))</f>
        <v>0.027832</v>
      </c>
      <c r="D8" s="31">
        <f>IF(D29*D50=0,0,'Demanda por puesto'!$P$48/(D29*D50))</f>
        <v>0.032096</v>
      </c>
      <c r="E8" s="31">
        <f>IF(E29*E50=0,0,'Demanda por puesto'!$P$68/(E29*E50))</f>
        <v>0.040264</v>
      </c>
      <c r="F8" s="31">
        <f>IF(F29*F50=0,0,'Demanda por puesto'!$P$88/(F29*F50))</f>
        <v>0.053464</v>
      </c>
      <c r="G8" s="31">
        <f>IF(G29*G50=0,0,'Demanda por puesto'!$P$108/(G29*G50))</f>
        <v>0.066592</v>
      </c>
      <c r="H8" s="31">
        <f>IF(H29*H50=0,0,'Demanda por puesto'!$P$128/(H29*H50))</f>
        <v>0.082288</v>
      </c>
      <c r="I8" s="31">
        <f>IF(I29*I50=0,0,'Demanda por puesto'!$P$148/(I29*I50))</f>
        <v>0.098624</v>
      </c>
      <c r="J8" s="31">
        <f>IF(J29*J50=0,0,'Demanda por puesto'!$P$168/(J29*J50))</f>
        <v>0.110112</v>
      </c>
      <c r="K8" s="31">
        <f>IF(K29*K50=0,0,'Demanda por puesto'!$P$188/(K29*K50))</f>
        <v>0.12416</v>
      </c>
      <c r="M8" s="24"/>
    </row>
    <row r="9" ht="14.25" customHeight="1">
      <c r="A9" s="2" t="str">
        <f>parametros_carros!$B$26</f>
        <v>Armado y soldadura circunferencial</v>
      </c>
      <c r="B9" s="31">
        <f>IF(B30*B51=0,0,'Demanda por puesto'!$P$9/(B30*B51))</f>
        <v>0.041602</v>
      </c>
      <c r="C9" s="31">
        <f>IF(C30*C51=0,0,'Demanda por puesto'!$P$29/(C30*C51))</f>
        <v>0.057042</v>
      </c>
      <c r="D9" s="31">
        <f>IF(D30*D51=0,0,'Demanda por puesto'!$P$49/(D30*D51))</f>
        <v>0.077204</v>
      </c>
      <c r="E9" s="31">
        <f>IF(E30*E51=0,0,'Demanda por puesto'!$P$69/(E30*E51))</f>
        <v>0.115838</v>
      </c>
      <c r="F9" s="31">
        <f>IF(F30*F51=0,0,'Demanda por puesto'!$P$89/(F30*F51))</f>
        <v>0.178256</v>
      </c>
      <c r="G9" s="31">
        <f>IF(G30*G51=0,0,'Demanda por puesto'!$P$109/(G30*G51))</f>
        <v>0.240334</v>
      </c>
      <c r="H9" s="31">
        <f>IF(H30*H51=0,0,'Demanda por puesto'!$P$129/(H30*H51))</f>
        <v>0.314564</v>
      </c>
      <c r="I9" s="31">
        <f>IF(I30*I51=0,0,'Demanda por puesto'!$P$149/(I30*I51))</f>
        <v>0.391826</v>
      </c>
      <c r="J9" s="31">
        <f>IF(J30*J51=0,0,'Demanda por puesto'!$P$169/(J30*J51))</f>
        <v>0.446156</v>
      </c>
      <c r="K9" s="31">
        <f>IF(K30*K51=0,0,'Demanda por puesto'!$P$189/(K30*K51))</f>
        <v>0.51259</v>
      </c>
      <c r="M9" s="43"/>
    </row>
    <row r="10" ht="14.25" customHeight="1">
      <c r="A10" s="2" t="str">
        <f>parametros_carros!$B$27</f>
        <v>Soldadura de accesorios</v>
      </c>
      <c r="B10" s="31">
        <f>IF(B31*B52=0,0,'Demanda por puesto'!$P$10/(B31*B52))</f>
        <v>0.042015</v>
      </c>
      <c r="C10" s="31">
        <f>IF(C31*C52=0,0,'Demanda por puesto'!$P$30/(C31*C52))</f>
        <v>0.05773</v>
      </c>
      <c r="D10" s="31">
        <f>IF(D31*D52=0,0,'Demanda por puesto'!$P$50/(D31*D52))</f>
        <v>0.078284</v>
      </c>
      <c r="E10" s="31">
        <f>IF(E31*E52=0,0,'Demanda por puesto'!$P$70/(E31*E52))</f>
        <v>0.117634</v>
      </c>
      <c r="F10" s="31">
        <f>IF(F31*F52=0,0,'Demanda por puesto'!$P$90/(F31*F52))</f>
        <v>0.181249</v>
      </c>
      <c r="G10" s="31">
        <f>IF(G31*G52=0,0,'Demanda por puesto'!$P$110/(G31*G52))</f>
        <v>0.244531</v>
      </c>
      <c r="H10" s="31">
        <f>IF(H31*H52=0,0,'Demanda por puesto'!$P$130/(H31*H52))</f>
        <v>0.320148</v>
      </c>
      <c r="I10" s="31">
        <f>IF(I31*I52=0,0,'Demanda por puesto'!$P$150/(I31*I52))</f>
        <v>0.398846</v>
      </c>
      <c r="J10" s="31">
        <f>IF(J31*J52=0,0,'Demanda por puesto'!$P$170/(J31*J52))</f>
        <v>0.45421</v>
      </c>
      <c r="K10" s="31">
        <f>IF(K31*K52=0,0,'Demanda por puesto'!$P$190/(K31*K52))</f>
        <v>0.52189</v>
      </c>
    </row>
    <row r="11" ht="14.25" customHeight="1">
      <c r="A11" s="2" t="str">
        <f>parametros_carros!$B$28</f>
        <v>Fabricación de accesorios</v>
      </c>
      <c r="B11" s="31">
        <f>IF(B32*B53=0,0,'Demanda por puesto'!$P$11/(B32*B53))</f>
        <v>0.04829333333</v>
      </c>
      <c r="C11" s="31">
        <f>IF(C32*C53=0,0,'Demanda por puesto'!$P$31/(C32*C53))</f>
        <v>0.05896333333</v>
      </c>
      <c r="D11" s="31">
        <f>IF(D32*D53=0,0,'Demanda por puesto'!$P$51/(D32*D53))</f>
        <v>0.07293333333</v>
      </c>
      <c r="E11" s="31">
        <f>IF(E32*E53=0,0,'Demanda por puesto'!$P$71/(E32*E53))</f>
        <v>0.09966333333</v>
      </c>
      <c r="F11" s="31">
        <f>IF(F32*F53=0,0,'Demanda por puesto'!$P$91/(F32*F53))</f>
        <v>0.1428933333</v>
      </c>
      <c r="G11" s="31">
        <f>IF(G32*G53=0,0,'Demanda por puesto'!$P$111/(G32*G53))</f>
        <v>0.1859033333</v>
      </c>
      <c r="H11" s="31">
        <f>IF(H32*H53=0,0,'Demanda por puesto'!$P$131/(H32*H53))</f>
        <v>0.2372733333</v>
      </c>
      <c r="I11" s="31">
        <f>IF(I32*I53=0,0,'Demanda por puesto'!$P$151/(I32*I53))</f>
        <v>0.2907333333</v>
      </c>
      <c r="J11" s="31">
        <f>IF(J32*J53=0,0,'Demanda por puesto'!$P$171/(J32*J53))</f>
        <v>0.3283533333</v>
      </c>
      <c r="K11" s="31">
        <f>IF(K32*K53=0,0,'Demanda por puesto'!$P$191/(K32*K53))</f>
        <v>0.3743333333</v>
      </c>
    </row>
    <row r="12" ht="14.25" customHeight="1">
      <c r="A12" s="2" t="str">
        <f>parametros_carros!$B$29</f>
        <v>Prueba hidráulica</v>
      </c>
      <c r="B12" s="31">
        <f>IF(B33*B54=0,0,'Demanda por puesto'!$P$12/(B33*B54))</f>
        <v>0.03443502222</v>
      </c>
      <c r="C12" s="31">
        <f>IF(C33*C54=0,0,'Demanda por puesto'!$P$32/(C33*C54))</f>
        <v>0.04314762222</v>
      </c>
      <c r="D12" s="31">
        <f>IF(D33*D54=0,0,'Demanda por puesto'!$P$52/(D33*D54))</f>
        <v>0.05455022222</v>
      </c>
      <c r="E12" s="31">
        <f>IF(E33*E54=0,0,'Demanda por puesto'!$P$72/(E33*E54))</f>
        <v>0.07637762222</v>
      </c>
      <c r="F12" s="31">
        <f>IF(F33*F54=0,0,'Demanda por puesto'!$P$92/(F33*F54))</f>
        <v>0.1116630222</v>
      </c>
      <c r="G12" s="31">
        <f>IF(G33*G54=0,0,'Demanda por puesto'!$P$112/(G33*G54))</f>
        <v>0.1467728222</v>
      </c>
      <c r="H12" s="31">
        <f>IF(H33*H54=0,0,'Demanda por puesto'!$P$132/(H33*H54))</f>
        <v>0.1887074222</v>
      </c>
      <c r="I12" s="31">
        <f>IF(I33*I54=0,0,'Demanda por puesto'!$P$152/(I33*I54))</f>
        <v>0.2323542222</v>
      </c>
      <c r="J12" s="31">
        <f>IF(J33*J54=0,0,'Demanda por puesto'!$P$172/(J33*J54))</f>
        <v>0.2630698222</v>
      </c>
      <c r="K12" s="31">
        <f>IF(K33*K54=0,0,'Demanda por puesto'!$P$192/(K33*K54))</f>
        <v>0.3006022222</v>
      </c>
    </row>
    <row r="13" ht="14.25" customHeight="1">
      <c r="A13" s="2" t="str">
        <f>parametros_carros!$B$30</f>
        <v>Secado</v>
      </c>
      <c r="B13" s="31">
        <f>IF(B34*B55=0,0,'Demanda por puesto'!$P$13/(B34*B55))</f>
        <v>0.01368</v>
      </c>
      <c r="C13" s="31">
        <f>IF(C34*C55=0,0,'Demanda por puesto'!$P$33/(C34*C55))</f>
        <v>0.02344</v>
      </c>
      <c r="D13" s="31">
        <f>IF(D34*D55=0,0,'Demanda por puesto'!$P$53/(D34*D55))</f>
        <v>0.03622</v>
      </c>
      <c r="E13" s="31">
        <f>IF(E34*E55=0,0,'Demanda por puesto'!$P$73/(E34*E55))</f>
        <v>0.0607</v>
      </c>
      <c r="F13" s="31">
        <f>IF(F34*F55=0,0,'Demanda por puesto'!$P$93/(F34*F55))</f>
        <v>0.1002</v>
      </c>
      <c r="G13" s="31">
        <f>IF(G34*G55=0,0,'Demanda por puesto'!$P$113/(G34*G55))</f>
        <v>0.13948</v>
      </c>
      <c r="H13" s="31">
        <f>IF(H34*H55=0,0,'Demanda por puesto'!$P$133/(H34*H55))</f>
        <v>0.18646</v>
      </c>
      <c r="I13" s="31">
        <f>IF(I34*I55=0,0,'Demanda por puesto'!$P$153/(I34*I55))</f>
        <v>0.23538</v>
      </c>
      <c r="J13" s="31">
        <f>IF(J34*J55=0,0,'Demanda por puesto'!$P$173/(J34*J55))</f>
        <v>0.2698</v>
      </c>
      <c r="K13" s="31">
        <f>IF(K34*K55=0,0,'Demanda por puesto'!$P$193/(K34*K55))</f>
        <v>0.31184</v>
      </c>
    </row>
    <row r="14" ht="14.25" customHeight="1">
      <c r="A14" s="2" t="str">
        <f>parametros_carros!$B$31</f>
        <v>Pulmón de despacho y carga a pintura</v>
      </c>
      <c r="B14" s="31">
        <f>IF(B35*B56=0,0,'Demanda por puesto'!$P$14/(B35*B56))</f>
        <v>0.01106338889</v>
      </c>
      <c r="C14" s="31">
        <f>IF(C35*C56=0,0,'Demanda por puesto'!$P$34/(C35*C56))</f>
        <v>0.01261988889</v>
      </c>
      <c r="D14" s="31">
        <f>IF(D35*D56=0,0,'Demanda por puesto'!$P$54/(D35*D56))</f>
        <v>0.01464888889</v>
      </c>
      <c r="E14" s="31">
        <f>IF(E35*E56=0,0,'Demanda por puesto'!$P$74/(E35*E56))</f>
        <v>0.01853988889</v>
      </c>
      <c r="F14" s="31">
        <f>IF(F35*F56=0,0,'Demanda por puesto'!$P$94/(F35*F56))</f>
        <v>0.02482338889</v>
      </c>
      <c r="G14" s="31">
        <f>IF(G35*G56=0,0,'Demanda por puesto'!$P$114/(G35*G56))</f>
        <v>0.03107038889</v>
      </c>
      <c r="H14" s="31">
        <f>IF(H35*H56=0,0,'Demanda por puesto'!$P$134/(H35*H56))</f>
        <v>0.03854688889</v>
      </c>
      <c r="I14" s="31">
        <f>IF(I35*I56=0,0,'Demanda por puesto'!$P$154/(I35*I56))</f>
        <v>0.04632888889</v>
      </c>
      <c r="J14" s="31">
        <f>IF(J35*J56=0,0,'Demanda por puesto'!$P$174/(J35*J56))</f>
        <v>0.05179788889</v>
      </c>
      <c r="K14" s="31">
        <f>IF(K35*K56=0,0,'Demanda por puesto'!$P$194/(K35*K56))</f>
        <v>0.05848888889</v>
      </c>
    </row>
    <row r="15" ht="14.25" customHeight="1">
      <c r="A15" s="2" t="str">
        <f>parametros_carros!$B$32</f>
        <v>Recepción de pintados y cambio de juego</v>
      </c>
      <c r="B15" s="31">
        <f>IF(B36*B57=0,0,'Demanda por puesto'!$P$15/(B36*B57))</f>
        <v>0.01314388889</v>
      </c>
      <c r="C15" s="31">
        <f>IF(C36*C57=0,0,'Demanda por puesto'!$P$35/(C36*C57))</f>
        <v>0.01618538889</v>
      </c>
      <c r="D15" s="31">
        <f>IF(D36*D57=0,0,'Demanda por puesto'!$P$55/(D36*D57))</f>
        <v>0.02015688889</v>
      </c>
      <c r="E15" s="31">
        <f>IF(E36*E57=0,0,'Demanda por puesto'!$P$75/(E36*E57))</f>
        <v>0.02776638889</v>
      </c>
      <c r="F15" s="31">
        <f>IF(F36*F57=0,0,'Demanda por puesto'!$P$95/(F36*F57))</f>
        <v>0.04006188889</v>
      </c>
      <c r="G15" s="31">
        <f>IF(G36*G57=0,0,'Demanda por puesto'!$P$115/(G36*G57))</f>
        <v>0.05228938889</v>
      </c>
      <c r="H15" s="31">
        <f>IF(H36*H57=0,0,'Demanda por puesto'!$P$135/(H36*H57))</f>
        <v>0.06691188889</v>
      </c>
      <c r="I15" s="31">
        <f>IF(I36*I57=0,0,'Demanda por puesto'!$P$155/(I36*I57))</f>
        <v>0.08213088889</v>
      </c>
      <c r="J15" s="31">
        <f>IF(J36*J57=0,0,'Demanda por puesto'!$P$175/(J36*J57))</f>
        <v>0.09283188889</v>
      </c>
      <c r="K15" s="31">
        <f>IF(K36*K57=0,0,'Demanda por puesto'!$P$195/(K36*K57))</f>
        <v>0.1059188889</v>
      </c>
    </row>
    <row r="16" ht="14.25" customHeight="1">
      <c r="A16" s="2" t="str">
        <f>parametros_carros!$B$33</f>
        <v>Carga de polvo y presurización</v>
      </c>
      <c r="B16" s="31">
        <f>IF(B37*B58=0,0,'Demanda por puesto'!$P$16/(B37*B58))</f>
        <v>0.1220746667</v>
      </c>
      <c r="C16" s="31">
        <f>IF(C37*C58=0,0,'Demanda por puesto'!$P$36/(C37*C58))</f>
        <v>0.1330606667</v>
      </c>
      <c r="D16" s="31">
        <f>IF(D37*D58=0,0,'Demanda por puesto'!$P$56/(D37*D58))</f>
        <v>0.1408526667</v>
      </c>
      <c r="E16" s="31">
        <f>IF(E37*E58=0,0,'Demanda por puesto'!$P$76/(E37*E58))</f>
        <v>0.1522726667</v>
      </c>
      <c r="F16" s="31">
        <f>IF(F37*F58=0,0,'Demanda por puesto'!$P$96/(F37*F58))</f>
        <v>0.1772356667</v>
      </c>
      <c r="G16" s="31">
        <f>IF(G37*G58=0,0,'Demanda por puesto'!$P$116/(G37*G58))</f>
        <v>0.2024496667</v>
      </c>
      <c r="H16" s="31">
        <f>IF(H37*H58=0,0,'Demanda por puesto'!$P$136/(H37*H58))</f>
        <v>0.2301416667</v>
      </c>
      <c r="I16" s="31">
        <f>IF(I37*I58=0,0,'Demanda por puesto'!$P$156/(I37*I58))</f>
        <v>0.2598576667</v>
      </c>
      <c r="J16" s="31">
        <f>IF(J37*J58=0,0,'Demanda por puesto'!$P$176/(J37*J58))</f>
        <v>0.2850236667</v>
      </c>
      <c r="K16" s="31">
        <f>IF(K37*K58=0,0,'Demanda por puesto'!$P$196/(K37*K58))</f>
        <v>0.3120956667</v>
      </c>
    </row>
    <row r="17" ht="14.25" customHeight="1">
      <c r="A17" s="2" t="str">
        <f>parametros_carros!$B$34</f>
        <v>Montaje, manga, precinto y etiquetado</v>
      </c>
      <c r="B17" s="31">
        <f>IF(B38*B59=0,0,'Demanda por puesto'!$P$17/(B38*B59))</f>
        <v>0.05526166667</v>
      </c>
      <c r="C17" s="31">
        <f>IF(C38*C59=0,0,'Demanda por puesto'!$P$37/(C38*C59))</f>
        <v>0.06138866667</v>
      </c>
      <c r="D17" s="31">
        <f>IF(D38*D59=0,0,'Demanda por puesto'!$P$57/(D38*D59))</f>
        <v>0.06574866667</v>
      </c>
      <c r="E17" s="31">
        <f>IF(E38*E59=0,0,'Demanda por puesto'!$P$77/(E38*E59))</f>
        <v>0.07208566667</v>
      </c>
      <c r="F17" s="31">
        <f>IF(F38*F59=0,0,'Demanda por puesto'!$P$97/(F38*F59))</f>
        <v>0.08603766667</v>
      </c>
      <c r="G17" s="31">
        <f>IF(G38*G59=0,0,'Demanda por puesto'!$P$117/(G38*G59))</f>
        <v>0.1001186667</v>
      </c>
      <c r="H17" s="31">
        <f>IF(H38*H59=0,0,'Demanda por puesto'!$P$137/(H38*H59))</f>
        <v>0.1155526667</v>
      </c>
      <c r="I17" s="31">
        <f>IF(I38*I59=0,0,'Demanda por puesto'!$P$157/(I38*I59))</f>
        <v>0.1321156667</v>
      </c>
      <c r="J17" s="31">
        <f>IF(J38*J59=0,0,'Demanda por puesto'!$P$177/(J38*J59))</f>
        <v>0.1461456667</v>
      </c>
      <c r="K17" s="31">
        <f>IF(K38*K59=0,0,'Demanda por puesto'!$P$197/(K38*K59))</f>
        <v>0.1612506667</v>
      </c>
    </row>
    <row r="18" ht="14.25" customHeight="1">
      <c r="A18" s="2" t="str">
        <f>parametros_carros!$B$35</f>
        <v>Calidad: pérdidas, inspección final, liberación y ensayos de lote</v>
      </c>
      <c r="B18" s="31">
        <f>IF(B39*B60=0,0,'Demanda por puesto'!$P$18/(B39*B60))</f>
        <v>0.3767366222</v>
      </c>
      <c r="C18" s="31">
        <f>IF(C39*C60=0,0,'Demanda por puesto'!$P$38/(C39*C60))</f>
        <v>0.3813829222</v>
      </c>
      <c r="D18" s="31">
        <f>IF(D39*D60=0,0,'Demanda por puesto'!$P$58/(D39*D60))</f>
        <v>0.3846880222</v>
      </c>
      <c r="E18" s="31">
        <f>IF(E39*E60=0,0,'Demanda por puesto'!$P$78/(E39*E60))</f>
        <v>0.3894780222</v>
      </c>
      <c r="F18" s="31">
        <f>IF(F39*F60=0,0,'Demanda por puesto'!$P$98/(F39*F60))</f>
        <v>0.4000639222</v>
      </c>
      <c r="G18" s="31">
        <f>IF(G39*G60=0,0,'Demanda por puesto'!$P$118/(G39*G60))</f>
        <v>0.4107456222</v>
      </c>
      <c r="H18" s="31">
        <f>IF(H39*H60=0,0,'Demanda por puesto'!$P$138/(H39*H60))</f>
        <v>0.4224332222</v>
      </c>
      <c r="I18" s="31">
        <f>IF(I39*I60=0,0,'Demanda por puesto'!$P$158/(I39*I60))</f>
        <v>0.4349830222</v>
      </c>
      <c r="J18" s="31">
        <f>IF(J39*J60=0,0,'Demanda por puesto'!$P$178/(J39*J60))</f>
        <v>0.4456168222</v>
      </c>
      <c r="K18" s="31">
        <f>IF(K39*K60=0,0,'Demanda por puesto'!$P$198/(K39*K60))</f>
        <v>0.4570649222</v>
      </c>
    </row>
    <row r="19" ht="14.25" customHeight="1">
      <c r="A19" s="2" t="str">
        <f>parametros_carros!$B$36</f>
        <v>Depósito de producto terminado y despacho</v>
      </c>
      <c r="B19" s="31">
        <f>IF(B40*B61=0,0,'Demanda por puesto'!$P$19/(B40*B61))</f>
        <v>0.02407022222</v>
      </c>
      <c r="C19" s="31">
        <f>IF(C40*C61=0,0,'Demanda por puesto'!$P$39/(C40*C61))</f>
        <v>0.02539422222</v>
      </c>
      <c r="D19" s="31">
        <f>IF(D40*D61=0,0,'Demanda por puesto'!$P$59/(D40*D61))</f>
        <v>0.02711822222</v>
      </c>
      <c r="E19" s="31">
        <f>IF(E40*E61=0,0,'Demanda por puesto'!$P$79/(E40*E61))</f>
        <v>0.03042622222</v>
      </c>
      <c r="F19" s="31">
        <f>IF(F40*F61=0,0,'Demanda por puesto'!$P$99/(F40*F61))</f>
        <v>0.03576622222</v>
      </c>
      <c r="G19" s="31">
        <f>IF(G40*G61=0,0,'Demanda por puesto'!$P$119/(G40*G61))</f>
        <v>0.04107422222</v>
      </c>
      <c r="H19" s="31">
        <f>IF(H40*H61=0,0,'Demanda por puesto'!$P$139/(H40*H61))</f>
        <v>0.04743022222</v>
      </c>
      <c r="I19" s="31">
        <f>IF(I40*I61=0,0,'Demanda por puesto'!$P$159/(I40*I61))</f>
        <v>0.05404622222</v>
      </c>
      <c r="J19" s="31">
        <f>IF(J40*J61=0,0,'Demanda por puesto'!$P$179/(J40*J61))</f>
        <v>0.05869422222</v>
      </c>
      <c r="K19" s="31">
        <f>IF(K40*K61=0,0,'Demanda por puesto'!$P$199/(K40*K61))</f>
        <v>0.06438222222</v>
      </c>
    </row>
    <row r="20" ht="14.25" customHeight="1">
      <c r="A20" s="6" t="s">
        <v>211</v>
      </c>
      <c r="B20" s="47">
        <f t="shared" ref="B20:K20" si="1">MAX(B2:B19)</f>
        <v>0.3767366222</v>
      </c>
      <c r="C20" s="47">
        <f t="shared" si="1"/>
        <v>0.3813829222</v>
      </c>
      <c r="D20" s="47">
        <f t="shared" si="1"/>
        <v>0.3846880222</v>
      </c>
      <c r="E20" s="47">
        <f t="shared" si="1"/>
        <v>0.3894780222</v>
      </c>
      <c r="F20" s="47">
        <f t="shared" si="1"/>
        <v>0.4000639222</v>
      </c>
      <c r="G20" s="47">
        <f t="shared" si="1"/>
        <v>0.4107456222</v>
      </c>
      <c r="H20" s="47">
        <f t="shared" si="1"/>
        <v>0.4224332222</v>
      </c>
      <c r="I20" s="47">
        <f t="shared" si="1"/>
        <v>0.4349830222</v>
      </c>
      <c r="J20" s="47">
        <f t="shared" si="1"/>
        <v>0.45421</v>
      </c>
      <c r="K20" s="47">
        <f t="shared" si="1"/>
        <v>0.52189</v>
      </c>
    </row>
    <row r="21" ht="14.25" customHeight="1"/>
    <row r="22" ht="14.25" customHeight="1">
      <c r="A22" s="1" t="s">
        <v>212</v>
      </c>
      <c r="B22" s="1">
        <v>2026.0</v>
      </c>
      <c r="C22" s="1">
        <v>2027.0</v>
      </c>
      <c r="D22" s="1">
        <v>2028.0</v>
      </c>
      <c r="E22" s="1">
        <v>2029.0</v>
      </c>
      <c r="F22" s="1">
        <v>2030.0</v>
      </c>
      <c r="G22" s="1">
        <v>2031.0</v>
      </c>
      <c r="H22" s="1">
        <v>2032.0</v>
      </c>
      <c r="I22" s="1">
        <v>2033.0</v>
      </c>
      <c r="J22" s="1">
        <v>2034.0</v>
      </c>
      <c r="K22" s="1">
        <v>2035.0</v>
      </c>
    </row>
    <row r="23" ht="14.25" customHeight="1">
      <c r="A23" s="2" t="str">
        <f>parametros_carros!$B$19</f>
        <v>Recepción de materia prima</v>
      </c>
      <c r="B23" s="28">
        <v>1.0</v>
      </c>
      <c r="C23" s="28">
        <v>1.0</v>
      </c>
      <c r="D23" s="28">
        <v>1.0</v>
      </c>
      <c r="E23" s="28">
        <v>1.0</v>
      </c>
      <c r="F23" s="28">
        <v>1.0</v>
      </c>
      <c r="G23" s="28">
        <v>1.0</v>
      </c>
      <c r="H23" s="28">
        <v>1.0</v>
      </c>
      <c r="I23" s="28">
        <v>1.0</v>
      </c>
      <c r="J23" s="28">
        <v>1.0</v>
      </c>
      <c r="K23" s="28">
        <v>1.0</v>
      </c>
    </row>
    <row r="24" ht="14.25" customHeight="1">
      <c r="A24" s="2" t="str">
        <f>parametros_carros!$B$20</f>
        <v>Corte de chapa (guillotina)</v>
      </c>
      <c r="B24" s="28">
        <v>1.0</v>
      </c>
      <c r="C24" s="28">
        <v>1.0</v>
      </c>
      <c r="D24" s="28">
        <v>1.0</v>
      </c>
      <c r="E24" s="28">
        <v>1.0</v>
      </c>
      <c r="F24" s="28">
        <v>1.0</v>
      </c>
      <c r="G24" s="28">
        <v>1.0</v>
      </c>
      <c r="H24" s="28">
        <v>1.0</v>
      </c>
      <c r="I24" s="28">
        <v>1.0</v>
      </c>
      <c r="J24" s="28">
        <v>1.0</v>
      </c>
      <c r="K24" s="28">
        <v>1.0</v>
      </c>
    </row>
    <row r="25" ht="14.25" customHeight="1">
      <c r="A25" s="2" t="str">
        <f>parametros_carros!$B$21</f>
        <v>Marcado del cuerpo</v>
      </c>
      <c r="B25" s="28">
        <v>1.0</v>
      </c>
      <c r="C25" s="28">
        <v>1.0</v>
      </c>
      <c r="D25" s="28">
        <v>1.0</v>
      </c>
      <c r="E25" s="28">
        <v>1.0</v>
      </c>
      <c r="F25" s="28">
        <v>1.0</v>
      </c>
      <c r="G25" s="28">
        <v>1.0</v>
      </c>
      <c r="H25" s="28">
        <v>1.0</v>
      </c>
      <c r="I25" s="28">
        <v>1.0</v>
      </c>
      <c r="J25" s="28">
        <v>1.0</v>
      </c>
      <c r="K25" s="28">
        <v>1.0</v>
      </c>
    </row>
    <row r="26" ht="14.25" customHeight="1">
      <c r="A26" s="2" t="str">
        <f>parametros_carros!$B$22</f>
        <v>Cilindrado</v>
      </c>
      <c r="B26" s="28">
        <v>1.0</v>
      </c>
      <c r="C26" s="28">
        <v>1.0</v>
      </c>
      <c r="D26" s="28">
        <v>1.0</v>
      </c>
      <c r="E26" s="28">
        <v>1.0</v>
      </c>
      <c r="F26" s="28">
        <v>1.0</v>
      </c>
      <c r="G26" s="28">
        <v>1.0</v>
      </c>
      <c r="H26" s="28">
        <v>1.0</v>
      </c>
      <c r="I26" s="28">
        <v>1.0</v>
      </c>
      <c r="J26" s="28">
        <v>1.0</v>
      </c>
      <c r="K26" s="28">
        <v>1.0</v>
      </c>
    </row>
    <row r="27" ht="14.25" customHeight="1">
      <c r="A27" s="2" t="str">
        <f>parametros_carros!$B$23</f>
        <v>Punteo del cuerpo</v>
      </c>
      <c r="B27" s="28">
        <v>1.0</v>
      </c>
      <c r="C27" s="28">
        <v>1.0</v>
      </c>
      <c r="D27" s="28">
        <v>1.0</v>
      </c>
      <c r="E27" s="28">
        <v>1.0</v>
      </c>
      <c r="F27" s="28">
        <v>1.0</v>
      </c>
      <c r="G27" s="28">
        <v>1.0</v>
      </c>
      <c r="H27" s="28">
        <v>1.0</v>
      </c>
      <c r="I27" s="28">
        <v>1.0</v>
      </c>
      <c r="J27" s="28">
        <v>1.0</v>
      </c>
      <c r="K27" s="28">
        <v>1.0</v>
      </c>
    </row>
    <row r="28" ht="14.25" customHeight="1">
      <c r="A28" s="2" t="str">
        <f>parametros_carros!$B$24</f>
        <v>Soldadura longitudinal</v>
      </c>
      <c r="B28" s="28">
        <v>1.0</v>
      </c>
      <c r="C28" s="28">
        <v>1.0</v>
      </c>
      <c r="D28" s="28">
        <v>1.0</v>
      </c>
      <c r="E28" s="28">
        <v>1.0</v>
      </c>
      <c r="F28" s="28">
        <v>1.0</v>
      </c>
      <c r="G28" s="28">
        <v>1.0</v>
      </c>
      <c r="H28" s="28">
        <v>1.0</v>
      </c>
      <c r="I28" s="28">
        <v>1.0</v>
      </c>
      <c r="J28" s="28">
        <v>1.0</v>
      </c>
      <c r="K28" s="28">
        <v>1.0</v>
      </c>
    </row>
    <row r="29" ht="14.25" customHeight="1">
      <c r="A29" s="2" t="str">
        <f>parametros_carros!$B$25</f>
        <v>Soldadura de cupla en la cúpula</v>
      </c>
      <c r="B29" s="28">
        <v>1.0</v>
      </c>
      <c r="C29" s="28">
        <v>1.0</v>
      </c>
      <c r="D29" s="28">
        <v>1.0</v>
      </c>
      <c r="E29" s="28">
        <v>1.0</v>
      </c>
      <c r="F29" s="28">
        <v>1.0</v>
      </c>
      <c r="G29" s="28">
        <v>1.0</v>
      </c>
      <c r="H29" s="28">
        <v>1.0</v>
      </c>
      <c r="I29" s="28">
        <v>1.0</v>
      </c>
      <c r="J29" s="28">
        <v>1.0</v>
      </c>
      <c r="K29" s="28">
        <v>1.0</v>
      </c>
    </row>
    <row r="30" ht="14.25" customHeight="1">
      <c r="A30" s="2" t="str">
        <f>parametros_carros!$B$26</f>
        <v>Armado y soldadura circunferencial</v>
      </c>
      <c r="B30" s="28">
        <v>1.0</v>
      </c>
      <c r="C30" s="28">
        <v>1.0</v>
      </c>
      <c r="D30" s="28">
        <v>1.0</v>
      </c>
      <c r="E30" s="28">
        <v>1.0</v>
      </c>
      <c r="F30" s="28">
        <v>1.0</v>
      </c>
      <c r="G30" s="28">
        <v>1.0</v>
      </c>
      <c r="H30" s="28">
        <v>1.0</v>
      </c>
      <c r="I30" s="28">
        <v>1.0</v>
      </c>
      <c r="J30" s="28">
        <v>1.0</v>
      </c>
      <c r="K30" s="28">
        <v>1.0</v>
      </c>
    </row>
    <row r="31" ht="14.25" customHeight="1">
      <c r="A31" s="2" t="str">
        <f>parametros_carros!$B$27</f>
        <v>Soldadura de accesorios</v>
      </c>
      <c r="B31" s="28">
        <v>1.0</v>
      </c>
      <c r="C31" s="28">
        <v>1.0</v>
      </c>
      <c r="D31" s="28">
        <v>1.0</v>
      </c>
      <c r="E31" s="28">
        <v>1.0</v>
      </c>
      <c r="F31" s="28">
        <v>1.0</v>
      </c>
      <c r="G31" s="28">
        <v>1.0</v>
      </c>
      <c r="H31" s="28">
        <v>1.0</v>
      </c>
      <c r="I31" s="28">
        <v>1.0</v>
      </c>
      <c r="J31" s="28">
        <v>1.0</v>
      </c>
      <c r="K31" s="28">
        <v>1.0</v>
      </c>
    </row>
    <row r="32" ht="14.25" customHeight="1">
      <c r="A32" s="2" t="str">
        <f>parametros_carros!$B$28</f>
        <v>Fabricación de accesorios</v>
      </c>
      <c r="B32" s="28">
        <v>1.0</v>
      </c>
      <c r="C32" s="28">
        <v>1.0</v>
      </c>
      <c r="D32" s="28">
        <v>1.0</v>
      </c>
      <c r="E32" s="28">
        <v>1.0</v>
      </c>
      <c r="F32" s="28">
        <v>1.0</v>
      </c>
      <c r="G32" s="28">
        <v>1.0</v>
      </c>
      <c r="H32" s="28">
        <v>1.0</v>
      </c>
      <c r="I32" s="28">
        <v>1.0</v>
      </c>
      <c r="J32" s="28">
        <v>1.0</v>
      </c>
      <c r="K32" s="28">
        <v>1.0</v>
      </c>
    </row>
    <row r="33" ht="14.25" customHeight="1">
      <c r="A33" s="2" t="str">
        <f>parametros_carros!$B$29</f>
        <v>Prueba hidráulica</v>
      </c>
      <c r="B33" s="28">
        <v>1.0</v>
      </c>
      <c r="C33" s="28">
        <v>1.0</v>
      </c>
      <c r="D33" s="28">
        <v>1.0</v>
      </c>
      <c r="E33" s="28">
        <v>1.0</v>
      </c>
      <c r="F33" s="28">
        <v>1.0</v>
      </c>
      <c r="G33" s="28">
        <v>1.0</v>
      </c>
      <c r="H33" s="28">
        <v>1.0</v>
      </c>
      <c r="I33" s="28">
        <v>1.0</v>
      </c>
      <c r="J33" s="28">
        <v>1.0</v>
      </c>
      <c r="K33" s="28">
        <v>1.0</v>
      </c>
    </row>
    <row r="34" ht="14.25" customHeight="1">
      <c r="A34" s="2" t="str">
        <f>parametros_carros!$B$30</f>
        <v>Secado</v>
      </c>
      <c r="B34" s="28">
        <v>1.0</v>
      </c>
      <c r="C34" s="28">
        <v>1.0</v>
      </c>
      <c r="D34" s="28">
        <v>1.0</v>
      </c>
      <c r="E34" s="28">
        <v>1.0</v>
      </c>
      <c r="F34" s="28">
        <v>1.0</v>
      </c>
      <c r="G34" s="28">
        <v>1.0</v>
      </c>
      <c r="H34" s="28">
        <v>1.0</v>
      </c>
      <c r="I34" s="28">
        <v>1.0</v>
      </c>
      <c r="J34" s="28">
        <v>1.0</v>
      </c>
      <c r="K34" s="28">
        <v>1.0</v>
      </c>
    </row>
    <row r="35" ht="14.25" customHeight="1">
      <c r="A35" s="2" t="str">
        <f>parametros_carros!$B$31</f>
        <v>Pulmón de despacho y carga a pintura</v>
      </c>
      <c r="B35" s="28">
        <v>1.0</v>
      </c>
      <c r="C35" s="28">
        <v>1.0</v>
      </c>
      <c r="D35" s="28">
        <v>1.0</v>
      </c>
      <c r="E35" s="28">
        <v>1.0</v>
      </c>
      <c r="F35" s="28">
        <v>1.0</v>
      </c>
      <c r="G35" s="28">
        <v>1.0</v>
      </c>
      <c r="H35" s="28">
        <v>1.0</v>
      </c>
      <c r="I35" s="28">
        <v>1.0</v>
      </c>
      <c r="J35" s="28">
        <v>1.0</v>
      </c>
      <c r="K35" s="28">
        <v>1.0</v>
      </c>
    </row>
    <row r="36" ht="14.25" customHeight="1">
      <c r="A36" s="2" t="str">
        <f>parametros_carros!$B$32</f>
        <v>Recepción de pintados y cambio de juego</v>
      </c>
      <c r="B36" s="28">
        <v>1.0</v>
      </c>
      <c r="C36" s="28">
        <v>1.0</v>
      </c>
      <c r="D36" s="28">
        <v>1.0</v>
      </c>
      <c r="E36" s="28">
        <v>1.0</v>
      </c>
      <c r="F36" s="28">
        <v>1.0</v>
      </c>
      <c r="G36" s="28">
        <v>1.0</v>
      </c>
      <c r="H36" s="28">
        <v>1.0</v>
      </c>
      <c r="I36" s="28">
        <v>1.0</v>
      </c>
      <c r="J36" s="28">
        <v>1.0</v>
      </c>
      <c r="K36" s="28">
        <v>1.0</v>
      </c>
    </row>
    <row r="37" ht="14.25" customHeight="1">
      <c r="A37" s="2" t="str">
        <f>parametros_carros!$B$33</f>
        <v>Carga de polvo y presurización</v>
      </c>
      <c r="B37" s="28">
        <v>1.0</v>
      </c>
      <c r="C37" s="28">
        <v>1.0</v>
      </c>
      <c r="D37" s="28">
        <v>1.0</v>
      </c>
      <c r="E37" s="28">
        <v>1.0</v>
      </c>
      <c r="F37" s="28">
        <v>1.0</v>
      </c>
      <c r="G37" s="28">
        <v>1.0</v>
      </c>
      <c r="H37" s="28">
        <v>1.0</v>
      </c>
      <c r="I37" s="28">
        <v>1.0</v>
      </c>
      <c r="J37" s="28">
        <v>1.0</v>
      </c>
      <c r="K37" s="28">
        <v>1.0</v>
      </c>
    </row>
    <row r="38" ht="14.25" customHeight="1">
      <c r="A38" s="2" t="str">
        <f>parametros_carros!$B$34</f>
        <v>Montaje, manga, precinto y etiquetado</v>
      </c>
      <c r="B38" s="28">
        <v>1.0</v>
      </c>
      <c r="C38" s="28">
        <v>1.0</v>
      </c>
      <c r="D38" s="28">
        <v>1.0</v>
      </c>
      <c r="E38" s="28">
        <v>1.0</v>
      </c>
      <c r="F38" s="28">
        <v>1.0</v>
      </c>
      <c r="G38" s="28">
        <v>1.0</v>
      </c>
      <c r="H38" s="28">
        <v>1.0</v>
      </c>
      <c r="I38" s="28">
        <v>1.0</v>
      </c>
      <c r="J38" s="28">
        <v>1.0</v>
      </c>
      <c r="K38" s="28">
        <v>1.0</v>
      </c>
    </row>
    <row r="39" ht="14.25" customHeight="1">
      <c r="A39" s="2" t="str">
        <f>parametros_carros!$B$35</f>
        <v>Calidad: pérdidas, inspección final, liberación y ensayos de lote</v>
      </c>
      <c r="B39" s="28">
        <v>1.0</v>
      </c>
      <c r="C39" s="28">
        <v>1.0</v>
      </c>
      <c r="D39" s="28">
        <v>1.0</v>
      </c>
      <c r="E39" s="28">
        <v>1.0</v>
      </c>
      <c r="F39" s="28">
        <v>1.0</v>
      </c>
      <c r="G39" s="28">
        <v>1.0</v>
      </c>
      <c r="H39" s="28">
        <v>1.0</v>
      </c>
      <c r="I39" s="28">
        <v>1.0</v>
      </c>
      <c r="J39" s="28">
        <v>1.0</v>
      </c>
      <c r="K39" s="28">
        <v>1.0</v>
      </c>
    </row>
    <row r="40" ht="14.25" customHeight="1">
      <c r="A40" s="2" t="str">
        <f>parametros_carros!$B$36</f>
        <v>Depósito de producto terminado y despacho</v>
      </c>
      <c r="B40" s="28">
        <v>1.0</v>
      </c>
      <c r="C40" s="28">
        <v>1.0</v>
      </c>
      <c r="D40" s="28">
        <v>1.0</v>
      </c>
      <c r="E40" s="28">
        <v>1.0</v>
      </c>
      <c r="F40" s="28">
        <v>1.0</v>
      </c>
      <c r="G40" s="28">
        <v>1.0</v>
      </c>
      <c r="H40" s="28">
        <v>1.0</v>
      </c>
      <c r="I40" s="28">
        <v>1.0</v>
      </c>
      <c r="J40" s="28">
        <v>1.0</v>
      </c>
      <c r="K40" s="28">
        <v>1.0</v>
      </c>
    </row>
    <row r="41" ht="14.25" customHeight="1">
      <c r="A41" s="6" t="s">
        <v>306</v>
      </c>
      <c r="B41" s="49">
        <f t="shared" ref="B41:K41" si="2">SUM(B23:B40)</f>
        <v>18</v>
      </c>
      <c r="C41" s="49">
        <f t="shared" si="2"/>
        <v>18</v>
      </c>
      <c r="D41" s="49">
        <f t="shared" si="2"/>
        <v>18</v>
      </c>
      <c r="E41" s="49">
        <f t="shared" si="2"/>
        <v>18</v>
      </c>
      <c r="F41" s="49">
        <f t="shared" si="2"/>
        <v>18</v>
      </c>
      <c r="G41" s="49">
        <f t="shared" si="2"/>
        <v>18</v>
      </c>
      <c r="H41" s="49">
        <f t="shared" si="2"/>
        <v>18</v>
      </c>
      <c r="I41" s="49">
        <f t="shared" si="2"/>
        <v>18</v>
      </c>
      <c r="J41" s="49">
        <f t="shared" si="2"/>
        <v>18</v>
      </c>
      <c r="K41" s="49">
        <f t="shared" si="2"/>
        <v>18</v>
      </c>
    </row>
    <row r="42" ht="14.25" customHeight="1"/>
    <row r="43" ht="14.25" customHeight="1">
      <c r="A43" s="1" t="s">
        <v>347</v>
      </c>
      <c r="B43" s="1">
        <v>2026.0</v>
      </c>
      <c r="C43" s="1">
        <v>2027.0</v>
      </c>
      <c r="D43" s="1">
        <v>2028.0</v>
      </c>
      <c r="E43" s="1">
        <v>2029.0</v>
      </c>
      <c r="F43" s="1">
        <v>2030.0</v>
      </c>
      <c r="G43" s="1">
        <v>2031.0</v>
      </c>
      <c r="H43" s="1">
        <v>2032.0</v>
      </c>
      <c r="I43" s="1">
        <v>2033.0</v>
      </c>
      <c r="J43" s="1">
        <v>2034.0</v>
      </c>
      <c r="K43" s="1">
        <v>2035.0</v>
      </c>
    </row>
    <row r="44" ht="14.25" customHeight="1">
      <c r="A44" s="2" t="str">
        <f>parametros_carros!$B$19</f>
        <v>Recepción de materia prima</v>
      </c>
      <c r="B44" s="28">
        <v>1.0</v>
      </c>
      <c r="C44" s="28">
        <v>1.0</v>
      </c>
      <c r="D44" s="28">
        <v>1.0</v>
      </c>
      <c r="E44" s="28">
        <v>1.0</v>
      </c>
      <c r="F44" s="28">
        <v>1.0</v>
      </c>
      <c r="G44" s="28">
        <v>1.0</v>
      </c>
      <c r="H44" s="28">
        <v>1.0</v>
      </c>
      <c r="I44" s="28">
        <v>1.0</v>
      </c>
      <c r="J44" s="28">
        <v>1.0</v>
      </c>
      <c r="K44" s="28">
        <v>1.0</v>
      </c>
    </row>
    <row r="45" ht="14.25" customHeight="1">
      <c r="A45" s="2" t="str">
        <f>parametros_carros!$B$20</f>
        <v>Corte de chapa (guillotina)</v>
      </c>
      <c r="B45" s="28">
        <v>1.0</v>
      </c>
      <c r="C45" s="28">
        <v>1.0</v>
      </c>
      <c r="D45" s="28">
        <v>1.0</v>
      </c>
      <c r="E45" s="28">
        <v>1.0</v>
      </c>
      <c r="F45" s="28">
        <v>1.0</v>
      </c>
      <c r="G45" s="28">
        <v>1.0</v>
      </c>
      <c r="H45" s="28">
        <v>1.0</v>
      </c>
      <c r="I45" s="28">
        <v>1.0</v>
      </c>
      <c r="J45" s="28">
        <v>1.0</v>
      </c>
      <c r="K45" s="28">
        <v>1.0</v>
      </c>
    </row>
    <row r="46" ht="14.25" customHeight="1">
      <c r="A46" s="2" t="str">
        <f>parametros_carros!$B$21</f>
        <v>Marcado del cuerpo</v>
      </c>
      <c r="B46" s="28">
        <v>1.0</v>
      </c>
      <c r="C46" s="28">
        <v>1.0</v>
      </c>
      <c r="D46" s="28">
        <v>1.0</v>
      </c>
      <c r="E46" s="28">
        <v>1.0</v>
      </c>
      <c r="F46" s="28">
        <v>1.0</v>
      </c>
      <c r="G46" s="28">
        <v>1.0</v>
      </c>
      <c r="H46" s="28">
        <v>1.0</v>
      </c>
      <c r="I46" s="28">
        <v>1.0</v>
      </c>
      <c r="J46" s="28">
        <v>1.0</v>
      </c>
      <c r="K46" s="28">
        <v>1.0</v>
      </c>
    </row>
    <row r="47" ht="14.25" customHeight="1">
      <c r="A47" s="2" t="str">
        <f>parametros_carros!$B$22</f>
        <v>Cilindrado</v>
      </c>
      <c r="B47" s="28">
        <v>1.0</v>
      </c>
      <c r="C47" s="28">
        <v>1.0</v>
      </c>
      <c r="D47" s="28">
        <v>1.0</v>
      </c>
      <c r="E47" s="28">
        <v>1.0</v>
      </c>
      <c r="F47" s="28">
        <v>1.0</v>
      </c>
      <c r="G47" s="28">
        <v>1.0</v>
      </c>
      <c r="H47" s="28">
        <v>1.0</v>
      </c>
      <c r="I47" s="28">
        <v>1.0</v>
      </c>
      <c r="J47" s="28">
        <v>1.0</v>
      </c>
      <c r="K47" s="28">
        <v>1.0</v>
      </c>
    </row>
    <row r="48" ht="14.25" customHeight="1">
      <c r="A48" s="2" t="str">
        <f>parametros_carros!$B$23</f>
        <v>Punteo del cuerpo</v>
      </c>
      <c r="B48" s="28">
        <v>1.0</v>
      </c>
      <c r="C48" s="28">
        <v>1.0</v>
      </c>
      <c r="D48" s="28">
        <v>1.0</v>
      </c>
      <c r="E48" s="28">
        <v>1.0</v>
      </c>
      <c r="F48" s="28">
        <v>1.0</v>
      </c>
      <c r="G48" s="28">
        <v>1.0</v>
      </c>
      <c r="H48" s="28">
        <v>1.0</v>
      </c>
      <c r="I48" s="28">
        <v>1.0</v>
      </c>
      <c r="J48" s="28">
        <v>1.0</v>
      </c>
      <c r="K48" s="28">
        <v>1.0</v>
      </c>
    </row>
    <row r="49" ht="14.25" customHeight="1">
      <c r="A49" s="2" t="str">
        <f>parametros_carros!$B$24</f>
        <v>Soldadura longitudinal</v>
      </c>
      <c r="B49" s="28">
        <v>1.0</v>
      </c>
      <c r="C49" s="28">
        <v>1.0</v>
      </c>
      <c r="D49" s="28">
        <v>1.0</v>
      </c>
      <c r="E49" s="28">
        <v>1.0</v>
      </c>
      <c r="F49" s="28">
        <v>1.0</v>
      </c>
      <c r="G49" s="28">
        <v>1.0</v>
      </c>
      <c r="H49" s="28">
        <v>1.0</v>
      </c>
      <c r="I49" s="28">
        <v>1.0</v>
      </c>
      <c r="J49" s="28">
        <v>1.0</v>
      </c>
      <c r="K49" s="28">
        <v>1.0</v>
      </c>
    </row>
    <row r="50" ht="14.25" customHeight="1">
      <c r="A50" s="2" t="str">
        <f>parametros_carros!$B$25</f>
        <v>Soldadura de cupla en la cúpula</v>
      </c>
      <c r="B50" s="28">
        <v>1.0</v>
      </c>
      <c r="C50" s="28">
        <v>1.0</v>
      </c>
      <c r="D50" s="28">
        <v>1.0</v>
      </c>
      <c r="E50" s="28">
        <v>1.0</v>
      </c>
      <c r="F50" s="28">
        <v>1.0</v>
      </c>
      <c r="G50" s="28">
        <v>1.0</v>
      </c>
      <c r="H50" s="28">
        <v>1.0</v>
      </c>
      <c r="I50" s="28">
        <v>1.0</v>
      </c>
      <c r="J50" s="28">
        <v>1.0</v>
      </c>
      <c r="K50" s="28">
        <v>1.0</v>
      </c>
    </row>
    <row r="51" ht="14.25" customHeight="1">
      <c r="A51" s="2" t="str">
        <f>parametros_carros!$B$26</f>
        <v>Armado y soldadura circunferencial</v>
      </c>
      <c r="B51" s="28">
        <v>1.0</v>
      </c>
      <c r="C51" s="28">
        <v>1.0</v>
      </c>
      <c r="D51" s="28">
        <v>1.0</v>
      </c>
      <c r="E51" s="28">
        <v>1.0</v>
      </c>
      <c r="F51" s="28">
        <v>1.0</v>
      </c>
      <c r="G51" s="28">
        <v>1.0</v>
      </c>
      <c r="H51" s="28">
        <v>1.0</v>
      </c>
      <c r="I51" s="28">
        <v>1.0</v>
      </c>
      <c r="J51" s="28">
        <v>1.0</v>
      </c>
      <c r="K51" s="28">
        <v>1.0</v>
      </c>
    </row>
    <row r="52" ht="14.25" customHeight="1">
      <c r="A52" s="2" t="str">
        <f>parametros_carros!$B$27</f>
        <v>Soldadura de accesorios</v>
      </c>
      <c r="B52" s="28">
        <v>1.0</v>
      </c>
      <c r="C52" s="28">
        <v>1.0</v>
      </c>
      <c r="D52" s="28">
        <v>1.0</v>
      </c>
      <c r="E52" s="28">
        <v>1.0</v>
      </c>
      <c r="F52" s="28">
        <v>1.0</v>
      </c>
      <c r="G52" s="28">
        <v>1.0</v>
      </c>
      <c r="H52" s="28">
        <v>1.0</v>
      </c>
      <c r="I52" s="28">
        <v>1.0</v>
      </c>
      <c r="J52" s="28">
        <v>1.0</v>
      </c>
      <c r="K52" s="28">
        <v>1.0</v>
      </c>
    </row>
    <row r="53" ht="14.25" customHeight="1">
      <c r="A53" s="2" t="str">
        <f>parametros_carros!$B$28</f>
        <v>Fabricación de accesorios</v>
      </c>
      <c r="B53" s="28">
        <v>1.0</v>
      </c>
      <c r="C53" s="28">
        <v>1.0</v>
      </c>
      <c r="D53" s="28">
        <v>1.0</v>
      </c>
      <c r="E53" s="28">
        <v>1.0</v>
      </c>
      <c r="F53" s="28">
        <v>1.0</v>
      </c>
      <c r="G53" s="28">
        <v>1.0</v>
      </c>
      <c r="H53" s="28">
        <v>1.0</v>
      </c>
      <c r="I53" s="28">
        <v>1.0</v>
      </c>
      <c r="J53" s="28">
        <v>1.0</v>
      </c>
      <c r="K53" s="28">
        <v>1.0</v>
      </c>
    </row>
    <row r="54" ht="14.25" customHeight="1">
      <c r="A54" s="2" t="str">
        <f>parametros_carros!$B$29</f>
        <v>Prueba hidráulica</v>
      </c>
      <c r="B54" s="28">
        <v>1.0</v>
      </c>
      <c r="C54" s="28">
        <v>1.0</v>
      </c>
      <c r="D54" s="28">
        <v>1.0</v>
      </c>
      <c r="E54" s="28">
        <v>1.0</v>
      </c>
      <c r="F54" s="28">
        <v>1.0</v>
      </c>
      <c r="G54" s="28">
        <v>1.0</v>
      </c>
      <c r="H54" s="28">
        <v>1.0</v>
      </c>
      <c r="I54" s="28">
        <v>1.0</v>
      </c>
      <c r="J54" s="28">
        <v>1.0</v>
      </c>
      <c r="K54" s="28">
        <v>1.0</v>
      </c>
    </row>
    <row r="55" ht="14.25" customHeight="1">
      <c r="A55" s="2" t="str">
        <f>parametros_carros!$B$30</f>
        <v>Secado</v>
      </c>
      <c r="B55" s="28">
        <v>1.0</v>
      </c>
      <c r="C55" s="28">
        <v>1.0</v>
      </c>
      <c r="D55" s="28">
        <v>1.0</v>
      </c>
      <c r="E55" s="28">
        <v>1.0</v>
      </c>
      <c r="F55" s="28">
        <v>1.0</v>
      </c>
      <c r="G55" s="28">
        <v>1.0</v>
      </c>
      <c r="H55" s="28">
        <v>1.0</v>
      </c>
      <c r="I55" s="28">
        <v>1.0</v>
      </c>
      <c r="J55" s="28">
        <v>1.0</v>
      </c>
      <c r="K55" s="28">
        <v>1.0</v>
      </c>
    </row>
    <row r="56" ht="14.25" customHeight="1">
      <c r="A56" s="2" t="str">
        <f>parametros_carros!$B$31</f>
        <v>Pulmón de despacho y carga a pintura</v>
      </c>
      <c r="B56" s="28">
        <v>1.0</v>
      </c>
      <c r="C56" s="28">
        <v>1.0</v>
      </c>
      <c r="D56" s="28">
        <v>1.0</v>
      </c>
      <c r="E56" s="28">
        <v>1.0</v>
      </c>
      <c r="F56" s="28">
        <v>1.0</v>
      </c>
      <c r="G56" s="28">
        <v>1.0</v>
      </c>
      <c r="H56" s="28">
        <v>1.0</v>
      </c>
      <c r="I56" s="28">
        <v>1.0</v>
      </c>
      <c r="J56" s="28">
        <v>1.0</v>
      </c>
      <c r="K56" s="28">
        <v>1.0</v>
      </c>
    </row>
    <row r="57" ht="14.25" customHeight="1">
      <c r="A57" s="2" t="str">
        <f>parametros_carros!$B$32</f>
        <v>Recepción de pintados y cambio de juego</v>
      </c>
      <c r="B57" s="28">
        <v>1.0</v>
      </c>
      <c r="C57" s="28">
        <v>1.0</v>
      </c>
      <c r="D57" s="28">
        <v>1.0</v>
      </c>
      <c r="E57" s="28">
        <v>1.0</v>
      </c>
      <c r="F57" s="28">
        <v>1.0</v>
      </c>
      <c r="G57" s="28">
        <v>1.0</v>
      </c>
      <c r="H57" s="28">
        <v>1.0</v>
      </c>
      <c r="I57" s="28">
        <v>1.0</v>
      </c>
      <c r="J57" s="28">
        <v>1.0</v>
      </c>
      <c r="K57" s="28">
        <v>1.0</v>
      </c>
    </row>
    <row r="58" ht="14.25" customHeight="1">
      <c r="A58" s="2" t="str">
        <f>parametros_carros!$B$33</f>
        <v>Carga de polvo y presurización</v>
      </c>
      <c r="B58" s="28">
        <v>1.0</v>
      </c>
      <c r="C58" s="28">
        <v>1.0</v>
      </c>
      <c r="D58" s="28">
        <v>1.0</v>
      </c>
      <c r="E58" s="28">
        <v>1.0</v>
      </c>
      <c r="F58" s="28">
        <v>1.0</v>
      </c>
      <c r="G58" s="28">
        <v>1.0</v>
      </c>
      <c r="H58" s="28">
        <v>1.0</v>
      </c>
      <c r="I58" s="28">
        <v>1.0</v>
      </c>
      <c r="J58" s="28">
        <v>1.0</v>
      </c>
      <c r="K58" s="28">
        <v>1.0</v>
      </c>
    </row>
    <row r="59" ht="14.25" customHeight="1">
      <c r="A59" s="2" t="str">
        <f>parametros_carros!$B$34</f>
        <v>Montaje, manga, precinto y etiquetado</v>
      </c>
      <c r="B59" s="28">
        <v>1.0</v>
      </c>
      <c r="C59" s="28">
        <v>1.0</v>
      </c>
      <c r="D59" s="28">
        <v>1.0</v>
      </c>
      <c r="E59" s="28">
        <v>1.0</v>
      </c>
      <c r="F59" s="28">
        <v>1.0</v>
      </c>
      <c r="G59" s="28">
        <v>1.0</v>
      </c>
      <c r="H59" s="28">
        <v>1.0</v>
      </c>
      <c r="I59" s="28">
        <v>1.0</v>
      </c>
      <c r="J59" s="28">
        <v>1.0</v>
      </c>
      <c r="K59" s="28">
        <v>1.0</v>
      </c>
    </row>
    <row r="60" ht="14.25" customHeight="1">
      <c r="A60" s="2" t="str">
        <f>parametros_carros!$B$35</f>
        <v>Calidad: pérdidas, inspección final, liberación y ensayos de lote</v>
      </c>
      <c r="B60" s="28">
        <v>1.0</v>
      </c>
      <c r="C60" s="28">
        <v>1.0</v>
      </c>
      <c r="D60" s="28">
        <v>1.0</v>
      </c>
      <c r="E60" s="28">
        <v>1.0</v>
      </c>
      <c r="F60" s="28">
        <v>1.0</v>
      </c>
      <c r="G60" s="28">
        <v>1.0</v>
      </c>
      <c r="H60" s="28">
        <v>1.0</v>
      </c>
      <c r="I60" s="28">
        <v>1.0</v>
      </c>
      <c r="J60" s="28">
        <v>1.0</v>
      </c>
      <c r="K60" s="28">
        <v>1.0</v>
      </c>
    </row>
    <row r="61" ht="14.25" customHeight="1">
      <c r="A61" s="2" t="str">
        <f>parametros_carros!$B$36</f>
        <v>Depósito de producto terminado y despacho</v>
      </c>
      <c r="B61" s="28">
        <v>1.0</v>
      </c>
      <c r="C61" s="28">
        <v>1.0</v>
      </c>
      <c r="D61" s="28">
        <v>1.0</v>
      </c>
      <c r="E61" s="28">
        <v>1.0</v>
      </c>
      <c r="F61" s="28">
        <v>1.0</v>
      </c>
      <c r="G61" s="28">
        <v>1.0</v>
      </c>
      <c r="H61" s="28">
        <v>1.0</v>
      </c>
      <c r="I61" s="28">
        <v>1.0</v>
      </c>
      <c r="J61" s="28">
        <v>1.0</v>
      </c>
      <c r="K61" s="28">
        <v>1.0</v>
      </c>
    </row>
    <row r="62" ht="14.25" customHeight="1">
      <c r="A62" s="6" t="s">
        <v>452</v>
      </c>
      <c r="B62" s="49">
        <f t="shared" ref="B62:K62" si="3">MAX(B44:B61)</f>
        <v>1</v>
      </c>
      <c r="C62" s="49">
        <f t="shared" si="3"/>
        <v>1</v>
      </c>
      <c r="D62" s="49">
        <f t="shared" si="3"/>
        <v>1</v>
      </c>
      <c r="E62" s="49">
        <f t="shared" si="3"/>
        <v>1</v>
      </c>
      <c r="F62" s="49">
        <f t="shared" si="3"/>
        <v>1</v>
      </c>
      <c r="G62" s="49">
        <f t="shared" si="3"/>
        <v>1</v>
      </c>
      <c r="H62" s="49">
        <f t="shared" si="3"/>
        <v>1</v>
      </c>
      <c r="I62" s="49">
        <f t="shared" si="3"/>
        <v>1</v>
      </c>
      <c r="J62" s="49">
        <f t="shared" si="3"/>
        <v>1</v>
      </c>
      <c r="K62" s="49">
        <f t="shared" si="3"/>
        <v>1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55.0"/>
    <col customWidth="1" min="4" max="5" width="34.0"/>
    <col customWidth="1" min="6" max="6" width="42.0"/>
    <col customWidth="1" min="7" max="7" width="24.0"/>
    <col customWidth="1" min="8" max="9" width="20.0"/>
    <col customWidth="1" min="10" max="10" width="16.0"/>
    <col customWidth="1" min="11" max="11" width="32.0"/>
    <col customWidth="1" min="12" max="26" width="8.86"/>
  </cols>
  <sheetData>
    <row r="1" ht="14.25" customHeight="1">
      <c r="A1" s="48" t="s">
        <v>213</v>
      </c>
    </row>
    <row r="2" ht="45.0" customHeight="1">
      <c r="A2" s="37" t="s">
        <v>214</v>
      </c>
    </row>
    <row r="3" ht="14.25" customHeight="1"/>
    <row r="4" ht="30.0" customHeight="1">
      <c r="A4" s="1" t="s">
        <v>63</v>
      </c>
      <c r="B4" s="1" t="s">
        <v>64</v>
      </c>
      <c r="C4" s="1" t="s">
        <v>215</v>
      </c>
      <c r="D4" s="1" t="s">
        <v>216</v>
      </c>
      <c r="E4" s="1" t="s">
        <v>217</v>
      </c>
      <c r="F4" s="1" t="s">
        <v>218</v>
      </c>
      <c r="G4" s="1" t="s">
        <v>219</v>
      </c>
      <c r="H4" s="1" t="s">
        <v>220</v>
      </c>
      <c r="I4" s="1" t="s">
        <v>221</v>
      </c>
      <c r="J4" s="1" t="s">
        <v>222</v>
      </c>
      <c r="K4" s="1" t="s">
        <v>223</v>
      </c>
    </row>
    <row r="5" ht="105.0" customHeight="1">
      <c r="A5" s="21" t="s">
        <v>78</v>
      </c>
      <c r="B5" s="22" t="s">
        <v>79</v>
      </c>
      <c r="C5" s="4" t="s">
        <v>224</v>
      </c>
      <c r="D5" s="4" t="s">
        <v>225</v>
      </c>
      <c r="E5" s="4" t="s">
        <v>226</v>
      </c>
      <c r="F5" s="4" t="s">
        <v>227</v>
      </c>
      <c r="G5" s="4" t="s">
        <v>228</v>
      </c>
      <c r="H5" s="4" t="s">
        <v>229</v>
      </c>
      <c r="I5" s="4" t="s">
        <v>230</v>
      </c>
      <c r="J5" s="4" t="s">
        <v>231</v>
      </c>
      <c r="K5" s="4" t="s">
        <v>232</v>
      </c>
    </row>
    <row r="6" ht="90.0" customHeight="1">
      <c r="A6" s="21" t="s">
        <v>105</v>
      </c>
      <c r="B6" s="22" t="s">
        <v>233</v>
      </c>
      <c r="C6" s="4" t="s">
        <v>234</v>
      </c>
      <c r="D6" s="4" t="s">
        <v>235</v>
      </c>
      <c r="E6" s="4" t="s">
        <v>236</v>
      </c>
      <c r="F6" s="4" t="s">
        <v>237</v>
      </c>
      <c r="G6" s="4" t="s">
        <v>238</v>
      </c>
      <c r="H6" s="4" t="s">
        <v>239</v>
      </c>
      <c r="I6" s="4" t="s">
        <v>240</v>
      </c>
      <c r="J6" s="4" t="s">
        <v>241</v>
      </c>
      <c r="K6" s="4" t="s">
        <v>242</v>
      </c>
    </row>
    <row r="7" ht="45.0" customHeight="1">
      <c r="A7" s="21" t="s">
        <v>110</v>
      </c>
      <c r="B7" s="22" t="s">
        <v>111</v>
      </c>
      <c r="C7" s="4" t="s">
        <v>243</v>
      </c>
      <c r="D7" s="4" t="s">
        <v>244</v>
      </c>
      <c r="E7" s="4" t="s">
        <v>245</v>
      </c>
      <c r="F7" s="4" t="s">
        <v>246</v>
      </c>
      <c r="G7" s="4" t="s">
        <v>247</v>
      </c>
      <c r="H7" s="4" t="s">
        <v>248</v>
      </c>
      <c r="I7" s="4" t="s">
        <v>249</v>
      </c>
      <c r="J7" s="4" t="s">
        <v>250</v>
      </c>
      <c r="K7" s="4" t="s">
        <v>251</v>
      </c>
    </row>
    <row r="8" ht="60.0" customHeight="1">
      <c r="A8" s="21" t="s">
        <v>114</v>
      </c>
      <c r="B8" s="22" t="s">
        <v>115</v>
      </c>
      <c r="C8" s="4" t="s">
        <v>252</v>
      </c>
      <c r="D8" s="4" t="s">
        <v>253</v>
      </c>
      <c r="E8" s="4" t="s">
        <v>254</v>
      </c>
      <c r="F8" s="4" t="s">
        <v>255</v>
      </c>
      <c r="G8" s="4" t="s">
        <v>256</v>
      </c>
      <c r="H8" s="4" t="s">
        <v>257</v>
      </c>
      <c r="I8" s="4" t="s">
        <v>258</v>
      </c>
      <c r="J8" s="4" t="s">
        <v>259</v>
      </c>
      <c r="K8" s="4" t="s">
        <v>260</v>
      </c>
    </row>
    <row r="9" ht="60.0" customHeight="1">
      <c r="A9" s="21" t="s">
        <v>121</v>
      </c>
      <c r="B9" s="22" t="s">
        <v>122</v>
      </c>
      <c r="C9" s="4" t="s">
        <v>261</v>
      </c>
      <c r="D9" s="4" t="s">
        <v>262</v>
      </c>
      <c r="E9" s="4" t="s">
        <v>263</v>
      </c>
      <c r="F9" s="4" t="s">
        <v>264</v>
      </c>
      <c r="G9" s="4" t="s">
        <v>265</v>
      </c>
      <c r="H9" s="4" t="s">
        <v>266</v>
      </c>
      <c r="I9" s="4" t="s">
        <v>267</v>
      </c>
      <c r="J9" s="4" t="s">
        <v>268</v>
      </c>
      <c r="K9" s="4" t="s">
        <v>269</v>
      </c>
    </row>
    <row r="10" ht="60.0" customHeight="1">
      <c r="A10" s="21" t="s">
        <v>125</v>
      </c>
      <c r="B10" s="22" t="s">
        <v>126</v>
      </c>
      <c r="C10" s="4" t="s">
        <v>270</v>
      </c>
      <c r="D10" s="4" t="s">
        <v>271</v>
      </c>
      <c r="E10" s="4" t="s">
        <v>272</v>
      </c>
      <c r="F10" s="4" t="s">
        <v>273</v>
      </c>
      <c r="G10" s="4" t="s">
        <v>265</v>
      </c>
      <c r="H10" s="4" t="s">
        <v>274</v>
      </c>
      <c r="I10" s="4" t="s">
        <v>275</v>
      </c>
      <c r="J10" s="4" t="s">
        <v>276</v>
      </c>
      <c r="K10" s="4" t="s">
        <v>277</v>
      </c>
    </row>
    <row r="11" ht="60.0" customHeight="1">
      <c r="A11" s="21" t="s">
        <v>130</v>
      </c>
      <c r="B11" s="22" t="s">
        <v>131</v>
      </c>
      <c r="C11" s="4" t="s">
        <v>278</v>
      </c>
      <c r="D11" s="4" t="s">
        <v>279</v>
      </c>
      <c r="E11" s="4" t="s">
        <v>280</v>
      </c>
      <c r="F11" s="4" t="s">
        <v>281</v>
      </c>
      <c r="G11" s="4" t="s">
        <v>282</v>
      </c>
      <c r="H11" s="4" t="s">
        <v>283</v>
      </c>
      <c r="I11" s="4" t="s">
        <v>284</v>
      </c>
      <c r="J11" s="4" t="s">
        <v>285</v>
      </c>
      <c r="K11" s="4" t="s">
        <v>286</v>
      </c>
    </row>
    <row r="12" ht="60.0" customHeight="1">
      <c r="A12" s="21" t="s">
        <v>134</v>
      </c>
      <c r="B12" s="22" t="s">
        <v>135</v>
      </c>
      <c r="C12" s="4" t="s">
        <v>287</v>
      </c>
      <c r="D12" s="4" t="s">
        <v>288</v>
      </c>
      <c r="E12" s="4" t="s">
        <v>289</v>
      </c>
      <c r="F12" s="4" t="s">
        <v>290</v>
      </c>
      <c r="G12" s="4" t="s">
        <v>291</v>
      </c>
      <c r="H12" s="4" t="s">
        <v>292</v>
      </c>
      <c r="I12" s="4" t="s">
        <v>293</v>
      </c>
      <c r="J12" s="4" t="s">
        <v>268</v>
      </c>
      <c r="K12" s="4" t="s">
        <v>294</v>
      </c>
    </row>
    <row r="13" ht="60.0" customHeight="1">
      <c r="A13" s="21" t="s">
        <v>139</v>
      </c>
      <c r="B13" s="22" t="s">
        <v>140</v>
      </c>
      <c r="C13" s="4" t="s">
        <v>295</v>
      </c>
      <c r="D13" s="4" t="s">
        <v>296</v>
      </c>
      <c r="E13" s="4" t="s">
        <v>297</v>
      </c>
      <c r="F13" s="4" t="s">
        <v>298</v>
      </c>
      <c r="G13" s="4" t="s">
        <v>299</v>
      </c>
      <c r="H13" s="4" t="s">
        <v>300</v>
      </c>
      <c r="I13" s="4" t="s">
        <v>301</v>
      </c>
      <c r="J13" s="4" t="s">
        <v>302</v>
      </c>
      <c r="K13" s="4" t="s">
        <v>303</v>
      </c>
    </row>
    <row r="14" ht="60.0" customHeight="1">
      <c r="A14" s="21" t="s">
        <v>143</v>
      </c>
      <c r="B14" s="22" t="s">
        <v>144</v>
      </c>
      <c r="C14" s="4" t="s">
        <v>304</v>
      </c>
      <c r="D14" s="4" t="s">
        <v>305</v>
      </c>
      <c r="E14" s="4" t="s">
        <v>307</v>
      </c>
      <c r="F14" s="4" t="s">
        <v>308</v>
      </c>
      <c r="G14" s="4" t="s">
        <v>309</v>
      </c>
      <c r="H14" s="4" t="s">
        <v>310</v>
      </c>
      <c r="I14" s="4" t="s">
        <v>311</v>
      </c>
      <c r="J14" s="4" t="s">
        <v>312</v>
      </c>
      <c r="K14" s="4" t="s">
        <v>313</v>
      </c>
    </row>
    <row r="15" ht="60.0" customHeight="1">
      <c r="A15" s="21" t="s">
        <v>147</v>
      </c>
      <c r="B15" s="22" t="s">
        <v>148</v>
      </c>
      <c r="C15" s="4" t="s">
        <v>314</v>
      </c>
      <c r="D15" s="4" t="s">
        <v>315</v>
      </c>
      <c r="E15" s="4" t="s">
        <v>316</v>
      </c>
      <c r="F15" s="4" t="s">
        <v>317</v>
      </c>
      <c r="G15" s="4" t="s">
        <v>318</v>
      </c>
      <c r="H15" s="4" t="s">
        <v>319</v>
      </c>
      <c r="I15" s="4" t="s">
        <v>320</v>
      </c>
      <c r="J15" s="4" t="s">
        <v>276</v>
      </c>
      <c r="K15" s="4" t="s">
        <v>321</v>
      </c>
    </row>
    <row r="16" ht="45.0" customHeight="1">
      <c r="A16" s="21" t="s">
        <v>152</v>
      </c>
      <c r="B16" s="22" t="s">
        <v>153</v>
      </c>
      <c r="C16" s="4" t="s">
        <v>322</v>
      </c>
      <c r="D16" s="4" t="s">
        <v>323</v>
      </c>
      <c r="E16" s="4" t="s">
        <v>324</v>
      </c>
      <c r="F16" s="4" t="s">
        <v>325</v>
      </c>
      <c r="G16" s="4" t="s">
        <v>318</v>
      </c>
      <c r="H16" s="4" t="s">
        <v>326</v>
      </c>
      <c r="I16" s="4" t="s">
        <v>327</v>
      </c>
      <c r="J16" s="4" t="s">
        <v>328</v>
      </c>
      <c r="K16" s="4" t="s">
        <v>329</v>
      </c>
    </row>
    <row r="17" ht="45.0" customHeight="1">
      <c r="A17" s="21" t="s">
        <v>157</v>
      </c>
      <c r="B17" s="22" t="s">
        <v>330</v>
      </c>
      <c r="C17" s="4" t="s">
        <v>331</v>
      </c>
      <c r="D17" s="4" t="s">
        <v>332</v>
      </c>
      <c r="E17" s="4" t="s">
        <v>333</v>
      </c>
      <c r="F17" s="4" t="s">
        <v>334</v>
      </c>
      <c r="G17" s="4" t="s">
        <v>335</v>
      </c>
      <c r="H17" s="4" t="s">
        <v>336</v>
      </c>
      <c r="I17" s="4" t="s">
        <v>337</v>
      </c>
      <c r="J17" s="4" t="s">
        <v>338</v>
      </c>
      <c r="K17" s="4" t="s">
        <v>339</v>
      </c>
    </row>
    <row r="18" ht="60.0" customHeight="1">
      <c r="A18" s="21" t="s">
        <v>161</v>
      </c>
      <c r="B18" s="22" t="s">
        <v>340</v>
      </c>
      <c r="C18" s="4" t="s">
        <v>341</v>
      </c>
      <c r="D18" s="4" t="s">
        <v>342</v>
      </c>
      <c r="E18" s="4" t="s">
        <v>343</v>
      </c>
      <c r="F18" s="4" t="s">
        <v>344</v>
      </c>
      <c r="G18" s="4" t="s">
        <v>345</v>
      </c>
      <c r="H18" s="4" t="s">
        <v>346</v>
      </c>
      <c r="I18" s="4" t="s">
        <v>348</v>
      </c>
      <c r="J18" s="4" t="s">
        <v>349</v>
      </c>
      <c r="K18" s="4" t="s">
        <v>350</v>
      </c>
    </row>
    <row r="19" ht="60.0" customHeight="1">
      <c r="A19" s="21" t="s">
        <v>351</v>
      </c>
      <c r="B19" s="22" t="s">
        <v>352</v>
      </c>
      <c r="C19" s="4" t="s">
        <v>353</v>
      </c>
      <c r="D19" s="4" t="s">
        <v>354</v>
      </c>
      <c r="E19" s="4" t="s">
        <v>355</v>
      </c>
      <c r="F19" s="4" t="s">
        <v>356</v>
      </c>
      <c r="G19" s="4" t="s">
        <v>357</v>
      </c>
      <c r="H19" s="4" t="s">
        <v>358</v>
      </c>
      <c r="I19" s="4" t="s">
        <v>359</v>
      </c>
      <c r="J19" s="4" t="s">
        <v>360</v>
      </c>
      <c r="K19" s="4" t="s">
        <v>361</v>
      </c>
    </row>
    <row r="20" ht="30.0" customHeight="1">
      <c r="A20" s="21" t="s">
        <v>362</v>
      </c>
      <c r="B20" s="22" t="s">
        <v>363</v>
      </c>
      <c r="C20" s="4" t="s">
        <v>364</v>
      </c>
      <c r="D20" s="4" t="s">
        <v>365</v>
      </c>
      <c r="E20" s="4" t="s">
        <v>366</v>
      </c>
      <c r="F20" s="4" t="s">
        <v>367</v>
      </c>
      <c r="G20" s="4" t="s">
        <v>368</v>
      </c>
      <c r="H20" s="4" t="s">
        <v>369</v>
      </c>
      <c r="I20" s="4" t="s">
        <v>370</v>
      </c>
      <c r="J20" s="4" t="s">
        <v>371</v>
      </c>
      <c r="K20" s="4" t="s">
        <v>372</v>
      </c>
    </row>
    <row r="21" ht="45.0" customHeight="1">
      <c r="A21" s="21" t="s">
        <v>373</v>
      </c>
      <c r="B21" s="22" t="s">
        <v>374</v>
      </c>
      <c r="C21" s="4" t="s">
        <v>375</v>
      </c>
      <c r="D21" s="4" t="s">
        <v>376</v>
      </c>
      <c r="E21" s="4" t="s">
        <v>377</v>
      </c>
      <c r="F21" s="4" t="s">
        <v>378</v>
      </c>
      <c r="G21" s="4" t="s">
        <v>379</v>
      </c>
      <c r="H21" s="4" t="s">
        <v>380</v>
      </c>
      <c r="I21" s="4" t="s">
        <v>381</v>
      </c>
      <c r="J21" s="4" t="s">
        <v>250</v>
      </c>
      <c r="K21" s="4" t="s">
        <v>382</v>
      </c>
    </row>
    <row r="22" ht="45.0" customHeight="1">
      <c r="A22" s="21" t="s">
        <v>178</v>
      </c>
      <c r="B22" s="22" t="s">
        <v>383</v>
      </c>
      <c r="C22" s="4" t="s">
        <v>384</v>
      </c>
      <c r="D22" s="4" t="s">
        <v>385</v>
      </c>
      <c r="E22" s="4" t="s">
        <v>386</v>
      </c>
      <c r="F22" s="4" t="s">
        <v>387</v>
      </c>
      <c r="G22" s="4" t="s">
        <v>388</v>
      </c>
      <c r="H22" s="4" t="s">
        <v>389</v>
      </c>
      <c r="I22" s="4" t="s">
        <v>390</v>
      </c>
      <c r="J22" s="4" t="s">
        <v>391</v>
      </c>
      <c r="K22" s="4" t="s">
        <v>392</v>
      </c>
    </row>
    <row r="23" ht="75.0" customHeight="1">
      <c r="A23" s="21" t="s">
        <v>393</v>
      </c>
      <c r="B23" s="22" t="s">
        <v>394</v>
      </c>
      <c r="C23" s="4" t="s">
        <v>395</v>
      </c>
      <c r="D23" s="4" t="s">
        <v>396</v>
      </c>
      <c r="E23" s="4" t="s">
        <v>397</v>
      </c>
      <c r="F23" s="4" t="s">
        <v>398</v>
      </c>
      <c r="G23" s="4" t="s">
        <v>399</v>
      </c>
      <c r="H23" s="4" t="s">
        <v>400</v>
      </c>
      <c r="I23" s="4" t="s">
        <v>401</v>
      </c>
      <c r="J23" s="4" t="s">
        <v>402</v>
      </c>
      <c r="K23" s="4" t="s">
        <v>403</v>
      </c>
    </row>
    <row r="24" ht="14.25" customHeight="1"/>
    <row r="25" ht="14.25" customHeight="1"/>
    <row r="26" ht="14.25" customHeight="1">
      <c r="A26" s="13" t="s">
        <v>404</v>
      </c>
    </row>
    <row r="27" ht="14.25" customHeight="1">
      <c r="A27" s="1"/>
      <c r="B27" s="1" t="s">
        <v>405</v>
      </c>
      <c r="C27" s="1" t="s">
        <v>406</v>
      </c>
      <c r="D27" s="1" t="s">
        <v>407</v>
      </c>
      <c r="E27" s="1" t="s">
        <v>408</v>
      </c>
    </row>
    <row r="28" ht="30.0" customHeight="1">
      <c r="B28" s="4" t="s">
        <v>247</v>
      </c>
      <c r="C28" s="4" t="s">
        <v>409</v>
      </c>
      <c r="D28" s="21" t="s">
        <v>410</v>
      </c>
      <c r="E28" s="21" t="s">
        <v>411</v>
      </c>
    </row>
    <row r="29" ht="30.0" customHeight="1">
      <c r="B29" s="4" t="s">
        <v>412</v>
      </c>
      <c r="C29" s="4" t="s">
        <v>413</v>
      </c>
      <c r="D29" s="21" t="s">
        <v>414</v>
      </c>
      <c r="E29" s="21" t="s">
        <v>415</v>
      </c>
    </row>
    <row r="30" ht="30.0" customHeight="1">
      <c r="B30" s="4" t="s">
        <v>265</v>
      </c>
      <c r="C30" s="4" t="s">
        <v>416</v>
      </c>
      <c r="D30" s="21" t="s">
        <v>417</v>
      </c>
      <c r="E30" s="21" t="s">
        <v>418</v>
      </c>
    </row>
    <row r="31" ht="30.0" customHeight="1">
      <c r="B31" s="4" t="s">
        <v>419</v>
      </c>
      <c r="C31" s="4" t="s">
        <v>134</v>
      </c>
      <c r="D31" s="21" t="s">
        <v>420</v>
      </c>
      <c r="E31" s="21" t="s">
        <v>421</v>
      </c>
    </row>
    <row r="32" ht="30.0" customHeight="1">
      <c r="B32" s="4" t="s">
        <v>422</v>
      </c>
      <c r="C32" s="4" t="s">
        <v>139</v>
      </c>
      <c r="D32" s="21" t="s">
        <v>423</v>
      </c>
      <c r="E32" s="21" t="s">
        <v>424</v>
      </c>
    </row>
    <row r="33" ht="30.0" customHeight="1">
      <c r="B33" s="4" t="s">
        <v>318</v>
      </c>
      <c r="C33" s="4" t="s">
        <v>425</v>
      </c>
      <c r="D33" s="21" t="s">
        <v>426</v>
      </c>
      <c r="E33" s="21" t="s">
        <v>427</v>
      </c>
    </row>
    <row r="34" ht="30.0" customHeight="1">
      <c r="B34" s="4" t="s">
        <v>428</v>
      </c>
      <c r="C34" s="4" t="s">
        <v>429</v>
      </c>
      <c r="D34" s="21" t="s">
        <v>430</v>
      </c>
      <c r="E34" s="21" t="s">
        <v>431</v>
      </c>
    </row>
    <row r="35" ht="30.0" customHeight="1">
      <c r="B35" s="4" t="s">
        <v>432</v>
      </c>
      <c r="C35" s="4" t="s">
        <v>433</v>
      </c>
      <c r="D35" s="21" t="s">
        <v>434</v>
      </c>
      <c r="E35" s="21" t="s">
        <v>435</v>
      </c>
    </row>
    <row r="36" ht="30.0" customHeight="1">
      <c r="B36" s="4" t="s">
        <v>368</v>
      </c>
      <c r="C36" s="4" t="s">
        <v>436</v>
      </c>
      <c r="D36" s="21" t="s">
        <v>437</v>
      </c>
      <c r="E36" s="21" t="s">
        <v>424</v>
      </c>
    </row>
    <row r="37" ht="30.0" customHeight="1">
      <c r="B37" s="4" t="s">
        <v>438</v>
      </c>
      <c r="C37" s="4" t="s">
        <v>439</v>
      </c>
      <c r="D37" s="21" t="s">
        <v>440</v>
      </c>
      <c r="E37" s="21" t="s">
        <v>441</v>
      </c>
    </row>
    <row r="38" ht="14.25" customHeight="1">
      <c r="B38" s="24" t="s">
        <v>442</v>
      </c>
    </row>
    <row r="39" ht="14.25" customHeight="1"/>
    <row r="40" ht="14.25" customHeight="1">
      <c r="A40" s="13" t="s">
        <v>443</v>
      </c>
    </row>
    <row r="41" ht="30.0" customHeight="1">
      <c r="B41" s="6" t="s">
        <v>444</v>
      </c>
      <c r="C41" s="46" t="s">
        <v>445</v>
      </c>
      <c r="D41" s="39"/>
      <c r="E41" s="39"/>
      <c r="F41" s="40"/>
    </row>
    <row r="42" ht="30.0" customHeight="1">
      <c r="B42" s="6" t="s">
        <v>446</v>
      </c>
      <c r="C42" s="46" t="s">
        <v>447</v>
      </c>
      <c r="D42" s="39"/>
      <c r="E42" s="39"/>
      <c r="F42" s="40"/>
    </row>
    <row r="43" ht="30.0" customHeight="1">
      <c r="B43" s="6" t="s">
        <v>448</v>
      </c>
      <c r="C43" s="46" t="s">
        <v>449</v>
      </c>
      <c r="D43" s="39"/>
      <c r="E43" s="39"/>
      <c r="F43" s="40"/>
    </row>
    <row r="44" ht="30.0" customHeight="1">
      <c r="B44" s="6" t="s">
        <v>450</v>
      </c>
      <c r="C44" s="46" t="s">
        <v>451</v>
      </c>
      <c r="D44" s="39"/>
      <c r="E44" s="39"/>
      <c r="F44" s="40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2:K2"/>
    <mergeCell ref="C41:F41"/>
    <mergeCell ref="C42:F42"/>
    <mergeCell ref="C43:F43"/>
    <mergeCell ref="C44:F4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2026-10-14T20:12:57Z</dcterms:created>
  <dc:creator>openpyxl</dc:creator>
</cp:coreProperties>
</file>