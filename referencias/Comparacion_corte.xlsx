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e" sheetId="1" r:id="rId4"/>
    <sheet state="visible" name="Supuestos" sheetId="2" r:id="rId5"/>
    <sheet state="visible" name="Demanda" sheetId="3" r:id="rId6"/>
    <sheet state="visible" name="Nesting" sheetId="4" r:id="rId7"/>
    <sheet state="visible" name="BobinaMadre" sheetId="5" r:id="rId8"/>
    <sheet state="visible" name="Bobinas" sheetId="6" r:id="rId9"/>
    <sheet state="visible" name="Calculo" sheetId="7" r:id="rId10"/>
    <sheet state="visible" name="Proceso" sheetId="8" r:id="rId11"/>
    <sheet state="visible" name="Comparacion" sheetId="9" r:id="rId12"/>
    <sheet state="visible" name="Decision" sheetId="10" r:id="rId13"/>
    <sheet state="visible" name="Resumen D" sheetId="11" r:id="rId14"/>
  </sheets>
  <definedNames/>
  <calcPr/>
  <extLst>
    <ext uri="GoogleSheetsCustomDataVersion2">
      <go:sheetsCustomData xmlns:go="http://customooxmlschemas.google.com/" r:id="rId15" roundtripDataChecksum="RnyNPxUxLYzC+Xnt9KjyitWKR0NRRK/y4OU7FHbnXOY="/>
    </ext>
  </extLst>
</workbook>
</file>

<file path=xl/sharedStrings.xml><?xml version="1.0" encoding="utf-8"?>
<sst xmlns="http://schemas.openxmlformats.org/spreadsheetml/2006/main" count="1656" uniqueCount="821">
  <si>
    <t>Supuestos editables</t>
  </si>
  <si>
    <t>Corte de chapa para cuerpos, cúpulas y fondos — Bobina, hojas, bobina madre y fleje a medida</t>
  </si>
  <si>
    <t>Demanda por formato (unidades/año)</t>
  </si>
  <si>
    <t>Texto azul con fondo amarillo = dato editable. Todo lo demás se calcula.</t>
  </si>
  <si>
    <t>Fuente: Dimensionamiento_TecnicoV2.xlsx, hoja datos_base. Cada unidad lleva 1 cuerpo, 1 cúpula y 1 fondo (el 1 kg lleva cuerpo de tubo comprado).</t>
  </si>
  <si>
    <t>FLAMA S.A. — aprovechamiento, proceso y costos 2026–2035</t>
  </si>
  <si>
    <t>Matafuegos terminados</t>
  </si>
  <si>
    <t>Concepto</t>
  </si>
  <si>
    <t>Hoja</t>
  </si>
  <si>
    <t>Formato</t>
  </si>
  <si>
    <t>Contenido</t>
  </si>
  <si>
    <t>Valor</t>
  </si>
  <si>
    <t>Línea</t>
  </si>
  <si>
    <t>Unidad</t>
  </si>
  <si>
    <t>Fuente / nota</t>
  </si>
  <si>
    <t>Supuestos</t>
  </si>
  <si>
    <t>2026</t>
  </si>
  <si>
    <t>2027</t>
  </si>
  <si>
    <t>1. Scrap y materia prima (los precios de acero están en la sección 7, tomados de las cotizaciones)</t>
  </si>
  <si>
    <t>2028</t>
  </si>
  <si>
    <t>2029</t>
  </si>
  <si>
    <t>2030</t>
  </si>
  <si>
    <t>Nesting: cuántas piezas salen de cada hoja, bobina y fleje</t>
  </si>
  <si>
    <t>2031</t>
  </si>
  <si>
    <t>Precio de venta del scrap</t>
  </si>
  <si>
    <t>Datos editables: parámetros, bobinas/stock, productividad, cotizaciones de acero recibidas, precio por espesor y forma de compra, y equipos por opción.</t>
  </si>
  <si>
    <t>2032</t>
  </si>
  <si>
    <t>2033</t>
  </si>
  <si>
    <t>2034</t>
  </si>
  <si>
    <t>2035</t>
  </si>
  <si>
    <t>Editables: medidas de piezas, formato de hoja y ancho de bobina de cada formato.</t>
  </si>
  <si>
    <t>Demanda</t>
  </si>
  <si>
    <t>Unidades por formato y año (terminados + cilindros), del Excel V2.</t>
  </si>
  <si>
    <t>1 kg</t>
  </si>
  <si>
    <t>Nesting</t>
  </si>
  <si>
    <t>Cuerpos y discos: piezas por hoja, por bobina y por fleje; aprovechamientos. Medidas y formatos editables.</t>
  </si>
  <si>
    <t>BobinaMadre</t>
  </si>
  <si>
    <t>A) CUERPOS</t>
  </si>
  <si>
    <t>Manual</t>
  </si>
  <si>
    <t>Opción C: ancho de madre, patrones de corte longitudinal (tiras y % de uso) y cálculo anual por espesor.</t>
  </si>
  <si>
    <t>Bobinas</t>
  </si>
  <si>
    <t>Peso de bobina por SKU: recomendado según la demanda y ELEGIDO (editable), largo, días que dura y bobinas por año.</t>
  </si>
  <si>
    <t>Calculo</t>
  </si>
  <si>
    <t>Cálculo anual de toneladas, scrap, stock, horas y costos de cada opción.</t>
  </si>
  <si>
    <t>Hoja estándar + guillotina (opción B)</t>
  </si>
  <si>
    <t>USD/t</t>
  </si>
  <si>
    <t>Proceso</t>
  </si>
  <si>
    <t>Cómo funciona cada opción: flujo, máquinas, materia prima, consumo, manejo y personal.</t>
  </si>
  <si>
    <t>Ref.: acero reciclado $300–1.200/kg (Reaquila, mar-2026) con dólar ~$1.480 ≈ USD 0,20–0,80/kg.</t>
  </si>
  <si>
    <t>Comparacion</t>
  </si>
  <si>
    <t>Resumen, valor actual, ranking, puntos de equilibrio, sensibilidades y gráficos.</t>
  </si>
  <si>
    <t>Decision</t>
  </si>
  <si>
    <t>2,5 kg</t>
  </si>
  <si>
    <t>2. Parámetros técnicos de corte</t>
  </si>
  <si>
    <t>Por qué se elige la opción D, con los números que la sostienen y cuándo habría que revisarla.</t>
  </si>
  <si>
    <t>Densidad del acero SAE 1010</t>
  </si>
  <si>
    <t>Resumen D</t>
  </si>
  <si>
    <t>Todos los datos de la opción elegida año por año: costos, acero comprado, compras, stock, personal, equipos y proveedores.</t>
  </si>
  <si>
    <t>Colores</t>
  </si>
  <si>
    <t>g/cm³</t>
  </si>
  <si>
    <t>5 kg</t>
  </si>
  <si>
    <t>Planilla 'Dimensiones de chapa'.</t>
  </si>
  <si>
    <t>Margen mínimo de borde a lo ancho de la bobina</t>
  </si>
  <si>
    <t>Azul con fondo amarillo: dato editable. Ej.: precio del scrap en USD/t.</t>
  </si>
  <si>
    <t>mm</t>
  </si>
  <si>
    <t>Bordes de laminación y tolerancia de ancho.</t>
  </si>
  <si>
    <t>Bobina de ancho estándar + línea de corte (opción A)</t>
  </si>
  <si>
    <t>Despunte de cabeza y cola de bobina</t>
  </si>
  <si>
    <t>10 kg</t>
  </si>
  <si>
    <t>25 kg</t>
  </si>
  <si>
    <t>Rodante</t>
  </si>
  <si>
    <t>50 kg</t>
  </si>
  <si>
    <t>%</t>
  </si>
  <si>
    <t>Supuesto.</t>
  </si>
  <si>
    <t>Puente entre discos y al borde del fleje (s)</t>
  </si>
  <si>
    <t>Supuesto (≈ 1,5–3 × espesor). Ancho de fleje = D + 2s; paso = D + s.</t>
  </si>
  <si>
    <t>70 kg</t>
  </si>
  <si>
    <t>¿Mezclar 70 y 100 kg en la misma hoja? (SI/NO)</t>
  </si>
  <si>
    <t>Negro: fórmula, no editar.</t>
  </si>
  <si>
    <t>SI</t>
  </si>
  <si>
    <t>SI/NO</t>
  </si>
  <si>
    <t>Solo opción hojas. Ver bloque en Nesting.</t>
  </si>
  <si>
    <t>Alto cuerpo (mm)</t>
  </si>
  <si>
    <t>100 kg</t>
  </si>
  <si>
    <t>3. Financieros</t>
  </si>
  <si>
    <t>Perímetro = largo desarrollo (mm)</t>
  </si>
  <si>
    <t>Espesor (mm)</t>
  </si>
  <si>
    <t>Tasa de descuento anual (USD)</t>
  </si>
  <si>
    <t>Acero</t>
  </si>
  <si>
    <t>Igual a la Evaluación Económica del Excel V2 (12% real).</t>
  </si>
  <si>
    <t>Masa del desarrollo (kg)</t>
  </si>
  <si>
    <t>Mantenimiento anual de equipos</t>
  </si>
  <si>
    <t>% de la inversión</t>
  </si>
  <si>
    <t>SUPUESTO.</t>
  </si>
  <si>
    <t>TOTAL</t>
  </si>
  <si>
    <t>HOJA ancho (mm)</t>
  </si>
  <si>
    <t>4. Bobinas y stock</t>
  </si>
  <si>
    <t>HOJA largo (mm)</t>
  </si>
  <si>
    <t>Piezas orient. 1</t>
  </si>
  <si>
    <t>Piezas orient. 2</t>
  </si>
  <si>
    <t>Verde: vínculo a otra hoja (ej.: precio de hoja de 0,9 mm en USD/kg).</t>
  </si>
  <si>
    <t>Año de referencia para recomendar pesos de bobina</t>
  </si>
  <si>
    <t>Piezas por hoja</t>
  </si>
  <si>
    <t>Aprovech. hoja</t>
  </si>
  <si>
    <t>Masa hoja (kg)</t>
  </si>
  <si>
    <t>Opciones</t>
  </si>
  <si>
    <t>Cortes guillotina por hoja</t>
  </si>
  <si>
    <t>año</t>
  </si>
  <si>
    <t>Los pesos recomendados se calculan con el consumo de este año.</t>
  </si>
  <si>
    <t>• A — Bobina por formato: cuerpos desde bobinas de ancho estándar (línea de corte transversal); cúpulas y fondos desde flejes comprados cortados.</t>
  </si>
  <si>
    <t>Cobertura objetivo de una bobina</t>
  </si>
  <si>
    <t>BOBINA ancho (mm)</t>
  </si>
  <si>
    <t>meses de consumo</t>
  </si>
  <si>
    <t>Criterio de recomendación: una bobina dura ~1 mes.</t>
  </si>
  <si>
    <t>Peso mínimo de bobina que se compra</t>
  </si>
  <si>
    <t>• B — Hojas: todo desde hojas estándar; cuerpos en guillotina; discos desde tiras cargadas a mano en el balancín.</t>
  </si>
  <si>
    <t>Piezas a lo ancho (alto cruzado)</t>
  </si>
  <si>
    <t>Aprov. (alto cruzado)</t>
  </si>
  <si>
    <t>Piezas a lo ancho (perím. cruzado)</t>
  </si>
  <si>
    <t>t</t>
  </si>
  <si>
    <t>• C — Bobina madre: una bobina ancha por espesor, corte longitudinal propio en flejes de cuerpo y de disco.</t>
  </si>
  <si>
    <t>Aprov. (perím. cruzado)</t>
  </si>
  <si>
    <t>Mínimo razonable de un fraccionado.</t>
  </si>
  <si>
    <t>Piezas por golpe</t>
  </si>
  <si>
    <t>Avance por golpe (mm)</t>
  </si>
  <si>
    <t>• D — Hojas + fleje a medida: cuerpos desde hojas en guillotina; cúpulas y fondos desde bobinas angostas hechas a medida para cada disco.</t>
  </si>
  <si>
    <t>Aprovech. bobina</t>
  </si>
  <si>
    <t>Diámetro exterior máximo de bobina aceptado</t>
  </si>
  <si>
    <t>Orientación</t>
  </si>
  <si>
    <t>• Referencia: situación actual (cuerpos cortados a medida), solo para comparar.</t>
  </si>
  <si>
    <t>Limita el peso según el ancho (bobinas angostas pesan poco).</t>
  </si>
  <si>
    <t>Diámetro interior de bobina</t>
  </si>
  <si>
    <t>Estándar de mercado.</t>
  </si>
  <si>
    <t>Capacidad del desbobinador de la línea de corte transversal</t>
  </si>
  <si>
    <t>Especificar al comprar la línea.</t>
  </si>
  <si>
    <t>Capacidad del desbobinador de fleje del balancín (discos)</t>
  </si>
  <si>
    <t>Especificar al comprar.</t>
  </si>
  <si>
    <t>Capacidad del desbobinador de la cortadora longitudinal</t>
  </si>
  <si>
    <t>LAF</t>
  </si>
  <si>
    <t>Pradecon: la bobina madre completa pesa 13–14 t.</t>
  </si>
  <si>
    <t>Cobertura máxima de stock por bobina</t>
  </si>
  <si>
    <t>meses</t>
  </si>
  <si>
    <t>En años de poca demanda se compran bobinas más chicas: el stock por SKU no supera este consumo.</t>
  </si>
  <si>
    <t>Stock de seguridad</t>
  </si>
  <si>
    <t>semanas de consumo</t>
  </si>
  <si>
    <t>Cilindros vendidos vacíos</t>
  </si>
  <si>
    <t>Lote de compra de hojas / chapa a medida</t>
  </si>
  <si>
    <t>Supuesto: compra mensual.</t>
  </si>
  <si>
    <t>Días hábiles por año</t>
  </si>
  <si>
    <t>días</t>
  </si>
  <si>
    <t>20 días/mes × 12 (Excel V2).</t>
  </si>
  <si>
    <t>5. Productividad y mano de obra</t>
  </si>
  <si>
    <t>Línea de corte transversal: golpes efectivos por hora</t>
  </si>
  <si>
    <t>golpes/h</t>
  </si>
  <si>
    <t>Guillotina: cortes efectivos por hora</t>
  </si>
  <si>
    <t>cortes/h</t>
  </si>
  <si>
    <t>Supuesto (3 cortes/min con carga manual).</t>
  </si>
  <si>
    <t>Carga manual de una tira de hoja en el balancín (opción B)</t>
  </si>
  <si>
    <t>s/tira</t>
  </si>
  <si>
    <t>Cambio de fleje en el desbobinador del balancín</t>
  </si>
  <si>
    <t>min/fleje</t>
  </si>
  <si>
    <t>Cortadora longitudinal: velocidad efectiva</t>
  </si>
  <si>
    <t>m/min</t>
  </si>
  <si>
    <t>Supuesto (máquinas de 60–120 m/min nominales).</t>
  </si>
  <si>
    <t>Cortadora: armado de cuchillas por bobina madre</t>
  </si>
  <si>
    <t>min/bobina</t>
  </si>
  <si>
    <t>Supuesto (cambio de patrón).</t>
  </si>
  <si>
    <t>Operarios en la cortadora longitudinal</t>
  </si>
  <si>
    <t>personas</t>
  </si>
  <si>
    <t>Horas productivas por operario y año</t>
  </si>
  <si>
    <t>h/año</t>
  </si>
  <si>
    <t>150 h/mes × 12 (Excel V2).</t>
  </si>
  <si>
    <t>Costo mensual operario con cargas (P2)</t>
  </si>
  <si>
    <t>ARS/mes</t>
  </si>
  <si>
    <t>Planilla 'Costo oportunidad operario-maquina', CCT 260/75 ago-2026.</t>
  </si>
  <si>
    <t>Horas por mes</t>
  </si>
  <si>
    <t>h/mes</t>
  </si>
  <si>
    <t>Excel V2.</t>
  </si>
  <si>
    <t>Tipo de cambio</t>
  </si>
  <si>
    <t>ARS/USD</t>
  </si>
  <si>
    <t>Dólar BNA billete usado por Pradecon en sus presupuestos del 28/09/2026.</t>
  </si>
  <si>
    <t>Guillotina Molinari HG 6×3200 (referencia): precio sin IVA</t>
  </si>
  <si>
    <t>ARS</t>
  </si>
  <si>
    <t>MercadoLibre, Molinari Maquinarias S.A.: $40,5 M con IVA 10,5%. Falta confirmar recorrido del tope trasero.</t>
  </si>
  <si>
    <t>Bobina madre: diferencia de precio sobre la bobina flejada</t>
  </si>
  <si>
    <t>ESTIMADO. Pradecon (mail 28/09/2026): la bobina completa cuesta lo mismo que la flejada (no cobran el flejado).</t>
  </si>
  <si>
    <t>Costo hora operario</t>
  </si>
  <si>
    <t>USD/h</t>
  </si>
  <si>
    <t>Calculado.</t>
  </si>
  <si>
    <t>Peso máximo por mm de ancho (por diámetro exterior)</t>
  </si>
  <si>
    <t>TOTAL UNIDADES A FABRICAR</t>
  </si>
  <si>
    <t>t por mm de ancho</t>
  </si>
  <si>
    <t>7. Cotizaciones de acero recibidas (precios sin IVA)</t>
  </si>
  <si>
    <t>Proveedor / documento</t>
  </si>
  <si>
    <t>Producto</t>
  </si>
  <si>
    <t>Formato / ancho</t>
  </si>
  <si>
    <t>Moneda</t>
  </si>
  <si>
    <t>Precio por kg</t>
  </si>
  <si>
    <t>TC de la cotización</t>
  </si>
  <si>
    <t>USD por kg</t>
  </si>
  <si>
    <t>Nota</t>
  </si>
  <si>
    <t>Q1 · Pradecon 173170</t>
  </si>
  <si>
    <t>Bobina LAF flejada</t>
  </si>
  <si>
    <t>Ancho 1.220</t>
  </si>
  <si>
    <t>USD</t>
  </si>
  <si>
    <t>Flejado sin cargo: sirve también como fleje a medida.</t>
  </si>
  <si>
    <t>Q2 · Pradecon 173170</t>
  </si>
  <si>
    <t>Q3 · Pradecon 173170</t>
  </si>
  <si>
    <t>Ancho 1.220 (también 1.000)</t>
  </si>
  <si>
    <t>Q4 · Pradecon 173170</t>
  </si>
  <si>
    <t>Q5 · Pradecon 173170</t>
  </si>
  <si>
    <t>Bobina LAC flejada</t>
  </si>
  <si>
    <t>Opción C — Bobina madre de ancho estándar + corte longitudinal propio</t>
  </si>
  <si>
    <t>Ancho 1.245 (también 1.500)</t>
  </si>
  <si>
    <t>Se compra una bobina ancha por espesor y se corta en flejes: de cuerpo (van a la línea de corte transversal) y de disco (van al balancín).</t>
  </si>
  <si>
    <t>Patrones y participaciones optimizados por programación lineal sobre la demanda 2026–2035 (mínimo acero comprado). Editables: ancho de madre, orientación, tiras por patrón y % de cada patrón.</t>
  </si>
  <si>
    <t>Q6 · Pradecon 173170</t>
  </si>
  <si>
    <t>Hoja LAC</t>
  </si>
  <si>
    <t>1500 × 3000</t>
  </si>
  <si>
    <t>Grupo 0,9 mm</t>
  </si>
  <si>
    <t>Ancho de bobina madre (mm)</t>
  </si>
  <si>
    <t>Mismo producto que Q11 cotizado en USD.</t>
  </si>
  <si>
    <t>Q7 · Pradecon 173195</t>
  </si>
  <si>
    <t>Hoja LAF (C16)</t>
  </si>
  <si>
    <t>1000 × 2000</t>
  </si>
  <si>
    <t>Q8 · Pradecon 173195</t>
  </si>
  <si>
    <t>Hoja LAF (C18)</t>
  </si>
  <si>
    <t>1220 × 2440</t>
  </si>
  <si>
    <t>Q9 · Pradecon 173195</t>
  </si>
  <si>
    <t>Hoja LAF (C14)</t>
  </si>
  <si>
    <t>Q10 · Pradecon 173195</t>
  </si>
  <si>
    <t>Hoja LAC (1/8)</t>
  </si>
  <si>
    <t>Q11 · Pradecon 173195</t>
  </si>
  <si>
    <t>Hoja LAC (3/16)</t>
  </si>
  <si>
    <t>Q12 · Hierros Parrotta 413329</t>
  </si>
  <si>
    <t>Hoja doble decapada N°20</t>
  </si>
  <si>
    <t>kg por metro de madre</t>
  </si>
  <si>
    <t>Neto con 6,84% de descuento, pago contado.</t>
  </si>
  <si>
    <t>Q13 · Hierros Parrotta 413329</t>
  </si>
  <si>
    <t>Q14 · Hierros Parrotta 413329</t>
  </si>
  <si>
    <t>Hoja doble decapada N°18 (1,2)</t>
  </si>
  <si>
    <t>Q15 · Hierros Parrotta 413329</t>
  </si>
  <si>
    <t>Hoja doble decapada N°16</t>
  </si>
  <si>
    <t>Q16 · Hierros Parrotta 413329</t>
  </si>
  <si>
    <t>Hoja doble decapada N°14</t>
  </si>
  <si>
    <t>Tira (fleje)</t>
  </si>
  <si>
    <t>Orientación (1 = alto a lo ancho, 2 = perímetro a lo ancho)</t>
  </si>
  <si>
    <t>Ancho de tira (mm)</t>
  </si>
  <si>
    <t>Q17 · Hierros Parrotta 413329</t>
  </si>
  <si>
    <t>Avance por unidad (mm)</t>
  </si>
  <si>
    <t>Hoja LAC 1/8</t>
  </si>
  <si>
    <t>Patrón 1 (tiras)</t>
  </si>
  <si>
    <t>Patrón 2 (tiras)</t>
  </si>
  <si>
    <t>Patrón 3 (tiras)</t>
  </si>
  <si>
    <t>Tiras por metro de madre (ponderado)</t>
  </si>
  <si>
    <t>Cúpula 1 kg</t>
  </si>
  <si>
    <t>—</t>
  </si>
  <si>
    <t>Q18 · Hierros Parrotta 413329</t>
  </si>
  <si>
    <t>Hoja LAC 3/16</t>
  </si>
  <si>
    <t>Q19 · Pacheco Chapas PR 42021</t>
  </si>
  <si>
    <t>Rollo LAF (fleje)</t>
  </si>
  <si>
    <t>Ancho 200</t>
  </si>
  <si>
    <t>Discos 2,5 kg. 6 rollos en 2.951 kg (~0,5 t c/u).</t>
  </si>
  <si>
    <t>Q20 · Pacheco Chapas PR 42021</t>
  </si>
  <si>
    <t>Ancho 200 y 250</t>
  </si>
  <si>
    <t>Discos 5 kg. Rollos de ~0,5 y ~0,6 t.</t>
  </si>
  <si>
    <t>Q21 · Pacheco Chapas PR 42021</t>
  </si>
  <si>
    <t>Ancho 249 y 300</t>
  </si>
  <si>
    <t>Discos 10 kg. Rollos de ~0,5 y ~0,74 t.</t>
  </si>
  <si>
    <t>Q22 · Pacheco Chapas PR 42021</t>
  </si>
  <si>
    <t>Plancha cortada a medida LAF</t>
  </si>
  <si>
    <t>1220 × 540 (3×2 cuerpos)</t>
  </si>
  <si>
    <t>Referencia: chapa a medida.</t>
  </si>
  <si>
    <t>Q23 · Pacheco Chapas PR 42021</t>
  </si>
  <si>
    <t>1000 × 475 (3 cuerpos)</t>
  </si>
  <si>
    <t>Q24 · Pacheco Chapas PR 42021</t>
  </si>
  <si>
    <t>1500 × 563 (3 cuerpos)</t>
  </si>
  <si>
    <t>Fondo 1 kg</t>
  </si>
  <si>
    <t>Q25 · Pacheco Chapas PR 42021</t>
  </si>
  <si>
    <t>Plancha cortada a medida LAC</t>
  </si>
  <si>
    <t>1500 × 2584 / 1988</t>
  </si>
  <si>
    <t>Q26 · Pacheco Chapas PR 42024</t>
  </si>
  <si>
    <t>1245 × 1360 / 1800</t>
  </si>
  <si>
    <t>Bobina madre: sin cotización todavía (se usa el precio de la bobina flejada más la diferencia de la sección 4). Polimetal (chapa a medida) quedó descartado y no se usa.</t>
  </si>
  <si>
    <t>8. Precio del acero por espesor y forma de compra (USD por kg) — lo que usa el cálculo</t>
  </si>
  <si>
    <t>Participación de cada patrón (% de los metros de madre)</t>
  </si>
  <si>
    <t>Bobina ancho estándar (A, cuerpos)</t>
  </si>
  <si>
    <t>Hoja estándar (B y D)</t>
  </si>
  <si>
    <t>Fleje a medida (discos A, D y referencia)</t>
  </si>
  <si>
    <t>Bobina madre (C)</t>
  </si>
  <si>
    <t>Chapa cortada a medida (referencia)</t>
  </si>
  <si>
    <t>Diferencia hoja vs. bobina</t>
  </si>
  <si>
    <t>Fuente</t>
  </si>
  <si>
    <t>Discos de rodantes (25–100 kg): se compran tercerizados embutidos, no entran en este análisis.</t>
  </si>
  <si>
    <t>Ancho usado por patrón (mm)</t>
  </si>
  <si>
    <t>LAC</t>
  </si>
  <si>
    <t>Orilla (scrap de borde) por patrón (mm)</t>
  </si>
  <si>
    <t>Bobina y fleje: Pradecon Q1 · Hoja: Parrotta Q12 · A medida: no aplica (se usa fleje)</t>
  </si>
  <si>
    <t>¿Entra en la madre? (orilla ≥ margen)</t>
  </si>
  <si>
    <t>Bobina: Pradecon Q2 · Hoja: Pradecon Q8 · Fleje: Pacheco Q19 · A medida: Pacheco Q22</t>
  </si>
  <si>
    <t>Bobina: Pradecon Q3 · Hoja: Pradecon Q7 · Fleje: Pacheco Q20 · A medida: Pacheco Q23</t>
  </si>
  <si>
    <t>Cálculo anual</t>
  </si>
  <si>
    <t>Metros necesarios: Cúpula 1 kg</t>
  </si>
  <si>
    <t>Bobina: Pradecon Q4 · Hoja: Pradecon Q9 · Fleje: Pacheco Q21 · A medida: Pacheco Q24</t>
  </si>
  <si>
    <t>Bobina: Pradecon Q5 · Hoja: Pradecon Q10 · Fleje: no aplica · A medida: Pacheco Q25</t>
  </si>
  <si>
    <t>Bobina: ESTIMADO (sin cotización; igual a LAC 3,2) · Hoja: Pradecon Q11 · A medida: Pacheco Q26</t>
  </si>
  <si>
    <t>Si cambia un espesor en Nesting, tiene que existir la misma fila acá (el cálculo busca el precio por espesor).</t>
  </si>
  <si>
    <t>6. Equipos e inversión (precios y cantidades editables)</t>
  </si>
  <si>
    <t>¿El puente grúa ya está previsto en el layout por otro motivo? (SI/NO)</t>
  </si>
  <si>
    <t>NO</t>
  </si>
  <si>
    <t>Si es SI, no se carga a las opciones A y C (la cátedra ya recomendó puente grúa para descargar chapa).</t>
  </si>
  <si>
    <t>Equipo</t>
  </si>
  <si>
    <t>Precio unitario (USD)</t>
  </si>
  <si>
    <t>Cant. A: bobina por formato</t>
  </si>
  <si>
    <t>Cant. B: hojas</t>
  </si>
  <si>
    <t>Cant. C: bobina madre</t>
  </si>
  <si>
    <t>Cant. D: hojas + fleje</t>
  </si>
  <si>
    <t>Cant. referencia (a medida)</t>
  </si>
  <si>
    <t>Subtotal A</t>
  </si>
  <si>
    <t>Subtotal B</t>
  </si>
  <si>
    <t>Subtotal C</t>
  </si>
  <si>
    <t>Subtotal D</t>
  </si>
  <si>
    <t>Subtotal referencia</t>
  </si>
  <si>
    <t>Línea de corte transversal 1–6 mm × 1.600 (desbobinador, aplanadora, alimentador servo, cizalla)</t>
  </si>
  <si>
    <t>ESTIMADO. Hener publica USD 45.000 para 0,2–3 mm × 1.250; con rodantes (hasta 4,75 mm) se requiere una línea más pesada. Cotizar.</t>
  </si>
  <si>
    <t>Metros necesarios: Fondo 1 kg</t>
  </si>
  <si>
    <t>Guillotina hidráulica 6 × 3.200 mm con tope motorizado</t>
  </si>
  <si>
    <t>Molinari HG 6×3200 (MercadoLibre), sin IVA, convertido al TC de Supuestos. En A separa las tiras de la línea.</t>
  </si>
  <si>
    <t>Cortadora longitudinal (slitter) 0,3–3,2 × 1.600</t>
  </si>
  <si>
    <t>ESTIMADO. Cangzhou Zunsheng publica USD 28.600–59.620 FOB (0,3–3,0 mm × 1.500, 10 t).</t>
  </si>
  <si>
    <t>Puente grúa monoviga 10 t (incluye carrilera)</t>
  </si>
  <si>
    <t>Metros de bobina madre a cortar</t>
  </si>
  <si>
    <t>Dongqi Crane: 10 t básico USD 10.000–50.000. Cantidad automática según 'ya previsto'.</t>
  </si>
  <si>
    <t>Pinza en C portabobinas + cunas</t>
  </si>
  <si>
    <t>ESTIMADO.</t>
  </si>
  <si>
    <t>Desbobinador + enderezador + alimentador servo para la prensa de discos</t>
  </si>
  <si>
    <t>ESTIMADO. En cotización (Cena, Henli, AEK, King Jime, Segura Llunell).</t>
  </si>
  <si>
    <t>Estantería porta-flejes</t>
  </si>
  <si>
    <t>Autoelevador eléctrico 2,5 t</t>
  </si>
  <si>
    <t>MercadoLibre GBA, nuevos 2026: USD 13.700–26.700 (EISEN).</t>
  </si>
  <si>
    <t>Mesa elevadora de tijera 1500 × 3000 mm, 3 t, elevación ~1 m (paquete de hojas a la altura de la guillotina)</t>
  </si>
  <si>
    <t>Acero de madre comprado (t)</t>
  </si>
  <si>
    <t>ESTIMADO. Referencia: mesas de 3 t con plataforma 3500 × 1500 y 3,5 m de elevación ~EUR 11.750 (SIA Suministros); una de ~1 m de elevación es más barata. Cotizar.</t>
  </si>
  <si>
    <t>Apoyos con bolas (mesa de bolas) entre la mesa elevadora y la guillotina</t>
  </si>
  <si>
    <t>Mezcla de 70 y 100 kg en la misma hoja (usa el formato de hoja del 70 kg)</t>
  </si>
  <si>
    <t>Cuerpos de 100 kg por hoja mixta</t>
  </si>
  <si>
    <t>ESTIMADO. Consultar si la guillotina trae brazos delanteros con bolas: en ese caso no hace falta.</t>
  </si>
  <si>
    <t>Racks por espesor en el almacén de MP y carros porta-desarrollos</t>
  </si>
  <si>
    <t>Cuerpos de 70 kg por hoja mixta</t>
  </si>
  <si>
    <t>Mesa de alimentación de tiras al balancín</t>
  </si>
  <si>
    <t>Largo ocupado (mm)</t>
  </si>
  <si>
    <t>ESTIMADO. Discos desde tiras de hoja (opción B).</t>
  </si>
  <si>
    <t>¿Entra? (perímetros a lo ancho, altos a lo largo, mismo espesor)</t>
  </si>
  <si>
    <t>Precios en USD sin IVA. El balancín/prensa de discos y la cilindradora existen en todas las opciones y no se incluyen.</t>
  </si>
  <si>
    <t>Aprovechamiento hoja mixta</t>
  </si>
  <si>
    <t>Acero neto en piezas del grupo (t)</t>
  </si>
  <si>
    <t>Masa hoja mixta (kg)</t>
  </si>
  <si>
    <t>Cortes por hoja mixta</t>
  </si>
  <si>
    <t>Peso de bobina por SKU: recomendado según la demanda y elegido (editable)</t>
  </si>
  <si>
    <t>Recomendado = consumo mensual del año de referencia × cobertura objetivo, redondeado a 0,5 t, entre el peso mínimo y el máximo que permiten el diámetro exterior y el desbobinador.</t>
  </si>
  <si>
    <t>Opción A — bobinas de cuerpo (ancho estándar) y flejes de disco (cortados por el proveedor)</t>
  </si>
  <si>
    <t>SKU</t>
  </si>
  <si>
    <t>Tipo</t>
  </si>
  <si>
    <t>Mezcla activa en el cálculo</t>
  </si>
  <si>
    <t>Ancho (mm)</t>
  </si>
  <si>
    <t>kg por metro</t>
  </si>
  <si>
    <t>Consumo año de referencia (t)</t>
  </si>
  <si>
    <t>Consumo mensual (t)</t>
  </si>
  <si>
    <t>Máx. por diámetro exterior (t)</t>
  </si>
  <si>
    <t>Capacidad del desbobinador (t)</t>
  </si>
  <si>
    <t>PESO RECOMENDADO (t)</t>
  </si>
  <si>
    <t>PESO ELEGIDO (t)</t>
  </si>
  <si>
    <t>Largo de la bobina (m)</t>
  </si>
  <si>
    <t>Piezas por bobina</t>
  </si>
  <si>
    <t>Días que dura</t>
  </si>
  <si>
    <t>B) CÚPULAS Y FONDOS (discos de manuales)</t>
  </si>
  <si>
    <t>Bobinas por año</t>
  </si>
  <si>
    <t>Hoja estándar → tiras en guillotina → balancín (opción B)</t>
  </si>
  <si>
    <t>Cuerpo 2,5 kg</t>
  </si>
  <si>
    <t>Bobina cuerpo</t>
  </si>
  <si>
    <t>Pieza</t>
  </si>
  <si>
    <t>Diámetro del disco (mm)</t>
  </si>
  <si>
    <t>Masa del disco (kg)</t>
  </si>
  <si>
    <t>Ancho de fleje = D+2s (mm)</t>
  </si>
  <si>
    <t>Paso = D+s (mm)</t>
  </si>
  <si>
    <t>Aprovech. fleje (1 fila)</t>
  </si>
  <si>
    <t>Tiras orient. 1</t>
  </si>
  <si>
    <t>Discos/tira o.1</t>
  </si>
  <si>
    <t>Piezas o.1</t>
  </si>
  <si>
    <t>Tiras orient. 2</t>
  </si>
  <si>
    <t>Discos/tira o.2</t>
  </si>
  <si>
    <t>Piezas o.2</t>
  </si>
  <si>
    <t>Discos por hoja</t>
  </si>
  <si>
    <t>Aprovechamiento del grupo</t>
  </si>
  <si>
    <t>Tiras por hoja</t>
  </si>
  <si>
    <t>Discos por tira</t>
  </si>
  <si>
    <t>FLEJE COMPRADO: ancho (mm)</t>
  </si>
  <si>
    <t>Aprovech. fleje comprado</t>
  </si>
  <si>
    <t>Cúpula</t>
  </si>
  <si>
    <t>Bobinas madre por año</t>
  </si>
  <si>
    <t>Flejes de disco generados por año</t>
  </si>
  <si>
    <t>Horas de corte longitudinal</t>
  </si>
  <si>
    <t>Cuerpo 5 kg</t>
  </si>
  <si>
    <t>ESTIMADO: deducido de la masa de pieza del registro (0,0461 kg) / 0,71 (relación pieza/disco de las otras cúpulas). Confirmar. Fleje: estimado D+2s (Pradecon corta a medida sin cargo).</t>
  </si>
  <si>
    <t>Fondo</t>
  </si>
  <si>
    <t>Grupo 1,25 mm</t>
  </si>
  <si>
    <t>Cuerpo 10 kg</t>
  </si>
  <si>
    <t>ESTIMADO: deducido de la masa de pieza (0,0497 kg) / 0,90 (relación de los otros fondos). Confirmar. Fleje: estimado D+2s (Pradecon corta a medida sin cargo).</t>
  </si>
  <si>
    <t>Cúpula 2,5 kg</t>
  </si>
  <si>
    <t>Cálculo anual por opción</t>
  </si>
  <si>
    <t>No editar: todo sale de Supuestos, Demanda, Nesting, BobinaMadre y Bobinas.</t>
  </si>
  <si>
    <t>Fondo 2,5 kg</t>
  </si>
  <si>
    <t>Cuerpo 25 kg</t>
  </si>
  <si>
    <t>Planilla 'Dimensiones de chapa'. Fleje: Pacheco Chapas.</t>
  </si>
  <si>
    <t>Período k (para descontar)</t>
  </si>
  <si>
    <t>Unidades a fabricar</t>
  </si>
  <si>
    <t>Cuerpo 50 kg</t>
  </si>
  <si>
    <t>Metros necesarios: Cuerpo 2,5 kg</t>
  </si>
  <si>
    <t>Metros necesarios: Cúpula 2,5 kg</t>
  </si>
  <si>
    <t>Cuerpo 70 kg</t>
  </si>
  <si>
    <t>Metros necesarios: Fondo 2,5 kg</t>
  </si>
  <si>
    <t>Cuerpo 100 kg</t>
  </si>
  <si>
    <t>Registro de referencia (FADESA) usa 1,6 mm en la cúpula del 10 kg; se toma 2,0 mm según tabla FLAMA. Editable. Fleje: Pacheco Chapas.</t>
  </si>
  <si>
    <t>Fleje Cúpula 1 kg</t>
  </si>
  <si>
    <t>Fleje disco</t>
  </si>
  <si>
    <t>Total</t>
  </si>
  <si>
    <t>Tabla FLAMA ('Dimensiones de chapa'). Fleje: Pacheco Chapas.</t>
  </si>
  <si>
    <t>Fleje Fondo 1 kg</t>
  </si>
  <si>
    <t>Ancho de fleje D+2s (columna G) = el que cortan ustedes (opciones B y C). Ancho comprado (columna W) = el cotizado a Pacheco para A, D y referencia; si es más ancho que D+2s, baja el aprovechamiento. Los discos se cortan en una fila por fleje (troquel simple). Un troquel de 2 filas escalonadas mejora el aprovechamiento ~8–10 puntos; queda como mejora futura.</t>
  </si>
  <si>
    <t>Acero neto en CUERPOS (t) — precio: chapa cortada a medida (referencia)</t>
  </si>
  <si>
    <t>USD/kg</t>
  </si>
  <si>
    <t>Fleje Cúpula 2,5 kg</t>
  </si>
  <si>
    <t>Fleje Fondo 2,5 kg</t>
  </si>
  <si>
    <t>Fleje Cúpula 5 kg</t>
  </si>
  <si>
    <t>Fleje Fondo 5 kg</t>
  </si>
  <si>
    <t>Grupo 1,6 mm</t>
  </si>
  <si>
    <t>Cúpula 5 kg</t>
  </si>
  <si>
    <t>Fleje Cúpula 10 kg</t>
  </si>
  <si>
    <t>Fondo 5 kg</t>
  </si>
  <si>
    <t>Fleje Fondo 10 kg</t>
  </si>
  <si>
    <t>Metros necesarios: Cuerpo 5 kg</t>
  </si>
  <si>
    <t>Opción C — bobinas madre (una por espesor)</t>
  </si>
  <si>
    <t>Metros necesarios: Cúpula 5 kg</t>
  </si>
  <si>
    <t>Días hábiles que dura</t>
  </si>
  <si>
    <t>Madre 0,9 mm</t>
  </si>
  <si>
    <t>Bobina madre</t>
  </si>
  <si>
    <t>Metros necesarios: Fondo 5 kg</t>
  </si>
  <si>
    <t>según patrón</t>
  </si>
  <si>
    <t>Cómo sería el proceso en cada opción</t>
  </si>
  <si>
    <t>Los números se calculan solos. Salvo aclaración, corresponden al año de referencia de Supuestos.</t>
  </si>
  <si>
    <t>Madre 1,25 mm</t>
  </si>
  <si>
    <t>OPCIÓN A — BOBINA DE ANCHO ESTÁNDAR POR FORMATO (cuerpos) + FLEJE A MEDIDA (cúpulas y fondos)</t>
  </si>
  <si>
    <t>Idea: para cada cuerpo se compra una bobina del ancho comercial que mejor se aprovecha (ver Nesting) y se corta al largo en la línea de corte transversal. Para cúpulas y fondos se compran flejes ya cortados por el proveedor al ancho del disco (D + 2s) y alimentan el balancín en continuo.</t>
  </si>
  <si>
    <t>Flujo del proceso — cuerpos</t>
  </si>
  <si>
    <t xml:space="preserve">  de los cuales LAF</t>
  </si>
  <si>
    <t>Recepción: el puente grúa con pinza en C baja cada bobina y la apoya en cunas por espesor. Control de recepción (Nivel 1 SGC): certificado, espesor ±0,1 mm.</t>
  </si>
  <si>
    <t>Carga en el desbobinador de la línea con el puente grúa.</t>
  </si>
  <si>
    <t>Aplanado: la aplanadora saca la curvatura de bobina; el despunte inicial va a scrap.</t>
  </si>
  <si>
    <t>Corte transversal: el alimentador servo avanza el largo programado y la cizalla corta una tira con 1 a 3 desarrollos de ancho.</t>
  </si>
  <si>
    <t>Separación en guillotina de los desarrollos de la tira y refilado de orillas.</t>
  </si>
  <si>
    <t>Apilado en carros → grabado de lote → cilindradora. Scrap a contenedor con salida al exterior.</t>
  </si>
  <si>
    <t>Flujo del proceso — cúpulas y fondos</t>
  </si>
  <si>
    <t>Recepción de flejes (bobinas angostas) con el puente grúa; se guardan en la estantería porta-flejes por diámetro de disco.</t>
  </si>
  <si>
    <t>Carga del fleje en el desbobinador del balancín; el alimentador servo avanza un paso (D + s) por golpe.</t>
  </si>
  <si>
    <t>El balancín corta el disco; el esqueleto del fleje se trocea y va a scrap (~25%, inherente al disco).</t>
  </si>
  <si>
    <t>Los discos pasan al embutido (cúpula/fondo) según el proceso ya definido en el Doc.</t>
  </si>
  <si>
    <t xml:space="preserve">  de los cuales LAC</t>
  </si>
  <si>
    <t>Máquinas y equipos</t>
  </si>
  <si>
    <t>Cantidad</t>
  </si>
  <si>
    <t>Precio unit. (USD)</t>
  </si>
  <si>
    <t>Madre 1,6 mm</t>
  </si>
  <si>
    <t>Subtotal (USD)</t>
  </si>
  <si>
    <t>Acero neto en CÚPULAS Y FONDOS (t)</t>
  </si>
  <si>
    <t>Madre 2,0 mm</t>
  </si>
  <si>
    <t>Madre 3,2 mm</t>
  </si>
  <si>
    <t>TOTAL OPCIÓN A</t>
  </si>
  <si>
    <t>Madre 4,75 mm</t>
  </si>
  <si>
    <t>Materia prima, peso de bobina y consumo</t>
  </si>
  <si>
    <t>Peso elegido (t)</t>
  </si>
  <si>
    <t>Consumo (t/año)</t>
  </si>
  <si>
    <t>Días que dura cada bobina</t>
  </si>
  <si>
    <t>• Cómo leerlo: si una bobina dura muy poco (pocos días) conviene subir el peso; si dura muchos meses, bajarlo para no inmovilizar stock.</t>
  </si>
  <si>
    <t>• El peso elegido es el máximo que se compra: en los primeros años, con poca demanda, el stock se calcula con bobinas más chicas (cobertura máxima en Supuestos).</t>
  </si>
  <si>
    <t>• Las bobinas angostas (flejes de disco) quedan limitadas por el diámetro exterior: a igual diámetro, un fleje de 200 mm pesa ~5 veces menos que una bobina de 1.000 mm.</t>
  </si>
  <si>
    <t>Grupo 2,0 mm</t>
  </si>
  <si>
    <t>Cúpula 10 kg</t>
  </si>
  <si>
    <t>Fondo 10 kg</t>
  </si>
  <si>
    <t>ACERO NETO TOTAL EN PIEZAS (t)</t>
  </si>
  <si>
    <t>Metros necesarios: Cuerpo 10 kg</t>
  </si>
  <si>
    <t>OPCIÓN A — cuerpos: bobina de ancho estándar comprada (t)</t>
  </si>
  <si>
    <t>cuerpo 2,5 kg</t>
  </si>
  <si>
    <t>Metros necesarios: Cúpula 10 kg</t>
  </si>
  <si>
    <t>cuerpo 5 kg</t>
  </si>
  <si>
    <t>Metros necesarios: Fondo 10 kg</t>
  </si>
  <si>
    <t>Manejo, personal y stock</t>
  </si>
  <si>
    <t>Acero comprado (t/año)</t>
  </si>
  <si>
    <t>Scrap (t/año)</t>
  </si>
  <si>
    <t>cuerpo 10 kg</t>
  </si>
  <si>
    <t>Stock promedio (t)</t>
  </si>
  <si>
    <t>Horas-hombre de corte por año</t>
  </si>
  <si>
    <t>Operarios equivalentes</t>
  </si>
  <si>
    <t>Costo anual (USD)</t>
  </si>
  <si>
    <t>cuerpo 25 kg</t>
  </si>
  <si>
    <t>Ventajas: excelente aprovechamiento en cuerpos, cortes exactos, cambio de formato sin herramental, discos en continuo. Desventajas: la inversión más alta de las opciones sin slitter (línea de corte + puente grúa), 15 SKUs distintos en stock, bobinas pesadas y una línea de 12–15 m.</t>
  </si>
  <si>
    <t>OPCIÓN B — HOJAS ESTÁNDAR (cuerpos, cúpulas y fondos)</t>
  </si>
  <si>
    <t>Idea: todo se compra en hojas de medida comercial. Los cuerpos se cortan en guillotina (franjas y piezas). Para los discos, la hoja se corta en tiras de ancho D + 2s y cada tira se carga a mano en el balancín.</t>
  </si>
  <si>
    <t>Flujo del proceso</t>
  </si>
  <si>
    <t>Recepción de paquetes (2–3 t) con autoelevador; racks por espesor y formato.</t>
  </si>
  <si>
    <t>Cuerpos: el paquete se apoya en la mesa elevadora de tijera; la hoja de arriba se desliza por la mesa de bolas hasta la guillotina, que corta franjas y luego desarrollos; sobrante a scrap; carros a cilindrado.</t>
  </si>
  <si>
    <t>Discos: la guillotina corta la hoja en tiras; las tiras se apilan en la mesa de alimentación del balancín.</t>
  </si>
  <si>
    <t>El operario carga cada tira en el balancín y la avanza contra tope; el balancín corta los discos; el esqueleto y la punta de tira van a scrap.</t>
  </si>
  <si>
    <t>Cambio de formato: reprogramar el tope trasero de la guillotina y cambiar de paquete.</t>
  </si>
  <si>
    <t>cuerpo 50 kg</t>
  </si>
  <si>
    <t>cuerpo 70 kg</t>
  </si>
  <si>
    <t>cuerpo 100 kg</t>
  </si>
  <si>
    <t>TOTAL OPCIÓN B</t>
  </si>
  <si>
    <t>Materia prima y consumo</t>
  </si>
  <si>
    <t>Hoja (mm)</t>
  </si>
  <si>
    <t>Aprovech.</t>
  </si>
  <si>
    <t>Hojas por año</t>
  </si>
  <si>
    <t>Acero (t/año)</t>
  </si>
  <si>
    <t>Tiras por año</t>
  </si>
  <si>
    <t>Grupo 3,2 mm</t>
  </si>
  <si>
    <t>OPCIÓN A — golpes de la línea de corte</t>
  </si>
  <si>
    <t>Metros necesarios: Cuerpo 25 kg</t>
  </si>
  <si>
    <t>Hojas mixtas 70/100</t>
  </si>
  <si>
    <t>Metros necesarios: Cuerpo 50 kg</t>
  </si>
  <si>
    <t>Comparación de opciones (cuerpos + cúpulas + fondos)</t>
  </si>
  <si>
    <t>Horizonte 2026–2035, con los precios de acero cotizados. VA = valor actual de costos + inversiones (menor es mejor).</t>
  </si>
  <si>
    <t>Indicador</t>
  </si>
  <si>
    <t>A: bobina por formato + fleje</t>
  </si>
  <si>
    <t>B: hojas (todo)</t>
  </si>
  <si>
    <t>C: bobina madre</t>
  </si>
  <si>
    <t>D: hojas + fleje</t>
  </si>
  <si>
    <t>Referencia a medida</t>
  </si>
  <si>
    <t>Unidad / nota</t>
  </si>
  <si>
    <t>Inversión inicial</t>
  </si>
  <si>
    <t>Acero comprado 2026–2035</t>
  </si>
  <si>
    <t>Scrap generado 2026–2035</t>
  </si>
  <si>
    <t>Aprovechamiento global de chapa</t>
  </si>
  <si>
    <t>OPCIÓN A, D y REFERENCIA — discos: fleje a medida comprado (t)</t>
  </si>
  <si>
    <t>acero en piezas / acero comprado</t>
  </si>
  <si>
    <t>fleje Cúpula 1 kg</t>
  </si>
  <si>
    <t>Costo del acero acumulado 10 años (nominal)</t>
  </si>
  <si>
    <t>Costo anual en el año de referencia</t>
  </si>
  <si>
    <t>USD/año</t>
  </si>
  <si>
    <t>Costo operativo acumulado 10 años (nominal)</t>
  </si>
  <si>
    <t>fleje Fondo 1 kg</t>
  </si>
  <si>
    <t>USD, sin inversión</t>
  </si>
  <si>
    <t>VALOR ACTUAL 10 AÑOS (costos + inversión)</t>
  </si>
  <si>
    <t>fleje Cúpula 2,5 kg</t>
  </si>
  <si>
    <t>USD. Menor = más conveniente</t>
  </si>
  <si>
    <t>Ranking por VA (1 = más barata)</t>
  </si>
  <si>
    <t>Ranking entre opciones que cortan en planta (sin referencia)</t>
  </si>
  <si>
    <t>Diferencia de VA contra la opción D</t>
  </si>
  <si>
    <t>USD. Positivo = cuesta más que D</t>
  </si>
  <si>
    <t>Stock promedio en el año de referencia</t>
  </si>
  <si>
    <t>Grupo 4,75 mm</t>
  </si>
  <si>
    <t>fleje Fondo 2,5 kg</t>
  </si>
  <si>
    <t>Cuerpo 70 y 100 kg (fleje compartido)</t>
  </si>
  <si>
    <t>2 (fijo)</t>
  </si>
  <si>
    <t>Horas-hombre de corte en el año de referencia</t>
  </si>
  <si>
    <t>fleje Cúpula 5 kg</t>
  </si>
  <si>
    <t>Ventajas: inversión mínima, máquinas simples, compras chicas. Desventajas: todo el acero a precio de hoja, dos bordes perdidos por hoja, discos desde tiras con peor aprovechamiento que el fleje, carga manual de miles de tiras al balancín (más horas y riesgo ergonómico), hojas de hasta 170 kg que exigen mesa elevadora y mesa de bolas.</t>
  </si>
  <si>
    <t>OPCIÓN C — BOBINA MADRE DE ANCHO ESTÁNDAR + CORTE LONGITUDINAL PROPIO</t>
  </si>
  <si>
    <t>Idea: se compra una sola bobina ancha por espesor (ancho comercial, p. ej. 1.000 / 1.250 / 1.500 mm) al precio de bobina. En planta, la cortadora longitudinal la divide en flejes según un patrón de cuchillas que combina, en la misma pasada, flejes de cuerpo y flejes de cúpula y fondo. Así las orillas se minimizan y no se paga el servicio de corte al proveedor.</t>
  </si>
  <si>
    <t>Recepción de la bobina madre con puente grúa y pinza en C; cunas por espesor. Control de recepción (Nivel 1 SGC).</t>
  </si>
  <si>
    <t>Planificación del corte: según stock de flejes y demanda se elige el patrón de cuchillas (hoja BobinaMadre: tiras por patrón y % de uso de cada patrón).</t>
  </si>
  <si>
    <t>Operarios de corte equivalentes</t>
  </si>
  <si>
    <t>Armado de la cortadora: se colocan cuchillas circulares y separadores en el eje según el patrón (tiempo de armado en Supuestos).</t>
  </si>
  <si>
    <t>Corte longitudinal: la madre se desenrolla, pasa por el cabezal de cuchillas y se separa en flejes; las orillas se enrollan en el enrollador de orillas (scrap).</t>
  </si>
  <si>
    <t>Rebobinado: cada fleje se rebobina por separado, se fleja, se etiqueta (espesor, ancho, colada) y se guarda en la estantería porta-flejes.</t>
  </si>
  <si>
    <t>Flejes de cuerpo (ancho = alto o perímetro del cuerpo): van a la línea de corte transversal, que corta 1 desarrollo por golpe sin necesidad de guillotina.</t>
  </si>
  <si>
    <t>Flejes de disco (ancho = D + 2s): van al desbobinador del balancín, igual que en la opción A.</t>
  </si>
  <si>
    <t>Excedentes: si un patrón produce más metros de un fleje que los necesarios, quedan en stock para la próxima campaña (el modelo los cuenta como scrap para ser conservador).</t>
  </si>
  <si>
    <t>Opción más conveniente que corta en planta</t>
  </si>
  <si>
    <t>Metros necesarios: Cuerpo 70 y 100 kg (fleje compartido)</t>
  </si>
  <si>
    <t>fleje Fondo 5 kg</t>
  </si>
  <si>
    <t>Suba del precio de las hojas que iguala D con A (equilibrio)</t>
  </si>
  <si>
    <t>Suba del precio del fleje que iguala D con B (equilibrio)</t>
  </si>
  <si>
    <t>Solo cúpulas y fondos: ¿fleje a medida o tiras de hoja? (año de referencia)</t>
  </si>
  <si>
    <t>Fuente de los discos</t>
  </si>
  <si>
    <t>Costo del acero (USD/año)</t>
  </si>
  <si>
    <t>Horas-hombre (h/año)</t>
  </si>
  <si>
    <t>Costo neto (USD/año)</t>
  </si>
  <si>
    <t>Fleje a medida (A, D, referencia)</t>
  </si>
  <si>
    <t>fleje Cúpula 10 kg</t>
  </si>
  <si>
    <t>Tiras cortadas de hojas (B)</t>
  </si>
  <si>
    <t>fleje Fondo 10 kg</t>
  </si>
  <si>
    <t>TOTAL OPCIÓN C</t>
  </si>
  <si>
    <t>Diferencia a favor del fleje (USD/año)</t>
  </si>
  <si>
    <t>Materia prima, patrones y consumo por espesor</t>
  </si>
  <si>
    <t>Grupo</t>
  </si>
  <si>
    <t>Ancho madre (mm)</t>
  </si>
  <si>
    <t>Peso de madre elegido (t)</t>
  </si>
  <si>
    <t>Acero de madre (t/año)</t>
  </si>
  <si>
    <t>No incluye inversión ni stock. La bobina madre (C) mezcla discos y cuerpos y se ve en la tabla general.</t>
  </si>
  <si>
    <t>Flejes de disco por año</t>
  </si>
  <si>
    <t>Horas de cortadora por año</t>
  </si>
  <si>
    <t>Sensibilidad 1: variación del precio de las hojas (mueve B y D)</t>
  </si>
  <si>
    <t>Aprovech. del grupo</t>
  </si>
  <si>
    <t>Variación precio hoja</t>
  </si>
  <si>
    <t>0,9 mm</t>
  </si>
  <si>
    <t>A</t>
  </si>
  <si>
    <t>B</t>
  </si>
  <si>
    <t>C</t>
  </si>
  <si>
    <t>D</t>
  </si>
  <si>
    <t>Más barata</t>
  </si>
  <si>
    <t>OPCIÓN B — hojas mixtas 70/100 kg (cantidad)</t>
  </si>
  <si>
    <t>Hojas mixtas</t>
  </si>
  <si>
    <t>1,25 mm</t>
  </si>
  <si>
    <t>1,6 mm</t>
  </si>
  <si>
    <t>OPCIÓN B — hojas para cuerpos (cantidad)</t>
  </si>
  <si>
    <t>Sensibilidad 2: variación del precio del fleje (mueve A y D)</t>
  </si>
  <si>
    <t>Variación precio fleje</t>
  </si>
  <si>
    <t>2,0 mm</t>
  </si>
  <si>
    <t>TOTALES OPCIÓN C</t>
  </si>
  <si>
    <t>3,2 mm</t>
  </si>
  <si>
    <t>Acero neto en piezas (t)</t>
  </si>
  <si>
    <t>Sensibilidad 3: precio de la línea de corte transversal (mueve A y C)</t>
  </si>
  <si>
    <t>Precio línea (USD)</t>
  </si>
  <si>
    <t>4,75 mm</t>
  </si>
  <si>
    <t xml:space="preserve">  Acero de madre LAF (t)</t>
  </si>
  <si>
    <t>Ejemplo de patrón (1,6 mm, madre de 1.000 mm): Patrón 3 = 3 flejes de cuerpo de 330 mm (990 mm); Patrón 2 = 1 cuerpo + 2 cúpulas + 1 fondo (967 mm); Patrón 1 = 1 cúpula + 4 fondos (959 mm). Alternando los tres en la proporción indicada se producen cuerpos, cúpulas y fondos del 5 kg en la misma relación que pide la demanda.</t>
  </si>
  <si>
    <t>Sensibilidad 4: precio de la cortadora longitudinal (mueve C)</t>
  </si>
  <si>
    <t>Precio cortadora (USD)</t>
  </si>
  <si>
    <t xml:space="preserve">  Acero de madre LAC (t)</t>
  </si>
  <si>
    <t>Stock promedio: madres + flejes (t)</t>
  </si>
  <si>
    <t>Horas de cortadora (máquina) por año</t>
  </si>
  <si>
    <t>Ventajas: todo el acero a precio de bobina, 6 SKUs de materia prima en lugar de 15, orillas mínimas combinando cuerpos y discos, independencia del proveedor para anchos especiales. Desventajas: inversión y espacio de la cortadora (línea de ~15–20 m), bobinas madre pesadas, planificación de patrones, stock de flejes intermedios, 2 operarios en la cortadora. En rodantes (3,2 y 4,75 mm) la madre de ancho comercial casi no necesita corte longitudinal.</t>
  </si>
  <si>
    <t>OPCIÓN D — HOJAS ESTÁNDAR (cuerpos) + FLEJE A MEDIDA (cúpulas y fondos) — OPCIÓN ELEGIDA</t>
  </si>
  <si>
    <t>Idea: los cuerpos (manuales y rodantes) se cortan de hojas de medida comercial en una sola guillotina 6 × 3.200 mm. Las cúpulas y fondos se cortan directamente desde rollos de fleje comprados al ancho de cada disco, que alimentan la prensa en continuo. Es la opción con menor valor actual de las que cortan en planta (ver hoja Decision).</t>
  </si>
  <si>
    <t>Sensibilidades aproximadas: no recalculan el costo financiero del stock.</t>
  </si>
  <si>
    <t>Por qué el fleje se compra 'a medida' y no a la acería: las acerías laminan bobinas de 600 mm o más de ancho (Ternium LAF 600–1.500 mm); los anchos de disco (106–300 mm) solo se consiguen cortando una bobina ancha en un centro de servicio. Pacheco Chapas cotizó los rollos al ancho de cada disco y Pradecon corta a medida sin cargo. Si el corte se hiciera en planta, sería la opción C.</t>
  </si>
  <si>
    <t>Cuerpos — recepción: el autoelevador descarga los paquetes de hojas y los ubica en los racks por espesor del almacén de MP.</t>
  </si>
  <si>
    <t>Cuerpos — preparación: el autoelevador lleva el paquete del formato a cortar a la mesa elevadora de tijera, al lado de la guillotina. Se corta por tandas de un mismo formato; al terminar, el paquete vuelve al almacén.</t>
  </si>
  <si>
    <t>Cuerpos — carga: la mesa sube hasta que la hoja de arriba queda a la altura de la guillotina y el operario la desliza sobre la mesa de bolas, sin levantarla (las hojas pesan de 25 a 170 kg).</t>
  </si>
  <si>
    <t>Cuerpos — primer corte: la guillotina corta la hoja en franjas con el tope trasero (si la franja supera el recorrido del tope, se corta el sobrante del otro lado).</t>
  </si>
  <si>
    <t>Cuerpos — segundo corte: cada franja se corta en desarrollos; los desarrollos van en carros al grabado de lote y a la cilindradora.</t>
  </si>
  <si>
    <t>Cuerpos — sobrante: las orillas que no alcanzan para otra pieza (10 a 290 mm) van a scrap. No sirven para discos: el disco más chico necesita un fleje continuo de 106 mm, y la orilla sale cortada en tramos.</t>
  </si>
  <si>
    <t>Discos — recepción: los rollos de fleje (0,5 a 0,75 t en Pacheco) se guardan en la estantería porta-flejes, un SKU por disco.</t>
  </si>
  <si>
    <t>Discos — alimentación: el rollo se monta en el desbobinador, el enderezador lo aplana y el alimentador servo avanza un paso (D + s) por golpe de la prensa.</t>
  </si>
  <si>
    <t>Discos — corte y embutido: la prensa corta el disco y lo embute; el esqueleto del fleje se trocea y va a scrap.</t>
  </si>
  <si>
    <t>Cambio de formato: en cuerpos se reprograma el tope de la guillotina; en discos se cambia el rollo y el troquel.</t>
  </si>
  <si>
    <t>Guillotina: especificación y secuencia de cortes por formato</t>
  </si>
  <si>
    <t>Guillotina hidráulica 6 × 3.200 mm con tope trasero motorizado (idealmente 1.000 mm), ángulo de corte y luz de cuchillas regulables, sostén de chapa trasero y seguridades (barreras, protección de garganta, pedal). Referencia cotizada: Molinari HG 6×3200; alternativas en consulta: Machcenter Modena QC11K y Odyssey QC12K.</t>
  </si>
  <si>
    <t>1er corte: franja (mm)</t>
  </si>
  <si>
    <t>Franjas por hoja</t>
  </si>
  <si>
    <t>2º corte: pieza (mm)</t>
  </si>
  <si>
    <t>Piezas por franja</t>
  </si>
  <si>
    <t>Orilla que sobra (mm)</t>
  </si>
  <si>
    <t>OPCIÓN B — acero en hojas para cuerpos (t)</t>
  </si>
  <si>
    <t>Decisión: opción D — hojas estándar para cuerpos + fleje a medida para cúpulas y fondos</t>
  </si>
  <si>
    <t>Todo se recalcula con Supuestos. Si cambian los precios, la primera fila avisa si la decisión sigue en pie.</t>
  </si>
  <si>
    <t>Resumen de la opción elegida: D — hojas estándar para cuerpos + fleje a medida para cúpulas y fondos</t>
  </si>
  <si>
    <t>Todo vinculado al cálculo. Años 2026–2035; la columna N suma los 10 años.</t>
  </si>
  <si>
    <t>1. Indicadores principales</t>
  </si>
  <si>
    <t>Valor actual 10 años (costos + inversión, tasa de Supuestos)</t>
  </si>
  <si>
    <t>1. Cifras clave</t>
  </si>
  <si>
    <t>A: bobina + fleje</t>
  </si>
  <si>
    <t>Valor actual 10 años (costos + inversión)</t>
  </si>
  <si>
    <t>Inversión inicial en equipos</t>
  </si>
  <si>
    <t>Acero comprado en 10 años</t>
  </si>
  <si>
    <t>Scrap generado en 10 años</t>
  </si>
  <si>
    <t>Diferencia contra D</t>
  </si>
  <si>
    <t>USD (positivo = más caro que D)</t>
  </si>
  <si>
    <t>Ahorro de VA frente a A / B / C</t>
  </si>
  <si>
    <t>Año de referencia</t>
  </si>
  <si>
    <t>2. Costos anuales (USD)</t>
  </si>
  <si>
    <t>Costo del acero acumulado 10 años</t>
  </si>
  <si>
    <t>Total 10 años</t>
  </si>
  <si>
    <t>Acero: hojas para cuerpos</t>
  </si>
  <si>
    <t>Acero: fleje para cúpulas y fondos</t>
  </si>
  <si>
    <t>2. Por qué D</t>
  </si>
  <si>
    <t>Es la de menor valor actual a 10 años entre las opciones que cortan en planta. Ahorro frente a A (bobina + fleje):</t>
  </si>
  <si>
    <t>Ahorro frente a B (todo en hojas):</t>
  </si>
  <si>
    <t>Ahorro frente a C (bobina madre, precio estimado):</t>
  </si>
  <si>
    <t>Invierte mucho menos que las opciones con bobina: no necesita línea de corte ni puente grúa. Inversión de D:</t>
  </si>
  <si>
    <t>Inversión adicional que requeriría A:</t>
  </si>
  <si>
    <t>Venta de scrap (resta)</t>
  </si>
  <si>
    <t>Según las cotizaciones, la hoja cuesta casi lo mismo que la bobina, así que la bobina no compensa su mayor inversión con acero más barato. Diferencia hoja vs. bobina, mínima y máxima entre los espesores de cuerpo (1,25 a 4,75 mm):</t>
  </si>
  <si>
    <t>Margen de seguridad: el precio de las hojas tendría que subir este porcentaje (manteniendo el de la bobina) para que A iguale a D:</t>
  </si>
  <si>
    <t>Cúpulas y fondos desde fleje a medida: la prensa se alimenta sola (sin cargar tiras a mano, más seguro) y aprovecha mejor la chapa que las tiras de hoja. Ahorro anual frente a tiras de hoja en el año de referencia:</t>
  </si>
  <si>
    <t>Una sola guillotina 6 × 3.200 mm corta todos los cuerpos, de 1,25 a 4,75 mm, incluidos los rodantes. Horas-hombre de corte por año:</t>
  </si>
  <si>
    <t>Mixta 70+100</t>
  </si>
  <si>
    <t>Costo financiero del stock</t>
  </si>
  <si>
    <t>Stock parecido al de A, pero comprado en paquetes mensuales de hojas en lugar de bobinas de hasta 10 t, que exigen puente grúa y depósito propio. Stock de D contra A:</t>
  </si>
  <si>
    <t>Cumple la consigna de cortar en planta y es la más simple de operar, mantener y ubicar en el layout (una guillotina de ~4 m contra una línea de 12–15 m con depósito de bobinas).</t>
  </si>
  <si>
    <t>3. Qué resigna D</t>
  </si>
  <si>
    <t>•</t>
  </si>
  <si>
    <t>Aprovecha menos chapa que A en los cuerpos (dos bordes perdidos por hoja). Aprovechamiento global D contra A:</t>
  </si>
  <si>
    <t>Scrap adicional frente a A en 10 años (t):</t>
  </si>
  <si>
    <t>Mano de obra de corte</t>
  </si>
  <si>
    <t>Más manipulación de hojas: las de 71 a 170 kg (2 a 4,75 mm × 1500 × 3000) no se pueden mover a mano; se resuelve con la mesa elevadora de tijera y la mesa de bolas, deslizando la hoja sin levantarla.</t>
  </si>
  <si>
    <t>4. Cuándo habría que revisar la decisión</t>
  </si>
  <si>
    <t>Si el precio de las hojas sube respecto del de la bobina más que este porcentaje (A pasaría a convenir):</t>
  </si>
  <si>
    <t>Si el precio del fleje sube más que este porcentaje (B pasaría a convenir):</t>
  </si>
  <si>
    <t>Si la línea de corte transversal o el puente grúa resultan mucho más baratos de lo estimado, o el puente grúa ya está previsto en el layout (ver Sensibilidad 3 en Comparacion y la celda 'ya previsto' en Supuestos).</t>
  </si>
  <si>
    <t>Si la demanda crece bastante más de lo previsto: la bobina escala mejor con volumen.</t>
  </si>
  <si>
    <t>5. Datos todavía estimados (reemplazar cuando lleguen las cotizaciones)</t>
  </si>
  <si>
    <t>Guillotina: se usa la Molinari HG 6×3200 como referencia; falta confirmar el recorrido del tope trasero (≥ 900–1.000 mm).</t>
  </si>
  <si>
    <t>Desbobinador + alimentador de la prensa de discos, mesa elevadora de tijera, mesa de bolas y autoelevador: precios estimados.</t>
  </si>
  <si>
    <t>Bobina LAC 4,75 mm (solo afecta a A): sin cotización, se toma igual a la de 3,2 mm.</t>
  </si>
  <si>
    <t>Mantenimiento de equipos</t>
  </si>
  <si>
    <t>Bobina madre (opción C): sin cotización; Pradecon indicó que cuesta lo mismo que la bobina flejada.</t>
  </si>
  <si>
    <t>Diámetros de los discos del 1 kg y espesor de la cúpula del 10 kg: a confirmar con los planos.</t>
  </si>
  <si>
    <t>COSTO ANUAL TOTAL</t>
  </si>
  <si>
    <t>Factor de descuento</t>
  </si>
  <si>
    <t>Costo anual descontado</t>
  </si>
  <si>
    <t>Valor actual = inversión inicial + suma de costos descontados</t>
  </si>
  <si>
    <t>3. Producción y costo de acero por unidad</t>
  </si>
  <si>
    <t>Unidades fabricadas (matafuegos + cilindros, todos los formatos)</t>
  </si>
  <si>
    <t>OPCIÓN B — cortes de guillotina en cuerpos</t>
  </si>
  <si>
    <t>u</t>
  </si>
  <si>
    <t>TOTAL OPCIÓN D</t>
  </si>
  <si>
    <t>Costo de acero por unidad (promedio)</t>
  </si>
  <si>
    <t>USD/u</t>
  </si>
  <si>
    <t>Materia prima (año de referencia)</t>
  </si>
  <si>
    <t>Compra</t>
  </si>
  <si>
    <t>Proveedor de referencia</t>
  </si>
  <si>
    <t>Unidades de compra por año</t>
  </si>
  <si>
    <t>Pradecon (hojas)</t>
  </si>
  <si>
    <t>Costo total por unidad: acero − scrap + stock + corte + mantenimiento (promedio)</t>
  </si>
  <si>
    <t>4. Acero comprado (t)</t>
  </si>
  <si>
    <t>Hojas cuerpo 2,5 kg</t>
  </si>
  <si>
    <t>Hojas cuerpo 5 kg</t>
  </si>
  <si>
    <t>Hojas cuerpo 10 kg</t>
  </si>
  <si>
    <t>Hojas cuerpo 25 kg</t>
  </si>
  <si>
    <t>Hojas cuerpo 50 kg</t>
  </si>
  <si>
    <t>Hoja mixta 70/100</t>
  </si>
  <si>
    <t>Hojas cuerpo 70 kg</t>
  </si>
  <si>
    <t>Pradecon (a medida)</t>
  </si>
  <si>
    <t>Hojas cuerpo 100 kg</t>
  </si>
  <si>
    <t>OPCIÓN B — hojas para discos (cantidad)</t>
  </si>
  <si>
    <t>Pacheco Chapas</t>
  </si>
  <si>
    <t>Stock promedio: hojas + flejes (t)</t>
  </si>
  <si>
    <t>Ventajas: la menor inversión de las opciones que alimentan discos desde fleje, sin puente grúa ni línea de 12–15 m, una sola guillotina para todos los formatos (incluidos rodantes de 4,75 mm), compras mensuales con poco stock, discos en continuo sin carga manual. Desventajas: aprovecha menos chapa que la bobina en los cuerpos, más manipulación de hojas (mesa elevadora y mesa de bolas), 8 SKUs de fleje más las hojas.</t>
  </si>
  <si>
    <t>REFERENCIA — SITUACIÓN ACTUAL</t>
  </si>
  <si>
    <t>Cuerpos comprados cortados a medida y discos desde fleje a medida. No requiere máquinas de corte de cuerpos. Solo para comparar: no cumple la consigna de cortar en planta.</t>
  </si>
  <si>
    <t>TOTAL ACERO COMPRADO</t>
  </si>
  <si>
    <t>OPCIÓN B — acero en hojas para discos (t)</t>
  </si>
  <si>
    <t>Acero neto en piezas</t>
  </si>
  <si>
    <t>Scrap</t>
  </si>
  <si>
    <t>Aprovechamiento</t>
  </si>
  <si>
    <t>5. Compras en unidades</t>
  </si>
  <si>
    <t>hojas</t>
  </si>
  <si>
    <t>Rollos fleje Cúpula 1 kg</t>
  </si>
  <si>
    <t>rollos</t>
  </si>
  <si>
    <t>OPCIÓN B — tiras cargadas a mano en el balancín</t>
  </si>
  <si>
    <t>Rollos fleje Fondo 1 kg</t>
  </si>
  <si>
    <t>Rollos fleje Cúpula 2,5 kg</t>
  </si>
  <si>
    <t>Rollos fleje Fondo 2,5 kg</t>
  </si>
  <si>
    <t>Rollos fleje Cúpula 5 kg</t>
  </si>
  <si>
    <t>Rollos fleje Fondo 5 kg</t>
  </si>
  <si>
    <t>Rollos fleje Cúpula 10 kg</t>
  </si>
  <si>
    <t>Rollos fleje Fondo 10 kg</t>
  </si>
  <si>
    <t>6. Stock, operación y personal</t>
  </si>
  <si>
    <t>Stock promedio (hojas + flejes)</t>
  </si>
  <si>
    <t>Cortes de guillotina</t>
  </si>
  <si>
    <t>cortes</t>
  </si>
  <si>
    <t>Horas-hombre de corte (guillotina + cambios de fleje)</t>
  </si>
  <si>
    <t>h</t>
  </si>
  <si>
    <t>OPCIÓN B — cortes de guillotina para hacer tiras</t>
  </si>
  <si>
    <t>7. Equipos de la opción D</t>
  </si>
  <si>
    <t>Las filas en blanco son equipos que no usa la opción D.</t>
  </si>
  <si>
    <t>8. Materia prima: formato, proveedor y precio</t>
  </si>
  <si>
    <t>Pradecon</t>
  </si>
  <si>
    <t>OPCIÓN C — resumen desde hoja BobinaMadre</t>
  </si>
  <si>
    <t>OPCIÓN C — acero de madre por grupo (t)</t>
  </si>
  <si>
    <t>madre 0,9 mm</t>
  </si>
  <si>
    <t>madre 1,25 mm</t>
  </si>
  <si>
    <t>madre 1,6 mm</t>
  </si>
  <si>
    <t>madre 2,0 mm</t>
  </si>
  <si>
    <t>madre 3,2 mm</t>
  </si>
  <si>
    <t>madre 4,75 mm</t>
  </si>
  <si>
    <t>Golpes de la línea de corte (1 cuerpo por golpe: el fleje tiene el ancho de un cuerpo)</t>
  </si>
  <si>
    <t>STOCK POR SKU (t) — opciones A y referencia usan bobinas/flejes; C usa madre + flejes</t>
  </si>
  <si>
    <t>Stock opción A por SKU (t)</t>
  </si>
  <si>
    <t>bobina cuerpo 2,5 kg</t>
  </si>
  <si>
    <t>bobina cuerpo 5 kg</t>
  </si>
  <si>
    <t>bobina cuerpo 10 kg</t>
  </si>
  <si>
    <t>bobina cuerpo 25 kg</t>
  </si>
  <si>
    <t>bobina cuerpo 50 kg</t>
  </si>
  <si>
    <t>bobina cuerpo 70 kg</t>
  </si>
  <si>
    <t>bobina cuerpo 100 kg</t>
  </si>
  <si>
    <t>Stock opción C por grupo (madre + flejes en proceso) (t)</t>
  </si>
  <si>
    <t>Flejes de disco por año (opción A y referencia)</t>
  </si>
  <si>
    <t>COSTOS ANUALES (USD)</t>
  </si>
  <si>
    <t>Costo del acero por forma de compra (USD) — toneladas × precio por espesor</t>
  </si>
  <si>
    <t>Bobinas de ancho estándar para cuerpos (A)</t>
  </si>
  <si>
    <t>Fleje a medida para discos (A, D, referencia)</t>
  </si>
  <si>
    <t>Hojas para cuerpos (B, D)</t>
  </si>
  <si>
    <t>Hojas para discos (B)</t>
  </si>
  <si>
    <t>Chapa de cuerpo cortada a medida (referencia)</t>
  </si>
  <si>
    <t>Opción A — bobina por formato (cuerpos) + fleje a medida (discos)</t>
  </si>
  <si>
    <t>Acero comprado</t>
  </si>
  <si>
    <t>Acero comprado (t)</t>
  </si>
  <si>
    <t>Scrap (t)</t>
  </si>
  <si>
    <t>Horas: línea de corte + guillotina + cambios de fleje</t>
  </si>
  <si>
    <t>Mano de obra</t>
  </si>
  <si>
    <t>COSTO ANUAL OPCIÓN A</t>
  </si>
  <si>
    <t>Opción B — hojas estándar (cuerpos y discos)</t>
  </si>
  <si>
    <t>Acero comprado (hojas)</t>
  </si>
  <si>
    <t>Horas: guillotina (cuerpos + tiras) + carga manual de tiras</t>
  </si>
  <si>
    <t>COSTO ANUAL OPCIÓN B</t>
  </si>
  <si>
    <t>Opción C — bobina madre + corte longitudinal propio (precio ESTIMADO)</t>
  </si>
  <si>
    <t>Scrap (t) — orillas, esqueleto de discos, excedente de flejes y despuntes</t>
  </si>
  <si>
    <t>Horas de cortadora longitudinal (máquina)</t>
  </si>
  <si>
    <t>Horas-hombre: cortadora × operarios + línea de corte + cambios de fleje</t>
  </si>
  <si>
    <t>COSTO ANUAL OPCIÓN C</t>
  </si>
  <si>
    <t>Opción D — hojas estándar (cuerpos) + fleje a medida (cúpulas y fondos)</t>
  </si>
  <si>
    <t>Acero comprado: hojas de cuerpo + fleje de discos</t>
  </si>
  <si>
    <t>Stock promedio (t): hojas + flejes</t>
  </si>
  <si>
    <t>Horas: guillotina de cuerpos + cambios de fleje</t>
  </si>
  <si>
    <t>COSTO ANUAL OPCIÓN D</t>
  </si>
  <si>
    <t>Referencia — cuerpos cortados a medida + fleje a medida para discos</t>
  </si>
  <si>
    <t>Scrap (t) — esqueleto de discos</t>
  </si>
  <si>
    <t>Horas: cambios de fleje</t>
  </si>
  <si>
    <t>COSTO ANUAL REFERENCIA</t>
  </si>
  <si>
    <t>DESCUENTO</t>
  </si>
  <si>
    <t>Factor de descuento 1/(1+i)^k</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</si>
</sst>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0;\(#,##0.00\);\-"/>
    <numFmt numFmtId="166" formatCode="0.0%;\(0.0%\);\-"/>
    <numFmt numFmtId="167" formatCode="0.0000"/>
    <numFmt numFmtId="168" formatCode="#,##0.0;\(#,##0.0\);\-"/>
    <numFmt numFmtId="169" formatCode="0.0"/>
    <numFmt numFmtId="170" formatCode="#,##0.0000"/>
    <numFmt numFmtId="171" formatCode="0.000"/>
  </numFmts>
  <fonts count="12">
    <font>
      <sz val="11.0"/>
      <color theme="1"/>
      <name val="Calibri"/>
      <scheme val="minor"/>
    </font>
    <font>
      <b/>
      <sz val="14.0"/>
      <color theme="1"/>
      <name val="Arial"/>
    </font>
    <font>
      <i/>
      <sz val="11.0"/>
      <color rgb="FF595959"/>
      <name val="Arial"/>
    </font>
    <font>
      <b/>
      <sz val="11.0"/>
      <color rgb="FF1F3864"/>
      <name val="Arial"/>
    </font>
    <font>
      <b/>
      <sz val="11.0"/>
      <color rgb="FFFFFFFF"/>
      <name val="Arial"/>
    </font>
    <font>
      <b/>
      <sz val="11.0"/>
      <color theme="1"/>
      <name val="Arial"/>
    </font>
    <font>
      <sz val="11.0"/>
      <color theme="1"/>
      <name val="Arial"/>
    </font>
    <font>
      <sz val="11.0"/>
      <color rgb="FF0000FF"/>
      <name val="Arial"/>
    </font>
    <font>
      <color theme="1"/>
      <name val="Calibri"/>
      <scheme val="minor"/>
    </font>
    <font>
      <sz val="11.0"/>
      <color rgb="FF008000"/>
      <name val="Arial"/>
    </font>
    <font/>
    <font>
      <b/>
      <sz val="12.0"/>
      <color theme="1"/>
      <name val="Arial"/>
    </font>
  </fonts>
  <fills count="6">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E2EFDA"/>
        <bgColor rgb="FFE2EFDA"/>
      </patternFill>
    </fill>
  </fills>
  <borders count="15">
    <border/>
    <border>
      <left style="thin">
        <color rgb="FFBFBFBF"/>
      </left>
      <right style="thin">
        <color rgb="FFBFBFBF"/>
      </right>
      <top style="thin">
        <color rgb="FFBFBFBF"/>
      </top>
      <bottom style="thin">
        <color rgb="FFBFBFBF"/>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n">
        <color rgb="FFBFBFBF"/>
      </left>
      <top style="thin">
        <color rgb="FFBFBFBF"/>
      </top>
      <bottom style="thin">
        <color rgb="FFBFBFBF"/>
      </bottom>
    </border>
    <border>
      <left style="thick">
        <color rgb="FF000000"/>
      </left>
      <right style="thin">
        <color rgb="FFBFBFBF"/>
      </right>
      <top style="thin">
        <color rgb="FFBFBFBF"/>
      </top>
      <bottom style="thin">
        <color rgb="FFBFBFBF"/>
      </bottom>
    </border>
    <border>
      <left style="thin">
        <color rgb="FFBFBFBF"/>
      </left>
      <right style="thick">
        <color rgb="FF000000"/>
      </right>
      <top style="thin">
        <color rgb="FFBFBFBF"/>
      </top>
      <bottom style="thin">
        <color rgb="FFBFBFBF"/>
      </bottom>
    </border>
    <border>
      <left style="thick">
        <color rgb="FF000000"/>
      </left>
      <right style="thin">
        <color rgb="FFBFBFBF"/>
      </right>
      <top style="thin">
        <color rgb="FFBFBFBF"/>
      </top>
      <bottom style="thick">
        <color rgb="FF000000"/>
      </bottom>
    </border>
    <border>
      <left style="thin">
        <color rgb="FFBFBFBF"/>
      </left>
      <right style="thin">
        <color rgb="FFBFBFBF"/>
      </right>
      <top style="thin">
        <color rgb="FFBFBFBF"/>
      </top>
      <bottom style="thick">
        <color rgb="FF000000"/>
      </bottom>
    </border>
    <border>
      <left style="thin">
        <color rgb="FFBFBFBF"/>
      </left>
      <right style="thick">
        <color rgb="FF000000"/>
      </right>
      <top style="thin">
        <color rgb="FFBFBFBF"/>
      </top>
      <bottom style="thick">
        <color rgb="FF000000"/>
      </bottom>
    </border>
    <border>
      <top style="thin">
        <color rgb="FFBFBFBF"/>
      </top>
      <bottom style="thin">
        <color rgb="FFBFBFBF"/>
      </bottom>
    </border>
    <border>
      <right style="thin">
        <color rgb="FFBFBFBF"/>
      </right>
      <top style="thin">
        <color rgb="FFBFBFBF"/>
      </top>
      <bottom style="thin">
        <color rgb="FFBFBFBF"/>
      </bottom>
    </border>
    <border>
      <right/>
      <top style="thin">
        <color rgb="FFBFBFBF"/>
      </top>
      <bottom style="thin">
        <color rgb="FFBFBFBF"/>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1" fillId="0" fontId="5" numFmtId="0" xfId="0" applyBorder="1" applyFont="1"/>
    <xf borderId="1" fillId="0" fontId="6" numFmtId="0" xfId="0" applyAlignment="1" applyBorder="1" applyFont="1">
      <alignment shrinkToFit="0" vertical="top" wrapText="1"/>
    </xf>
    <xf borderId="1" fillId="0" fontId="6" numFmtId="0" xfId="0" applyBorder="1" applyFont="1"/>
    <xf borderId="1" fillId="3" fontId="7" numFmtId="164" xfId="0" applyBorder="1" applyFill="1" applyFont="1" applyNumberFormat="1"/>
    <xf borderId="2" fillId="0" fontId="3" numFmtId="0" xfId="0" applyBorder="1" applyFont="1"/>
    <xf borderId="3" fillId="0" fontId="8" numFmtId="0" xfId="0" applyBorder="1" applyFont="1"/>
    <xf borderId="1" fillId="3" fontId="7" numFmtId="165" xfId="0" applyBorder="1" applyFill="1" applyFont="1" applyNumberFormat="1"/>
    <xf borderId="4" fillId="0" fontId="8" numFmtId="0" xfId="0" applyBorder="1" applyFont="1"/>
    <xf borderId="5" fillId="0" fontId="3" numFmtId="0" xfId="0" applyBorder="1" applyFont="1"/>
    <xf borderId="1" fillId="3" fontId="7" numFmtId="166" xfId="0" applyBorder="1" applyFill="1" applyFont="1" applyNumberFormat="1"/>
    <xf borderId="5" fillId="0" fontId="8" numFmtId="0" xfId="0" applyBorder="1" applyFont="1"/>
    <xf borderId="1" fillId="0" fontId="6" numFmtId="164" xfId="0" applyBorder="1" applyFont="1" applyNumberFormat="1"/>
    <xf borderId="1" fillId="3" fontId="7" numFmtId="0" xfId="0" applyBorder="1" applyFill="1" applyFont="1"/>
    <xf borderId="6" fillId="2" fontId="4" numFmtId="0" xfId="0" applyAlignment="1" applyBorder="1" applyFill="1" applyFont="1">
      <alignment horizontal="center" shrinkToFit="0" vertical="center" wrapText="1"/>
    </xf>
    <xf borderId="7" fillId="2" fontId="4" numFmtId="0" xfId="0" applyAlignment="1" applyBorder="1" applyFill="1" applyFont="1">
      <alignment horizontal="center" shrinkToFit="0" vertical="center" wrapText="1"/>
    </xf>
    <xf borderId="1" fillId="0" fontId="9" numFmtId="167" xfId="0" applyBorder="1" applyFont="1" applyNumberFormat="1"/>
    <xf borderId="1" fillId="3" fontId="7" numFmtId="1" xfId="0" applyBorder="1" applyFill="1" applyFont="1" applyNumberFormat="1"/>
    <xf borderId="8" fillId="2" fontId="4" numFmtId="0" xfId="0" applyAlignment="1" applyBorder="1" applyFill="1" applyFont="1">
      <alignment horizontal="center" shrinkToFit="0" vertical="center" wrapText="1"/>
    </xf>
    <xf borderId="0" fillId="0" fontId="6" numFmtId="0" xfId="0" applyAlignment="1" applyFont="1">
      <alignment shrinkToFit="0" vertical="top" wrapText="1"/>
    </xf>
    <xf borderId="5" fillId="2" fontId="4" numFmtId="0" xfId="0" applyAlignment="1" applyBorder="1" applyFill="1" applyFont="1">
      <alignment horizontal="center" shrinkToFit="0" vertical="center" wrapText="1"/>
    </xf>
    <xf borderId="1" fillId="3" fontId="7" numFmtId="168" xfId="0" applyBorder="1" applyFill="1" applyFont="1" applyNumberFormat="1"/>
    <xf borderId="1" fillId="4" fontId="5" numFmtId="164" xfId="0" applyBorder="1" applyFill="1" applyFont="1" applyNumberFormat="1"/>
    <xf borderId="1" fillId="3" fontId="7" numFmtId="169" xfId="0" applyBorder="1" applyFill="1" applyFont="1" applyNumberFormat="1"/>
    <xf borderId="1" fillId="3" fontId="7" numFmtId="2" xfId="0" applyBorder="1" applyFill="1" applyFont="1" applyNumberFormat="1"/>
    <xf borderId="6" fillId="0" fontId="6" numFmtId="165" xfId="0" applyBorder="1" applyFont="1" applyNumberFormat="1"/>
    <xf borderId="7" fillId="3" fontId="7" numFmtId="164" xfId="0" applyBorder="1" applyFill="1" applyFont="1" applyNumberFormat="1"/>
    <xf borderId="1" fillId="3" fontId="7" numFmtId="164" xfId="0" applyAlignment="1" applyBorder="1" applyFill="1" applyFont="1" applyNumberFormat="1">
      <alignment readingOrder="0"/>
    </xf>
    <xf borderId="1" fillId="5" fontId="6" numFmtId="164" xfId="0" applyBorder="1" applyFill="1" applyFont="1" applyNumberFormat="1"/>
    <xf borderId="1" fillId="0" fontId="6" numFmtId="165" xfId="0" applyBorder="1" applyFont="1" applyNumberFormat="1"/>
    <xf borderId="1" fillId="5" fontId="6" numFmtId="166" xfId="0" applyBorder="1" applyFill="1" applyFont="1" applyNumberFormat="1"/>
    <xf borderId="1" fillId="0" fontId="6" numFmtId="167" xfId="0" applyBorder="1" applyFont="1" applyNumberFormat="1"/>
    <xf borderId="8" fillId="0" fontId="6" numFmtId="164" xfId="0" applyBorder="1" applyFont="1" applyNumberFormat="1"/>
    <xf borderId="5" fillId="3" fontId="7" numFmtId="164" xfId="0" applyBorder="1" applyFill="1" applyFont="1" applyNumberFormat="1"/>
    <xf borderId="1" fillId="3" fontId="7" numFmtId="170" xfId="0" applyBorder="1" applyFill="1" applyFont="1" applyNumberFormat="1"/>
    <xf borderId="5" fillId="0" fontId="6" numFmtId="164" xfId="0" applyBorder="1" applyFont="1" applyNumberFormat="1"/>
    <xf borderId="1" fillId="5" fontId="6" numFmtId="167" xfId="0" applyBorder="1" applyFill="1" applyFont="1" applyNumberFormat="1"/>
    <xf borderId="5" fillId="0" fontId="6" numFmtId="166" xfId="0" applyBorder="1" applyFont="1" applyNumberFormat="1"/>
    <xf borderId="5" fillId="5" fontId="6" numFmtId="164" xfId="0" applyBorder="1" applyFill="1" applyFont="1" applyNumberFormat="1"/>
    <xf borderId="5" fillId="0" fontId="6" numFmtId="169" xfId="0" applyBorder="1" applyFont="1" applyNumberFormat="1"/>
    <xf borderId="5" fillId="5" fontId="6" numFmtId="166" xfId="0" applyBorder="1" applyFill="1" applyFont="1" applyNumberFormat="1"/>
    <xf borderId="1" fillId="0" fontId="9" numFmtId="2" xfId="0" applyBorder="1" applyFont="1" applyNumberFormat="1"/>
    <xf borderId="5" fillId="0" fontId="6" numFmtId="0" xfId="0" applyBorder="1" applyFont="1"/>
    <xf borderId="1" fillId="0" fontId="9" numFmtId="0" xfId="0" applyBorder="1" applyFont="1"/>
    <xf borderId="1" fillId="0" fontId="9" numFmtId="169" xfId="0" applyBorder="1" applyFont="1" applyNumberFormat="1"/>
    <xf borderId="1" fillId="0" fontId="6" numFmtId="171" xfId="0" applyBorder="1" applyFont="1" applyNumberFormat="1"/>
    <xf borderId="1" fillId="0" fontId="6" numFmtId="169" xfId="0" applyBorder="1" applyFont="1" applyNumberFormat="1"/>
    <xf borderId="1" fillId="0" fontId="6" numFmtId="166" xfId="0" applyBorder="1" applyFont="1" applyNumberFormat="1"/>
    <xf borderId="1" fillId="3" fontId="7" numFmtId="167" xfId="0" applyBorder="1" applyFill="1" applyFont="1" applyNumberFormat="1"/>
    <xf borderId="9" fillId="3" fontId="7" numFmtId="164" xfId="0" applyBorder="1" applyFill="1" applyFont="1" applyNumberFormat="1"/>
    <xf borderId="10" fillId="3" fontId="7" numFmtId="164" xfId="0" applyBorder="1" applyFill="1" applyFont="1" applyNumberFormat="1"/>
    <xf borderId="10" fillId="0" fontId="6" numFmtId="164" xfId="0" applyBorder="1" applyFont="1" applyNumberFormat="1"/>
    <xf borderId="10" fillId="5" fontId="6" numFmtId="164" xfId="0" applyBorder="1" applyFill="1" applyFont="1" applyNumberFormat="1"/>
    <xf borderId="10" fillId="5" fontId="6" numFmtId="166" xfId="0" applyBorder="1" applyFill="1" applyFont="1" applyNumberFormat="1"/>
    <xf borderId="1" fillId="0" fontId="5" numFmtId="164" xfId="0" applyBorder="1" applyFont="1" applyNumberFormat="1"/>
    <xf borderId="10" fillId="0" fontId="6" numFmtId="165" xfId="0" applyBorder="1" applyFont="1" applyNumberFormat="1"/>
    <xf borderId="11" fillId="0" fontId="6" numFmtId="164" xfId="0" applyBorder="1" applyFont="1" applyNumberFormat="1"/>
    <xf borderId="1" fillId="5" fontId="5" numFmtId="168" xfId="0" applyBorder="1" applyFill="1" applyFont="1" applyNumberFormat="1"/>
    <xf borderId="6" fillId="0" fontId="6" numFmtId="0" xfId="0" applyBorder="1" applyFont="1"/>
    <xf borderId="12" fillId="0" fontId="10" numFmtId="0" xfId="0" applyBorder="1" applyFont="1"/>
    <xf borderId="13" fillId="0" fontId="10" numFmtId="0" xfId="0" applyBorder="1" applyFont="1"/>
    <xf borderId="1" fillId="0" fontId="6" numFmtId="168" xfId="0" applyBorder="1" applyFont="1" applyNumberFormat="1"/>
    <xf borderId="1" fillId="2" fontId="4" numFmtId="0" xfId="0" applyAlignment="1" applyBorder="1" applyFill="1" applyFont="1">
      <alignment horizontal="center" readingOrder="0" shrinkToFit="0" vertical="center" wrapText="1"/>
    </xf>
    <xf borderId="1" fillId="0" fontId="9" numFmtId="164" xfId="0" applyBorder="1" applyFont="1" applyNumberFormat="1"/>
    <xf borderId="1" fillId="0" fontId="9" numFmtId="168" xfId="0" applyBorder="1" applyFont="1" applyNumberFormat="1"/>
    <xf borderId="1" fillId="5" fontId="6" numFmtId="168" xfId="0" applyBorder="1" applyFill="1" applyFont="1" applyNumberFormat="1"/>
    <xf borderId="1" fillId="2" fontId="4" numFmtId="1" xfId="0" applyAlignment="1" applyBorder="1" applyFill="1" applyFont="1" applyNumberFormat="1">
      <alignment horizontal="center" shrinkToFit="0" vertical="center" wrapText="1"/>
    </xf>
    <xf borderId="1" fillId="0" fontId="6" numFmtId="2" xfId="0" applyBorder="1" applyFont="1" applyNumberFormat="1"/>
    <xf borderId="1" fillId="4" fontId="5" numFmtId="0" xfId="0" applyBorder="1" applyFill="1" applyFont="1"/>
    <xf borderId="1" fillId="4" fontId="5" numFmtId="168" xfId="0" applyBorder="1" applyFill="1" applyFont="1" applyNumberFormat="1"/>
    <xf borderId="0" fillId="0" fontId="5" numFmtId="0" xfId="0" applyFont="1"/>
    <xf borderId="0" fillId="0" fontId="5" numFmtId="0" xfId="0" applyAlignment="1" applyFont="1">
      <alignment shrinkToFit="0" vertical="top" wrapText="1"/>
    </xf>
    <xf borderId="0" fillId="0" fontId="5" numFmtId="0" xfId="0" applyAlignment="1" applyFont="1">
      <alignment vertical="top"/>
    </xf>
    <xf borderId="6" fillId="0" fontId="9" numFmtId="0" xfId="0" applyAlignment="1" applyBorder="1" applyFont="1">
      <alignment shrinkToFit="0" vertical="top" wrapText="1"/>
    </xf>
    <xf borderId="6" fillId="0" fontId="5" numFmtId="0" xfId="0" applyBorder="1" applyFont="1"/>
    <xf borderId="1" fillId="0" fontId="9" numFmtId="166" xfId="0" applyBorder="1" applyFont="1" applyNumberFormat="1"/>
    <xf borderId="1" fillId="5" fontId="5" numFmtId="164" xfId="0" applyBorder="1" applyFill="1" applyFont="1" applyNumberFormat="1"/>
    <xf borderId="1" fillId="0" fontId="6" numFmtId="1" xfId="0" applyBorder="1" applyFont="1" applyNumberFormat="1"/>
    <xf borderId="1" fillId="5" fontId="5" numFmtId="0" xfId="0" applyBorder="1" applyFill="1" applyFont="1"/>
    <xf borderId="1" fillId="4" fontId="5" numFmtId="169" xfId="0" applyBorder="1" applyFill="1" applyFont="1" applyNumberFormat="1"/>
    <xf borderId="6" fillId="5" fontId="11" numFmtId="0" xfId="0" applyAlignment="1" applyBorder="1" applyFill="1" applyFont="1">
      <alignment shrinkToFit="0" vertical="top" wrapText="1"/>
    </xf>
    <xf borderId="14" fillId="0" fontId="10" numFmtId="0" xfId="0" applyBorder="1" applyFont="1"/>
    <xf borderId="1" fillId="5" fontId="9" numFmtId="164" xfId="0" applyBorder="1" applyFill="1" applyFont="1" applyNumberFormat="1"/>
    <xf borderId="1" fillId="5" fontId="6" numFmtId="0" xfId="0" applyBorder="1" applyFill="1" applyFont="1"/>
    <xf borderId="1" fillId="4" fontId="5" numFmtId="167" xfId="0" applyBorder="1" applyFill="1" applyFont="1" applyNumberFormat="1"/>
    <xf borderId="1" fillId="4" fontId="5" numFmtId="165" xfId="0" applyBorder="1" applyFill="1" applyFont="1" applyNumberFormat="1"/>
    <xf borderId="1" fillId="4" fontId="5" numFmtId="166" xfId="0" applyBorder="1" applyFill="1" applyFont="1" applyNumberFormat="1"/>
    <xf borderId="1" fillId="0" fontId="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Valor actual 10 años (USD) — menor es mejor</a:t>
            </a:r>
          </a:p>
        </c:rich>
      </c:tx>
      <c:overlay val="0"/>
    </c:title>
    <c:plotArea>
      <c:layout/>
      <c:barChart>
        <c:barDir val="col"/>
        <c:varyColors val="0"/>
        <c:ser>
          <c:idx val="0"/>
          <c:order val="0"/>
          <c:spPr>
            <a:solidFill>
              <a:srgbClr val="4F81BD"/>
            </a:solidFill>
            <a:ln cmpd="sng">
              <a:noFill/>
            </a:ln>
          </c:spPr>
          <c:invertIfNegative val="0"/>
          <c:cat>
            <c:strRef>
              <c:f>Comparacion!$B$4:$F$4</c:f>
            </c:strRef>
          </c:cat>
          <c:val>
            <c:numRef>
              <c:f>Comparacion!$B$12:$F$12</c:f>
              <c:numCache/>
            </c:numRef>
          </c:val>
        </c:ser>
        <c:axId val="1239559657"/>
        <c:axId val="1933388072"/>
      </c:barChart>
      <c:catAx>
        <c:axId val="1239559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933388072"/>
      </c:catAx>
      <c:valAx>
        <c:axId val="193338807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239559657"/>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Costo anual por opción (USD)</a:t>
            </a:r>
          </a:p>
        </c:rich>
      </c:tx>
      <c:overlay val="0"/>
    </c:title>
    <c:plotArea>
      <c:layout/>
      <c:lineChart>
        <c:ser>
          <c:idx val="0"/>
          <c:order val="0"/>
          <c:tx>
            <c:v>A</c:v>
          </c:tx>
          <c:spPr>
            <a:ln cmpd="sng" w="38100">
              <a:solidFill>
                <a:srgbClr val="903836">
                  <a:alpha val="100000"/>
                </a:srgbClr>
              </a:solidFill>
            </a:ln>
          </c:spPr>
          <c:marker>
            <c:symbol val="none"/>
          </c:marker>
          <c:cat>
            <c:strRef>
              <c:f>Calculo!$D$4:$M$4</c:f>
            </c:strRef>
          </c:cat>
          <c:val>
            <c:numRef>
              <c:f>Calculo!$D$231:$M$231</c:f>
              <c:numCache/>
            </c:numRef>
          </c:val>
          <c:smooth val="1"/>
        </c:ser>
        <c:ser>
          <c:idx val="1"/>
          <c:order val="1"/>
          <c:tx>
            <c:v>B</c:v>
          </c:tx>
          <c:spPr>
            <a:ln cmpd="sng" w="38100">
              <a:solidFill>
                <a:srgbClr val="AA433F">
                  <a:alpha val="100000"/>
                </a:srgbClr>
              </a:solidFill>
            </a:ln>
          </c:spPr>
          <c:marker>
            <c:symbol val="none"/>
          </c:marker>
          <c:cat>
            <c:strRef>
              <c:f>Calculo!$D$4:$M$4</c:f>
            </c:strRef>
          </c:cat>
          <c:val>
            <c:numRef>
              <c:f>Calculo!$D$243:$M$243</c:f>
              <c:numCache/>
            </c:numRef>
          </c:val>
          <c:smooth val="1"/>
        </c:ser>
        <c:ser>
          <c:idx val="2"/>
          <c:order val="2"/>
          <c:tx>
            <c:v>C</c:v>
          </c:tx>
          <c:spPr>
            <a:ln cmpd="sng" w="38100">
              <a:solidFill>
                <a:srgbClr val="BE4B48">
                  <a:alpha val="100000"/>
                </a:srgbClr>
              </a:solidFill>
            </a:ln>
          </c:spPr>
          <c:marker>
            <c:symbol val="none"/>
          </c:marker>
          <c:cat>
            <c:strRef>
              <c:f>Calculo!$D$4:$M$4</c:f>
            </c:strRef>
          </c:cat>
          <c:val>
            <c:numRef>
              <c:f>Calculo!$D$255:$M$255</c:f>
              <c:numCache/>
            </c:numRef>
          </c:val>
          <c:smooth val="1"/>
        </c:ser>
        <c:ser>
          <c:idx val="3"/>
          <c:order val="3"/>
          <c:tx>
            <c:v>D</c:v>
          </c:tx>
          <c:spPr>
            <a:ln cmpd="sng" w="38100">
              <a:solidFill>
                <a:srgbClr val="CC8F8E">
                  <a:alpha val="100000"/>
                </a:srgbClr>
              </a:solidFill>
            </a:ln>
          </c:spPr>
          <c:marker>
            <c:symbol val="none"/>
          </c:marker>
          <c:cat>
            <c:strRef>
              <c:f>Calculo!$D$4:$M$4</c:f>
            </c:strRef>
          </c:cat>
          <c:val>
            <c:numRef>
              <c:f>Calculo!$D$267:$M$267</c:f>
              <c:numCache/>
            </c:numRef>
          </c:val>
          <c:smooth val="1"/>
        </c:ser>
        <c:ser>
          <c:idx val="4"/>
          <c:order val="4"/>
          <c:tx>
            <c:v>Referencia</c:v>
          </c:tx>
          <c:spPr>
            <a:ln cmpd="sng" w="38100">
              <a:solidFill>
                <a:srgbClr val="DCB7B6">
                  <a:alpha val="100000"/>
                </a:srgbClr>
              </a:solidFill>
            </a:ln>
          </c:spPr>
          <c:marker>
            <c:symbol val="none"/>
          </c:marker>
          <c:cat>
            <c:strRef>
              <c:f>Calculo!$D$4:$M$4</c:f>
            </c:strRef>
          </c:cat>
          <c:val>
            <c:numRef>
              <c:f>Calculo!$D$279:$M$279</c:f>
              <c:numCache/>
            </c:numRef>
          </c:val>
          <c:smooth val="1"/>
        </c:ser>
        <c:axId val="825733365"/>
        <c:axId val="1658368665"/>
      </c:lineChart>
      <c:catAx>
        <c:axId val="825733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658368665"/>
      </c:catAx>
      <c:valAx>
        <c:axId val="165836866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82573336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152400</xdr:rowOff>
    </xdr:from>
    <xdr:ext cx="6076950" cy="2295525"/>
    <xdr:graphicFrame>
      <xdr:nvGraphicFramePr>
        <xdr:cNvPr id="1899589389"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16</xdr:row>
      <xdr:rowOff>123825</xdr:rowOff>
    </xdr:from>
    <xdr:ext cx="6076950" cy="2581275"/>
    <xdr:graphicFrame>
      <xdr:nvGraphicFramePr>
        <xdr:cNvPr id="1640692106"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125.0"/>
    <col customWidth="1" min="3" max="26" width="8.57"/>
  </cols>
  <sheetData>
    <row r="1" ht="14.25" customHeight="1">
      <c r="A1" s="1" t="s">
        <v>1</v>
      </c>
    </row>
    <row r="2" ht="14.25" customHeight="1">
      <c r="A2" s="2" t="s">
        <v>5</v>
      </c>
    </row>
    <row r="3" ht="14.25" customHeight="1"/>
    <row r="4" ht="14.25" customHeight="1">
      <c r="A4" s="4" t="s">
        <v>8</v>
      </c>
      <c r="B4" s="4" t="s">
        <v>10</v>
      </c>
    </row>
    <row r="5" ht="14.25" customHeight="1">
      <c r="A5" s="5" t="s">
        <v>15</v>
      </c>
      <c r="B5" s="6" t="s">
        <v>25</v>
      </c>
    </row>
    <row r="6" ht="14.25" customHeight="1">
      <c r="A6" s="5" t="s">
        <v>31</v>
      </c>
      <c r="B6" s="6" t="s">
        <v>32</v>
      </c>
    </row>
    <row r="7" ht="14.25" customHeight="1">
      <c r="A7" s="5" t="s">
        <v>34</v>
      </c>
      <c r="B7" s="6" t="s">
        <v>35</v>
      </c>
    </row>
    <row r="8" ht="14.25" customHeight="1">
      <c r="A8" s="5" t="s">
        <v>36</v>
      </c>
      <c r="B8" s="6" t="s">
        <v>39</v>
      </c>
    </row>
    <row r="9" ht="14.25" customHeight="1">
      <c r="A9" s="5" t="s">
        <v>40</v>
      </c>
      <c r="B9" s="6" t="s">
        <v>41</v>
      </c>
    </row>
    <row r="10" ht="14.25" customHeight="1">
      <c r="A10" s="5" t="s">
        <v>42</v>
      </c>
      <c r="B10" s="6" t="s">
        <v>43</v>
      </c>
    </row>
    <row r="11" ht="14.25" customHeight="1">
      <c r="A11" s="5" t="s">
        <v>46</v>
      </c>
      <c r="B11" s="6" t="s">
        <v>47</v>
      </c>
    </row>
    <row r="12" ht="14.25" customHeight="1">
      <c r="A12" s="5" t="s">
        <v>49</v>
      </c>
      <c r="B12" s="6" t="s">
        <v>50</v>
      </c>
    </row>
    <row r="13" ht="14.25" customHeight="1">
      <c r="A13" s="5" t="s">
        <v>51</v>
      </c>
      <c r="B13" s="6" t="s">
        <v>54</v>
      </c>
    </row>
    <row r="14" ht="14.25" customHeight="1">
      <c r="A14" s="5" t="s">
        <v>56</v>
      </c>
      <c r="B14" s="6" t="s">
        <v>57</v>
      </c>
    </row>
    <row r="15" ht="14.25" customHeight="1"/>
    <row r="16" ht="14.25" customHeight="1">
      <c r="A16" s="3" t="s">
        <v>58</v>
      </c>
    </row>
    <row r="17" ht="14.25" customHeight="1">
      <c r="A17" s="8">
        <v>250.0</v>
      </c>
      <c r="B17" s="7" t="s">
        <v>63</v>
      </c>
    </row>
    <row r="18" ht="14.25" customHeight="1">
      <c r="A18" s="16">
        <f>1+1</f>
        <v>2</v>
      </c>
      <c r="B18" s="7" t="s">
        <v>78</v>
      </c>
    </row>
    <row r="19" ht="14.25" customHeight="1">
      <c r="A19" s="20">
        <f>Supuestos!$C$84</f>
        <v>1.3561</v>
      </c>
      <c r="B19" s="7" t="s">
        <v>100</v>
      </c>
    </row>
    <row r="20" ht="14.25" customHeight="1"/>
    <row r="21" ht="14.25" customHeight="1">
      <c r="A21" s="3" t="s">
        <v>105</v>
      </c>
    </row>
    <row r="22" ht="15.0" customHeight="1">
      <c r="A22" s="23" t="s">
        <v>109</v>
      </c>
    </row>
    <row r="23" ht="15.0" customHeight="1">
      <c r="A23" s="23" t="s">
        <v>115</v>
      </c>
    </row>
    <row r="24" ht="15.0" customHeight="1">
      <c r="A24" s="23" t="s">
        <v>120</v>
      </c>
    </row>
    <row r="25" ht="15.0" customHeight="1">
      <c r="A25" s="23" t="s">
        <v>125</v>
      </c>
    </row>
    <row r="26" ht="15.0" customHeight="1">
      <c r="A26" s="23" t="s">
        <v>129</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22:B22"/>
    <mergeCell ref="A23:B23"/>
    <mergeCell ref="A24:B24"/>
    <mergeCell ref="A25:B25"/>
    <mergeCell ref="A26:B2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0"/>
    <col customWidth="1" min="2" max="2" width="16.0"/>
    <col customWidth="1" min="3" max="3" width="14.0"/>
    <col customWidth="1" min="4" max="4" width="72.43"/>
    <col customWidth="1" min="5" max="6" width="14.0"/>
    <col customWidth="1" min="7" max="7" width="12.0"/>
    <col customWidth="1" min="8" max="8" width="27.14"/>
    <col customWidth="1" min="9" max="9" width="43.29"/>
    <col customWidth="1" min="10" max="12" width="12.0"/>
    <col customWidth="1" min="13" max="13" width="60.0"/>
    <col customWidth="1" min="14" max="26" width="8.57"/>
  </cols>
  <sheetData>
    <row r="1" ht="14.25" customHeight="1">
      <c r="A1" s="1" t="s">
        <v>0</v>
      </c>
    </row>
    <row r="2" ht="14.25" customHeight="1">
      <c r="A2" s="2" t="s">
        <v>3</v>
      </c>
    </row>
    <row r="3" ht="14.25" customHeight="1"/>
    <row r="4" ht="14.25" customHeight="1">
      <c r="A4" s="4" t="s">
        <v>7</v>
      </c>
      <c r="B4" s="4" t="s">
        <v>11</v>
      </c>
      <c r="C4" s="4" t="s">
        <v>13</v>
      </c>
      <c r="D4" s="4" t="s">
        <v>14</v>
      </c>
    </row>
    <row r="5" ht="14.25" customHeight="1"/>
    <row r="6" ht="14.25" customHeight="1">
      <c r="A6" s="3" t="s">
        <v>18</v>
      </c>
    </row>
    <row r="7" ht="14.25" customHeight="1">
      <c r="A7" s="6" t="s">
        <v>24</v>
      </c>
      <c r="B7" s="8">
        <v>250.0</v>
      </c>
      <c r="C7" s="7" t="s">
        <v>45</v>
      </c>
      <c r="D7" s="6" t="s">
        <v>48</v>
      </c>
    </row>
    <row r="8" ht="14.25" customHeight="1"/>
    <row r="9" ht="14.25" customHeight="1">
      <c r="A9" s="3" t="s">
        <v>53</v>
      </c>
    </row>
    <row r="10" ht="14.25" customHeight="1">
      <c r="A10" s="6" t="s">
        <v>55</v>
      </c>
      <c r="B10" s="11">
        <v>7.87</v>
      </c>
      <c r="C10" s="7" t="s">
        <v>59</v>
      </c>
      <c r="D10" s="6" t="s">
        <v>61</v>
      </c>
    </row>
    <row r="11" ht="14.25" customHeight="1">
      <c r="A11" s="6" t="s">
        <v>62</v>
      </c>
      <c r="B11" s="8">
        <v>10.0</v>
      </c>
      <c r="C11" s="7" t="s">
        <v>64</v>
      </c>
      <c r="D11" s="6" t="s">
        <v>65</v>
      </c>
    </row>
    <row r="12" ht="14.25" customHeight="1">
      <c r="A12" s="6" t="s">
        <v>67</v>
      </c>
      <c r="B12" s="14">
        <v>0.005</v>
      </c>
      <c r="C12" s="7" t="s">
        <v>72</v>
      </c>
      <c r="D12" s="6" t="s">
        <v>73</v>
      </c>
    </row>
    <row r="13" ht="14.25" customHeight="1">
      <c r="A13" s="6" t="s">
        <v>74</v>
      </c>
      <c r="B13" s="8">
        <v>3.0</v>
      </c>
      <c r="C13" s="7" t="s">
        <v>64</v>
      </c>
      <c r="D13" s="6" t="s">
        <v>75</v>
      </c>
    </row>
    <row r="14" ht="14.25" customHeight="1">
      <c r="A14" s="6" t="s">
        <v>77</v>
      </c>
      <c r="B14" s="17" t="s">
        <v>79</v>
      </c>
      <c r="C14" s="7" t="s">
        <v>80</v>
      </c>
      <c r="D14" s="6" t="s">
        <v>81</v>
      </c>
    </row>
    <row r="15" ht="14.25" customHeight="1"/>
    <row r="16" ht="14.25" customHeight="1">
      <c r="A16" s="3" t="s">
        <v>84</v>
      </c>
    </row>
    <row r="17" ht="14.25" customHeight="1">
      <c r="A17" s="6" t="s">
        <v>87</v>
      </c>
      <c r="B17" s="14">
        <v>0.12</v>
      </c>
      <c r="C17" s="7" t="s">
        <v>72</v>
      </c>
      <c r="D17" s="6" t="s">
        <v>89</v>
      </c>
    </row>
    <row r="18" ht="14.25" customHeight="1">
      <c r="A18" s="6" t="s">
        <v>91</v>
      </c>
      <c r="B18" s="14">
        <v>0.03</v>
      </c>
      <c r="C18" s="7" t="s">
        <v>92</v>
      </c>
      <c r="D18" s="6" t="s">
        <v>93</v>
      </c>
    </row>
    <row r="19" ht="14.25" customHeight="1"/>
    <row r="20" ht="14.25" customHeight="1">
      <c r="A20" s="3" t="s">
        <v>96</v>
      </c>
    </row>
    <row r="21" ht="14.25" customHeight="1">
      <c r="A21" s="6" t="s">
        <v>101</v>
      </c>
      <c r="B21" s="21">
        <v>2035.0</v>
      </c>
      <c r="C21" s="7" t="s">
        <v>107</v>
      </c>
      <c r="D21" s="6" t="s">
        <v>108</v>
      </c>
    </row>
    <row r="22" ht="14.25" customHeight="1">
      <c r="A22" s="6" t="s">
        <v>110</v>
      </c>
      <c r="B22" s="11">
        <v>1.0</v>
      </c>
      <c r="C22" s="7" t="s">
        <v>112</v>
      </c>
      <c r="D22" s="6" t="s">
        <v>113</v>
      </c>
    </row>
    <row r="23" ht="14.25" customHeight="1">
      <c r="A23" s="6" t="s">
        <v>114</v>
      </c>
      <c r="B23" s="25">
        <v>0.5</v>
      </c>
      <c r="C23" s="7" t="s">
        <v>119</v>
      </c>
      <c r="D23" s="6" t="s">
        <v>122</v>
      </c>
    </row>
    <row r="24" ht="14.25" customHeight="1">
      <c r="A24" s="6" t="s">
        <v>127</v>
      </c>
      <c r="B24" s="8">
        <v>1500.0</v>
      </c>
      <c r="C24" s="7" t="s">
        <v>64</v>
      </c>
      <c r="D24" s="6" t="s">
        <v>130</v>
      </c>
    </row>
    <row r="25" ht="14.25" customHeight="1">
      <c r="A25" s="6" t="s">
        <v>131</v>
      </c>
      <c r="B25" s="8">
        <v>508.0</v>
      </c>
      <c r="C25" s="7" t="s">
        <v>64</v>
      </c>
      <c r="D25" s="6" t="s">
        <v>132</v>
      </c>
    </row>
    <row r="26" ht="14.25" customHeight="1">
      <c r="A26" s="6" t="s">
        <v>133</v>
      </c>
      <c r="B26" s="25">
        <v>10.0</v>
      </c>
      <c r="C26" s="7" t="s">
        <v>119</v>
      </c>
      <c r="D26" s="6" t="s">
        <v>134</v>
      </c>
    </row>
    <row r="27" ht="14.25" customHeight="1">
      <c r="A27" s="6" t="s">
        <v>135</v>
      </c>
      <c r="B27" s="25">
        <v>3.0</v>
      </c>
      <c r="C27" s="7" t="s">
        <v>119</v>
      </c>
      <c r="D27" s="6" t="s">
        <v>136</v>
      </c>
    </row>
    <row r="28" ht="14.25" customHeight="1">
      <c r="A28" s="6" t="s">
        <v>137</v>
      </c>
      <c r="B28" s="25">
        <v>14.0</v>
      </c>
      <c r="C28" s="7" t="s">
        <v>119</v>
      </c>
      <c r="D28" s="6" t="s">
        <v>139</v>
      </c>
    </row>
    <row r="29" ht="14.25" customHeight="1">
      <c r="A29" s="6" t="s">
        <v>140</v>
      </c>
      <c r="B29" s="11">
        <v>3.0</v>
      </c>
      <c r="C29" s="7" t="s">
        <v>141</v>
      </c>
      <c r="D29" s="6" t="s">
        <v>142</v>
      </c>
    </row>
    <row r="30" ht="14.25" customHeight="1">
      <c r="A30" s="6" t="s">
        <v>143</v>
      </c>
      <c r="B30" s="8">
        <v>2.0</v>
      </c>
      <c r="C30" s="7" t="s">
        <v>144</v>
      </c>
      <c r="D30" s="6" t="s">
        <v>73</v>
      </c>
    </row>
    <row r="31" ht="14.25" customHeight="1">
      <c r="A31" s="6" t="s">
        <v>146</v>
      </c>
      <c r="B31" s="11">
        <v>1.0</v>
      </c>
      <c r="C31" s="7" t="s">
        <v>112</v>
      </c>
      <c r="D31" s="6" t="s">
        <v>147</v>
      </c>
    </row>
    <row r="32" ht="14.25" customHeight="1">
      <c r="A32" s="6" t="s">
        <v>148</v>
      </c>
      <c r="B32" s="8">
        <v>240.0</v>
      </c>
      <c r="C32" s="7" t="s">
        <v>149</v>
      </c>
      <c r="D32" s="6" t="s">
        <v>150</v>
      </c>
    </row>
    <row r="33" ht="14.25" customHeight="1"/>
    <row r="34" ht="14.25" customHeight="1">
      <c r="A34" s="3" t="s">
        <v>151</v>
      </c>
    </row>
    <row r="35" ht="14.25" customHeight="1">
      <c r="A35" s="6" t="s">
        <v>152</v>
      </c>
      <c r="B35" s="8">
        <f>20*60</f>
        <v>1200</v>
      </c>
      <c r="C35" s="7" t="s">
        <v>153</v>
      </c>
      <c r="D35" s="6" t="s">
        <v>73</v>
      </c>
    </row>
    <row r="36" ht="14.25" customHeight="1">
      <c r="A36" s="6" t="s">
        <v>154</v>
      </c>
      <c r="B36" s="8">
        <v>180.0</v>
      </c>
      <c r="C36" s="7" t="s">
        <v>155</v>
      </c>
      <c r="D36" s="6" t="s">
        <v>156</v>
      </c>
    </row>
    <row r="37" ht="14.25" customHeight="1">
      <c r="A37" s="6" t="s">
        <v>157</v>
      </c>
      <c r="B37" s="8">
        <v>15.0</v>
      </c>
      <c r="C37" s="7" t="s">
        <v>158</v>
      </c>
      <c r="D37" s="6" t="s">
        <v>73</v>
      </c>
    </row>
    <row r="38" ht="14.25" customHeight="1">
      <c r="A38" s="6" t="s">
        <v>159</v>
      </c>
      <c r="B38" s="8">
        <v>15.0</v>
      </c>
      <c r="C38" s="7" t="s">
        <v>160</v>
      </c>
      <c r="D38" s="6" t="s">
        <v>73</v>
      </c>
    </row>
    <row r="39" ht="14.25" customHeight="1">
      <c r="A39" s="6" t="s">
        <v>161</v>
      </c>
      <c r="B39" s="8">
        <v>40.0</v>
      </c>
      <c r="C39" s="7" t="s">
        <v>162</v>
      </c>
      <c r="D39" s="6" t="s">
        <v>163</v>
      </c>
    </row>
    <row r="40" ht="14.25" customHeight="1">
      <c r="A40" s="6" t="s">
        <v>164</v>
      </c>
      <c r="B40" s="8">
        <v>45.0</v>
      </c>
      <c r="C40" s="7" t="s">
        <v>165</v>
      </c>
      <c r="D40" s="6" t="s">
        <v>166</v>
      </c>
    </row>
    <row r="41" ht="14.25" customHeight="1">
      <c r="A41" s="6" t="s">
        <v>167</v>
      </c>
      <c r="B41" s="8">
        <v>2.0</v>
      </c>
      <c r="C41" s="7" t="s">
        <v>168</v>
      </c>
      <c r="D41" s="6" t="s">
        <v>73</v>
      </c>
    </row>
    <row r="42" ht="14.25" customHeight="1">
      <c r="A42" s="6" t="s">
        <v>169</v>
      </c>
      <c r="B42" s="8">
        <v>1800.0</v>
      </c>
      <c r="C42" s="7" t="s">
        <v>170</v>
      </c>
      <c r="D42" s="6" t="s">
        <v>171</v>
      </c>
    </row>
    <row r="43" ht="14.25" customHeight="1">
      <c r="A43" s="6" t="s">
        <v>172</v>
      </c>
      <c r="B43" s="8">
        <v>1337922.0</v>
      </c>
      <c r="C43" s="7" t="s">
        <v>173</v>
      </c>
      <c r="D43" s="6" t="s">
        <v>174</v>
      </c>
    </row>
    <row r="44" ht="14.25" customHeight="1">
      <c r="A44" s="6" t="s">
        <v>175</v>
      </c>
      <c r="B44" s="8">
        <v>150.0</v>
      </c>
      <c r="C44" s="7" t="s">
        <v>176</v>
      </c>
      <c r="D44" s="6" t="s">
        <v>177</v>
      </c>
    </row>
    <row r="45" ht="14.25" customHeight="1">
      <c r="A45" s="6" t="s">
        <v>178</v>
      </c>
      <c r="B45" s="31">
        <v>1420.0</v>
      </c>
      <c r="C45" s="7" t="s">
        <v>179</v>
      </c>
      <c r="D45" s="6" t="s">
        <v>180</v>
      </c>
    </row>
    <row r="46" ht="14.25" customHeight="1">
      <c r="A46" s="6" t="s">
        <v>181</v>
      </c>
      <c r="B46" s="8">
        <v>3.6651584E7</v>
      </c>
      <c r="C46" s="7" t="s">
        <v>182</v>
      </c>
      <c r="D46" s="6" t="s">
        <v>183</v>
      </c>
    </row>
    <row r="47" ht="14.25" customHeight="1">
      <c r="A47" s="6" t="s">
        <v>184</v>
      </c>
      <c r="B47" s="14">
        <v>0.0</v>
      </c>
      <c r="C47" s="7" t="s">
        <v>72</v>
      </c>
      <c r="D47" s="6" t="s">
        <v>185</v>
      </c>
    </row>
    <row r="48" ht="14.25" customHeight="1">
      <c r="A48" s="7" t="s">
        <v>186</v>
      </c>
      <c r="B48" s="33">
        <f>$B$43/$B$44/$B$45</f>
        <v>6.281323944</v>
      </c>
      <c r="C48" s="7" t="s">
        <v>187</v>
      </c>
      <c r="D48" s="7" t="s">
        <v>188</v>
      </c>
    </row>
    <row r="49" ht="14.25" customHeight="1">
      <c r="A49" s="7" t="s">
        <v>189</v>
      </c>
      <c r="B49" s="35">
        <f>PI()/4*($B$24^2-$B$25^2)*$B$10/1000000/1000</f>
        <v>0.01231232283</v>
      </c>
      <c r="C49" s="7" t="s">
        <v>191</v>
      </c>
      <c r="D49" s="7" t="s">
        <v>188</v>
      </c>
    </row>
    <row r="50" ht="14.25" customHeight="1"/>
    <row r="51" ht="14.25" customHeight="1">
      <c r="A51" s="3" t="s">
        <v>192</v>
      </c>
    </row>
    <row r="52" ht="36.0" customHeight="1">
      <c r="A52" s="4" t="s">
        <v>193</v>
      </c>
      <c r="B52" s="4" t="s">
        <v>194</v>
      </c>
      <c r="C52" s="4" t="s">
        <v>86</v>
      </c>
      <c r="D52" s="4" t="s">
        <v>195</v>
      </c>
      <c r="E52" s="4" t="s">
        <v>196</v>
      </c>
      <c r="F52" s="4" t="s">
        <v>197</v>
      </c>
      <c r="G52" s="4" t="s">
        <v>198</v>
      </c>
      <c r="H52" s="4" t="s">
        <v>199</v>
      </c>
      <c r="I52" s="4" t="s">
        <v>200</v>
      </c>
    </row>
    <row r="53" ht="14.25" customHeight="1">
      <c r="A53" s="7" t="s">
        <v>201</v>
      </c>
      <c r="B53" s="7" t="s">
        <v>202</v>
      </c>
      <c r="C53" s="28">
        <v>0.9</v>
      </c>
      <c r="D53" s="7" t="s">
        <v>203</v>
      </c>
      <c r="E53" s="17" t="s">
        <v>204</v>
      </c>
      <c r="F53" s="38">
        <v>1.26285</v>
      </c>
      <c r="G53" s="8">
        <v>1545.0</v>
      </c>
      <c r="H53" s="40">
        <f t="shared" ref="H53:H78" si="1">IF(E53="USD",F53,F53/G53)</f>
        <v>1.26285</v>
      </c>
      <c r="I53" s="6" t="s">
        <v>205</v>
      </c>
    </row>
    <row r="54" ht="14.25" customHeight="1">
      <c r="A54" s="7" t="s">
        <v>206</v>
      </c>
      <c r="B54" s="7" t="s">
        <v>202</v>
      </c>
      <c r="C54" s="28">
        <v>1.25</v>
      </c>
      <c r="D54" s="7" t="s">
        <v>203</v>
      </c>
      <c r="E54" s="17" t="s">
        <v>204</v>
      </c>
      <c r="F54" s="38">
        <v>1.25056</v>
      </c>
      <c r="G54" s="8">
        <v>1545.0</v>
      </c>
      <c r="H54" s="40">
        <f t="shared" si="1"/>
        <v>1.25056</v>
      </c>
      <c r="I54" s="6"/>
    </row>
    <row r="55" ht="14.25" customHeight="1">
      <c r="A55" s="7" t="s">
        <v>207</v>
      </c>
      <c r="B55" s="7" t="s">
        <v>202</v>
      </c>
      <c r="C55" s="28">
        <v>1.6</v>
      </c>
      <c r="D55" s="7" t="s">
        <v>208</v>
      </c>
      <c r="E55" s="17" t="s">
        <v>204</v>
      </c>
      <c r="F55" s="38">
        <v>1.25056</v>
      </c>
      <c r="G55" s="8">
        <v>1545.0</v>
      </c>
      <c r="H55" s="40">
        <f t="shared" si="1"/>
        <v>1.25056</v>
      </c>
      <c r="I55" s="6"/>
    </row>
    <row r="56" ht="14.25" customHeight="1">
      <c r="A56" s="7" t="s">
        <v>209</v>
      </c>
      <c r="B56" s="7" t="s">
        <v>202</v>
      </c>
      <c r="C56" s="28">
        <v>2.0</v>
      </c>
      <c r="D56" s="7" t="s">
        <v>208</v>
      </c>
      <c r="E56" s="17" t="s">
        <v>204</v>
      </c>
      <c r="F56" s="38">
        <v>1.26285</v>
      </c>
      <c r="G56" s="8">
        <v>1545.0</v>
      </c>
      <c r="H56" s="40">
        <f t="shared" si="1"/>
        <v>1.26285</v>
      </c>
      <c r="I56" s="6"/>
    </row>
    <row r="57" ht="14.25" customHeight="1">
      <c r="A57" s="7" t="s">
        <v>210</v>
      </c>
      <c r="B57" s="7" t="s">
        <v>211</v>
      </c>
      <c r="C57" s="28">
        <v>3.2</v>
      </c>
      <c r="D57" s="7" t="s">
        <v>213</v>
      </c>
      <c r="E57" s="17" t="s">
        <v>204</v>
      </c>
      <c r="F57" s="38">
        <v>1.11373</v>
      </c>
      <c r="G57" s="8">
        <v>1545.0</v>
      </c>
      <c r="H57" s="40">
        <f t="shared" si="1"/>
        <v>1.11373</v>
      </c>
      <c r="I57" s="6"/>
    </row>
    <row r="58" ht="14.25" customHeight="1">
      <c r="A58" s="7" t="s">
        <v>216</v>
      </c>
      <c r="B58" s="7" t="s">
        <v>217</v>
      </c>
      <c r="C58" s="28">
        <v>4.75</v>
      </c>
      <c r="D58" s="7" t="s">
        <v>218</v>
      </c>
      <c r="E58" s="17" t="s">
        <v>204</v>
      </c>
      <c r="F58" s="38">
        <v>1.05792</v>
      </c>
      <c r="G58" s="8">
        <v>1545.0</v>
      </c>
      <c r="H58" s="40">
        <f t="shared" si="1"/>
        <v>1.05792</v>
      </c>
      <c r="I58" s="6" t="s">
        <v>221</v>
      </c>
    </row>
    <row r="59" ht="14.25" customHeight="1">
      <c r="A59" s="7" t="s">
        <v>222</v>
      </c>
      <c r="B59" s="7" t="s">
        <v>223</v>
      </c>
      <c r="C59" s="28">
        <v>1.6</v>
      </c>
      <c r="D59" s="7" t="s">
        <v>224</v>
      </c>
      <c r="E59" s="17" t="s">
        <v>182</v>
      </c>
      <c r="F59" s="38">
        <v>2051.02</v>
      </c>
      <c r="G59" s="8">
        <v>1545.0</v>
      </c>
      <c r="H59" s="40">
        <f t="shared" si="1"/>
        <v>1.327521036</v>
      </c>
      <c r="I59" s="6"/>
    </row>
    <row r="60" ht="14.25" customHeight="1">
      <c r="A60" s="7" t="s">
        <v>225</v>
      </c>
      <c r="B60" s="7" t="s">
        <v>226</v>
      </c>
      <c r="C60" s="28">
        <v>1.25</v>
      </c>
      <c r="D60" s="7" t="s">
        <v>227</v>
      </c>
      <c r="E60" s="17" t="s">
        <v>182</v>
      </c>
      <c r="F60" s="38">
        <v>1993.51</v>
      </c>
      <c r="G60" s="8">
        <v>1545.0</v>
      </c>
      <c r="H60" s="40">
        <f t="shared" si="1"/>
        <v>1.290297735</v>
      </c>
      <c r="I60" s="6"/>
    </row>
    <row r="61" ht="14.25" customHeight="1">
      <c r="A61" s="7" t="s">
        <v>228</v>
      </c>
      <c r="B61" s="7" t="s">
        <v>229</v>
      </c>
      <c r="C61" s="28">
        <v>2.0</v>
      </c>
      <c r="D61" s="7" t="s">
        <v>218</v>
      </c>
      <c r="E61" s="17" t="s">
        <v>182</v>
      </c>
      <c r="F61" s="38">
        <v>1978.22</v>
      </c>
      <c r="G61" s="8">
        <v>1545.0</v>
      </c>
      <c r="H61" s="40">
        <f t="shared" si="1"/>
        <v>1.280401294</v>
      </c>
      <c r="I61" s="6"/>
    </row>
    <row r="62" ht="14.25" customHeight="1">
      <c r="A62" s="7" t="s">
        <v>230</v>
      </c>
      <c r="B62" s="7" t="s">
        <v>231</v>
      </c>
      <c r="C62" s="28">
        <v>3.2</v>
      </c>
      <c r="D62" s="7" t="s">
        <v>218</v>
      </c>
      <c r="E62" s="17" t="s">
        <v>182</v>
      </c>
      <c r="F62" s="38">
        <v>1702.49</v>
      </c>
      <c r="G62" s="8">
        <v>1545.0</v>
      </c>
      <c r="H62" s="40">
        <f t="shared" si="1"/>
        <v>1.101935275</v>
      </c>
      <c r="I62" s="6"/>
    </row>
    <row r="63" ht="14.25" customHeight="1">
      <c r="A63" s="7" t="s">
        <v>232</v>
      </c>
      <c r="B63" s="7" t="s">
        <v>233</v>
      </c>
      <c r="C63" s="28">
        <v>4.75</v>
      </c>
      <c r="D63" s="7" t="s">
        <v>218</v>
      </c>
      <c r="E63" s="17" t="s">
        <v>182</v>
      </c>
      <c r="F63" s="38">
        <v>1685.56</v>
      </c>
      <c r="G63" s="8">
        <v>1545.0</v>
      </c>
      <c r="H63" s="40">
        <f t="shared" si="1"/>
        <v>1.090977346</v>
      </c>
      <c r="I63" s="6"/>
    </row>
    <row r="64" ht="14.25" customHeight="1">
      <c r="A64" s="7" t="s">
        <v>234</v>
      </c>
      <c r="B64" s="7" t="s">
        <v>235</v>
      </c>
      <c r="C64" s="28">
        <v>0.9</v>
      </c>
      <c r="D64" s="7" t="s">
        <v>227</v>
      </c>
      <c r="E64" s="17" t="s">
        <v>204</v>
      </c>
      <c r="F64" s="38">
        <v>1.3561</v>
      </c>
      <c r="G64" s="8">
        <v>1.0</v>
      </c>
      <c r="H64" s="40">
        <f t="shared" si="1"/>
        <v>1.3561</v>
      </c>
      <c r="I64" s="6" t="s">
        <v>237</v>
      </c>
    </row>
    <row r="65" ht="14.25" customHeight="1">
      <c r="A65" s="7" t="s">
        <v>238</v>
      </c>
      <c r="B65" s="7" t="s">
        <v>235</v>
      </c>
      <c r="C65" s="28">
        <v>0.9</v>
      </c>
      <c r="D65" s="7" t="s">
        <v>224</v>
      </c>
      <c r="E65" s="17" t="s">
        <v>204</v>
      </c>
      <c r="F65" s="38">
        <v>1.3993</v>
      </c>
      <c r="G65" s="8">
        <v>1.0</v>
      </c>
      <c r="H65" s="40">
        <f t="shared" si="1"/>
        <v>1.3993</v>
      </c>
      <c r="I65" s="6"/>
    </row>
    <row r="66" ht="14.25" customHeight="1">
      <c r="A66" s="7" t="s">
        <v>239</v>
      </c>
      <c r="B66" s="7" t="s">
        <v>240</v>
      </c>
      <c r="C66" s="28">
        <v>1.25</v>
      </c>
      <c r="D66" s="7" t="s">
        <v>227</v>
      </c>
      <c r="E66" s="17" t="s">
        <v>204</v>
      </c>
      <c r="F66" s="38">
        <v>1.3464</v>
      </c>
      <c r="G66" s="8">
        <v>1.0</v>
      </c>
      <c r="H66" s="40">
        <f t="shared" si="1"/>
        <v>1.3464</v>
      </c>
      <c r="I66" s="6"/>
    </row>
    <row r="67" ht="14.25" customHeight="1">
      <c r="A67" s="7" t="s">
        <v>241</v>
      </c>
      <c r="B67" s="7" t="s">
        <v>242</v>
      </c>
      <c r="C67" s="28">
        <v>1.6</v>
      </c>
      <c r="D67" s="7" t="s">
        <v>227</v>
      </c>
      <c r="E67" s="17" t="s">
        <v>204</v>
      </c>
      <c r="F67" s="38">
        <v>1.3443</v>
      </c>
      <c r="G67" s="8">
        <v>1.0</v>
      </c>
      <c r="H67" s="40">
        <f t="shared" si="1"/>
        <v>1.3443</v>
      </c>
      <c r="I67" s="6"/>
    </row>
    <row r="68" ht="14.25" customHeight="1">
      <c r="A68" s="7" t="s">
        <v>243</v>
      </c>
      <c r="B68" s="7" t="s">
        <v>244</v>
      </c>
      <c r="C68" s="28">
        <v>2.0</v>
      </c>
      <c r="D68" s="7" t="s">
        <v>227</v>
      </c>
      <c r="E68" s="17" t="s">
        <v>204</v>
      </c>
      <c r="F68" s="38">
        <v>1.3605</v>
      </c>
      <c r="G68" s="8">
        <v>1.0</v>
      </c>
      <c r="H68" s="40">
        <f t="shared" si="1"/>
        <v>1.3605</v>
      </c>
      <c r="I68" s="6"/>
    </row>
    <row r="69" ht="14.25" customHeight="1">
      <c r="A69" s="7" t="s">
        <v>248</v>
      </c>
      <c r="B69" s="7" t="s">
        <v>250</v>
      </c>
      <c r="C69" s="28">
        <v>3.2</v>
      </c>
      <c r="D69" s="7" t="s">
        <v>218</v>
      </c>
      <c r="E69" s="17" t="s">
        <v>204</v>
      </c>
      <c r="F69" s="38">
        <v>1.1607</v>
      </c>
      <c r="G69" s="8">
        <v>1.0</v>
      </c>
      <c r="H69" s="40">
        <f t="shared" si="1"/>
        <v>1.1607</v>
      </c>
      <c r="I69" s="6"/>
    </row>
    <row r="70" ht="14.25" customHeight="1">
      <c r="A70" s="7" t="s">
        <v>257</v>
      </c>
      <c r="B70" s="7" t="s">
        <v>258</v>
      </c>
      <c r="C70" s="28">
        <v>4.75</v>
      </c>
      <c r="D70" s="7" t="s">
        <v>218</v>
      </c>
      <c r="E70" s="17" t="s">
        <v>204</v>
      </c>
      <c r="F70" s="38">
        <v>1.1678</v>
      </c>
      <c r="G70" s="8">
        <v>1.0</v>
      </c>
      <c r="H70" s="40">
        <f t="shared" si="1"/>
        <v>1.1678</v>
      </c>
      <c r="I70" s="6"/>
    </row>
    <row r="71" ht="14.25" customHeight="1">
      <c r="A71" s="7" t="s">
        <v>259</v>
      </c>
      <c r="B71" s="7" t="s">
        <v>260</v>
      </c>
      <c r="C71" s="28">
        <v>1.25</v>
      </c>
      <c r="D71" s="7" t="s">
        <v>261</v>
      </c>
      <c r="E71" s="17" t="s">
        <v>204</v>
      </c>
      <c r="F71" s="38">
        <v>1.186</v>
      </c>
      <c r="G71" s="8">
        <v>1530.0</v>
      </c>
      <c r="H71" s="40">
        <f t="shared" si="1"/>
        <v>1.186</v>
      </c>
      <c r="I71" s="6" t="s">
        <v>262</v>
      </c>
    </row>
    <row r="72" ht="14.25" customHeight="1">
      <c r="A72" s="7" t="s">
        <v>263</v>
      </c>
      <c r="B72" s="7" t="s">
        <v>260</v>
      </c>
      <c r="C72" s="28">
        <v>1.6</v>
      </c>
      <c r="D72" s="7" t="s">
        <v>264</v>
      </c>
      <c r="E72" s="17" t="s">
        <v>204</v>
      </c>
      <c r="F72" s="38">
        <v>1.186</v>
      </c>
      <c r="G72" s="8">
        <v>1530.0</v>
      </c>
      <c r="H72" s="40">
        <f t="shared" si="1"/>
        <v>1.186</v>
      </c>
      <c r="I72" s="6" t="s">
        <v>265</v>
      </c>
    </row>
    <row r="73" ht="14.25" customHeight="1">
      <c r="A73" s="7" t="s">
        <v>266</v>
      </c>
      <c r="B73" s="7" t="s">
        <v>260</v>
      </c>
      <c r="C73" s="28">
        <v>2.0</v>
      </c>
      <c r="D73" s="7" t="s">
        <v>267</v>
      </c>
      <c r="E73" s="17" t="s">
        <v>204</v>
      </c>
      <c r="F73" s="38">
        <v>1.198</v>
      </c>
      <c r="G73" s="8">
        <v>1530.0</v>
      </c>
      <c r="H73" s="40">
        <f t="shared" si="1"/>
        <v>1.198</v>
      </c>
      <c r="I73" s="6" t="s">
        <v>268</v>
      </c>
    </row>
    <row r="74" ht="14.25" customHeight="1">
      <c r="A74" s="7" t="s">
        <v>269</v>
      </c>
      <c r="B74" s="7" t="s">
        <v>270</v>
      </c>
      <c r="C74" s="28">
        <v>1.25</v>
      </c>
      <c r="D74" s="7" t="s">
        <v>271</v>
      </c>
      <c r="E74" s="17" t="s">
        <v>204</v>
      </c>
      <c r="F74" s="38">
        <v>1.426</v>
      </c>
      <c r="G74" s="8">
        <v>1530.0</v>
      </c>
      <c r="H74" s="40">
        <f t="shared" si="1"/>
        <v>1.426</v>
      </c>
      <c r="I74" s="6" t="s">
        <v>272</v>
      </c>
    </row>
    <row r="75" ht="14.25" customHeight="1">
      <c r="A75" s="7" t="s">
        <v>273</v>
      </c>
      <c r="B75" s="7" t="s">
        <v>270</v>
      </c>
      <c r="C75" s="28">
        <v>1.6</v>
      </c>
      <c r="D75" s="7" t="s">
        <v>274</v>
      </c>
      <c r="E75" s="17" t="s">
        <v>204</v>
      </c>
      <c r="F75" s="38">
        <v>1.453</v>
      </c>
      <c r="G75" s="8">
        <v>1530.0</v>
      </c>
      <c r="H75" s="40">
        <f t="shared" si="1"/>
        <v>1.453</v>
      </c>
      <c r="I75" s="6"/>
    </row>
    <row r="76" ht="14.25" customHeight="1">
      <c r="A76" s="7" t="s">
        <v>275</v>
      </c>
      <c r="B76" s="7" t="s">
        <v>270</v>
      </c>
      <c r="C76" s="28">
        <v>2.0</v>
      </c>
      <c r="D76" s="7" t="s">
        <v>276</v>
      </c>
      <c r="E76" s="17" t="s">
        <v>204</v>
      </c>
      <c r="F76" s="38">
        <v>1.429</v>
      </c>
      <c r="G76" s="8">
        <v>1530.0</v>
      </c>
      <c r="H76" s="40">
        <f t="shared" si="1"/>
        <v>1.429</v>
      </c>
      <c r="I76" s="6"/>
    </row>
    <row r="77" ht="14.25" customHeight="1">
      <c r="A77" s="7" t="s">
        <v>278</v>
      </c>
      <c r="B77" s="7" t="s">
        <v>279</v>
      </c>
      <c r="C77" s="28">
        <v>3.2</v>
      </c>
      <c r="D77" s="7" t="s">
        <v>280</v>
      </c>
      <c r="E77" s="17" t="s">
        <v>204</v>
      </c>
      <c r="F77" s="38">
        <v>1.256</v>
      </c>
      <c r="G77" s="8">
        <v>1530.0</v>
      </c>
      <c r="H77" s="40">
        <f t="shared" si="1"/>
        <v>1.256</v>
      </c>
      <c r="I77" s="6"/>
    </row>
    <row r="78" ht="14.25" customHeight="1">
      <c r="A78" s="7" t="s">
        <v>281</v>
      </c>
      <c r="B78" s="7" t="s">
        <v>279</v>
      </c>
      <c r="C78" s="28">
        <v>4.75</v>
      </c>
      <c r="D78" s="7" t="s">
        <v>282</v>
      </c>
      <c r="E78" s="17" t="s">
        <v>204</v>
      </c>
      <c r="F78" s="38">
        <v>1.236</v>
      </c>
      <c r="G78" s="8">
        <v>1530.0</v>
      </c>
      <c r="H78" s="40">
        <f t="shared" si="1"/>
        <v>1.236</v>
      </c>
      <c r="I78" s="6"/>
    </row>
    <row r="79" ht="14.25" customHeight="1"/>
    <row r="80" ht="14.25" customHeight="1">
      <c r="A80" s="2" t="s">
        <v>283</v>
      </c>
    </row>
    <row r="81" ht="14.25" customHeight="1"/>
    <row r="82" ht="14.25" customHeight="1">
      <c r="A82" s="3" t="s">
        <v>284</v>
      </c>
    </row>
    <row r="83" ht="48.0" customHeight="1">
      <c r="A83" s="4" t="s">
        <v>86</v>
      </c>
      <c r="B83" s="4" t="s">
        <v>286</v>
      </c>
      <c r="C83" s="4" t="s">
        <v>287</v>
      </c>
      <c r="D83" s="4" t="s">
        <v>288</v>
      </c>
      <c r="E83" s="4" t="s">
        <v>289</v>
      </c>
      <c r="F83" s="4" t="s">
        <v>290</v>
      </c>
      <c r="G83" s="4" t="s">
        <v>291</v>
      </c>
      <c r="H83" s="4" t="s">
        <v>292</v>
      </c>
    </row>
    <row r="84" ht="30.0" customHeight="1">
      <c r="A84" s="28">
        <v>0.9</v>
      </c>
      <c r="B84" s="20">
        <f>$H$53</f>
        <v>1.26285</v>
      </c>
      <c r="C84" s="20">
        <f>$H$64</f>
        <v>1.3561</v>
      </c>
      <c r="D84" s="20">
        <f>$H$53</f>
        <v>1.26285</v>
      </c>
      <c r="E84" s="35">
        <f t="shared" ref="E84:E89" si="2">B84*(1+$B$47)</f>
        <v>1.26285</v>
      </c>
      <c r="F84" s="20">
        <f>$H$53</f>
        <v>1.26285</v>
      </c>
      <c r="G84" s="51">
        <f t="shared" ref="G84:G89" si="3">C84/B84-1</f>
        <v>0.07384091539</v>
      </c>
      <c r="H84" s="6" t="s">
        <v>297</v>
      </c>
    </row>
    <row r="85" ht="30.0" customHeight="1">
      <c r="A85" s="28">
        <v>1.25</v>
      </c>
      <c r="B85" s="20">
        <f>$H$54</f>
        <v>1.25056</v>
      </c>
      <c r="C85" s="20">
        <f>$H$60</f>
        <v>1.290297735</v>
      </c>
      <c r="D85" s="20">
        <f>$H$71</f>
        <v>1.186</v>
      </c>
      <c r="E85" s="35">
        <f t="shared" si="2"/>
        <v>1.25056</v>
      </c>
      <c r="F85" s="20">
        <f>$H$74</f>
        <v>1.426</v>
      </c>
      <c r="G85" s="51">
        <f t="shared" si="3"/>
        <v>0.03177595208</v>
      </c>
      <c r="H85" s="6" t="s">
        <v>299</v>
      </c>
    </row>
    <row r="86" ht="30.0" customHeight="1">
      <c r="A86" s="28">
        <v>1.6</v>
      </c>
      <c r="B86" s="20">
        <f>$H$55</f>
        <v>1.25056</v>
      </c>
      <c r="C86" s="20">
        <f>$H$59</f>
        <v>1.327521036</v>
      </c>
      <c r="D86" s="20">
        <f>$H$72</f>
        <v>1.186</v>
      </c>
      <c r="E86" s="35">
        <f t="shared" si="2"/>
        <v>1.25056</v>
      </c>
      <c r="F86" s="20">
        <f>$H$75</f>
        <v>1.453</v>
      </c>
      <c r="G86" s="51">
        <f t="shared" si="3"/>
        <v>0.061541258</v>
      </c>
      <c r="H86" s="6" t="s">
        <v>300</v>
      </c>
    </row>
    <row r="87" ht="30.0" customHeight="1">
      <c r="A87" s="28">
        <v>2.0</v>
      </c>
      <c r="B87" s="20">
        <f>$H$56</f>
        <v>1.26285</v>
      </c>
      <c r="C87" s="20">
        <f>$H$61</f>
        <v>1.280401294</v>
      </c>
      <c r="D87" s="20">
        <f>$H$73</f>
        <v>1.198</v>
      </c>
      <c r="E87" s="35">
        <f t="shared" si="2"/>
        <v>1.26285</v>
      </c>
      <c r="F87" s="20">
        <f>$H$76</f>
        <v>1.429</v>
      </c>
      <c r="G87" s="51">
        <f t="shared" si="3"/>
        <v>0.01389816249</v>
      </c>
      <c r="H87" s="6" t="s">
        <v>303</v>
      </c>
    </row>
    <row r="88" ht="30.0" customHeight="1">
      <c r="A88" s="28">
        <v>3.2</v>
      </c>
      <c r="B88" s="20">
        <f>$H$57</f>
        <v>1.11373</v>
      </c>
      <c r="C88" s="20">
        <f>$H$62</f>
        <v>1.101935275</v>
      </c>
      <c r="D88" s="20">
        <f t="shared" ref="D88:D89" si="4">$H$57</f>
        <v>1.11373</v>
      </c>
      <c r="E88" s="35">
        <f t="shared" si="2"/>
        <v>1.11373</v>
      </c>
      <c r="F88" s="20">
        <f>$H$77</f>
        <v>1.256</v>
      </c>
      <c r="G88" s="51">
        <f t="shared" si="3"/>
        <v>-0.01059029111</v>
      </c>
      <c r="H88" s="6" t="s">
        <v>304</v>
      </c>
    </row>
    <row r="89" ht="30.0" customHeight="1">
      <c r="A89" s="28">
        <v>4.75</v>
      </c>
      <c r="B89" s="52">
        <v>1.11373</v>
      </c>
      <c r="C89" s="20">
        <f>$H$63</f>
        <v>1.090977346</v>
      </c>
      <c r="D89" s="20">
        <f t="shared" si="4"/>
        <v>1.11373</v>
      </c>
      <c r="E89" s="35">
        <f t="shared" si="2"/>
        <v>1.11373</v>
      </c>
      <c r="F89" s="20">
        <f>$H$78</f>
        <v>1.236</v>
      </c>
      <c r="G89" s="51">
        <f t="shared" si="3"/>
        <v>-0.02042923664</v>
      </c>
      <c r="H89" s="6" t="s">
        <v>305</v>
      </c>
    </row>
    <row r="90" ht="14.25" customHeight="1">
      <c r="A90" s="2" t="s">
        <v>306</v>
      </c>
    </row>
    <row r="91" ht="14.25" customHeight="1"/>
    <row r="92" ht="14.25" customHeight="1">
      <c r="A92" s="3" t="s">
        <v>307</v>
      </c>
    </row>
    <row r="93" ht="14.25" customHeight="1">
      <c r="A93" s="6" t="s">
        <v>308</v>
      </c>
      <c r="B93" s="17" t="s">
        <v>309</v>
      </c>
      <c r="D93" s="6" t="s">
        <v>310</v>
      </c>
    </row>
    <row r="94" ht="14.25" customHeight="1"/>
    <row r="95" ht="60.0" customHeight="1">
      <c r="A95" s="4" t="s">
        <v>311</v>
      </c>
      <c r="B95" s="4" t="s">
        <v>312</v>
      </c>
      <c r="C95" s="4" t="s">
        <v>313</v>
      </c>
      <c r="D95" s="4" t="s">
        <v>314</v>
      </c>
      <c r="E95" s="4" t="s">
        <v>315</v>
      </c>
      <c r="F95" s="4" t="s">
        <v>316</v>
      </c>
      <c r="G95" s="4" t="s">
        <v>317</v>
      </c>
      <c r="H95" s="4" t="s">
        <v>318</v>
      </c>
      <c r="I95" s="4" t="s">
        <v>319</v>
      </c>
      <c r="J95" s="4" t="s">
        <v>320</v>
      </c>
      <c r="K95" s="4" t="s">
        <v>321</v>
      </c>
      <c r="L95" s="4" t="s">
        <v>322</v>
      </c>
      <c r="M95" s="4" t="s">
        <v>14</v>
      </c>
    </row>
    <row r="96" ht="45.0" customHeight="1">
      <c r="A96" s="6" t="s">
        <v>323</v>
      </c>
      <c r="B96" s="8">
        <v>80000.0</v>
      </c>
      <c r="C96" s="8">
        <v>1.0</v>
      </c>
      <c r="D96" s="8">
        <v>0.0</v>
      </c>
      <c r="E96" s="8">
        <v>1.0</v>
      </c>
      <c r="F96" s="8">
        <v>0.0</v>
      </c>
      <c r="G96" s="8">
        <v>0.0</v>
      </c>
      <c r="H96" s="16">
        <f t="shared" ref="H96:L96" si="5">$B96*C96</f>
        <v>80000</v>
      </c>
      <c r="I96" s="16">
        <f t="shared" si="5"/>
        <v>0</v>
      </c>
      <c r="J96" s="16">
        <f t="shared" si="5"/>
        <v>80000</v>
      </c>
      <c r="K96" s="16">
        <f t="shared" si="5"/>
        <v>0</v>
      </c>
      <c r="L96" s="16">
        <f t="shared" si="5"/>
        <v>0</v>
      </c>
      <c r="M96" s="6" t="s">
        <v>324</v>
      </c>
    </row>
    <row r="97" ht="45.0" customHeight="1">
      <c r="A97" s="6" t="s">
        <v>326</v>
      </c>
      <c r="B97" s="16">
        <f>$B$46/$B$45</f>
        <v>25810.97465</v>
      </c>
      <c r="C97" s="8">
        <v>1.0</v>
      </c>
      <c r="D97" s="8">
        <v>1.0</v>
      </c>
      <c r="E97" s="8">
        <v>0.0</v>
      </c>
      <c r="F97" s="8">
        <v>1.0</v>
      </c>
      <c r="G97" s="8">
        <v>0.0</v>
      </c>
      <c r="H97" s="16">
        <f t="shared" ref="H97:L97" si="6">$B97*C97</f>
        <v>25810.97465</v>
      </c>
      <c r="I97" s="16">
        <f t="shared" si="6"/>
        <v>25810.97465</v>
      </c>
      <c r="J97" s="16">
        <f t="shared" si="6"/>
        <v>0</v>
      </c>
      <c r="K97" s="16">
        <f t="shared" si="6"/>
        <v>25810.97465</v>
      </c>
      <c r="L97" s="16">
        <f t="shared" si="6"/>
        <v>0</v>
      </c>
      <c r="M97" s="6" t="s">
        <v>327</v>
      </c>
    </row>
    <row r="98" ht="45.0" customHeight="1">
      <c r="A98" s="6" t="s">
        <v>328</v>
      </c>
      <c r="B98" s="8">
        <v>60000.0</v>
      </c>
      <c r="C98" s="8">
        <v>0.0</v>
      </c>
      <c r="D98" s="8">
        <v>0.0</v>
      </c>
      <c r="E98" s="8">
        <v>1.0</v>
      </c>
      <c r="F98" s="8">
        <v>0.0</v>
      </c>
      <c r="G98" s="8">
        <v>0.0</v>
      </c>
      <c r="H98" s="16">
        <f t="shared" ref="H98:L98" si="7">$B98*C98</f>
        <v>0</v>
      </c>
      <c r="I98" s="16">
        <f t="shared" si="7"/>
        <v>0</v>
      </c>
      <c r="J98" s="16">
        <f t="shared" si="7"/>
        <v>60000</v>
      </c>
      <c r="K98" s="16">
        <f t="shared" si="7"/>
        <v>0</v>
      </c>
      <c r="L98" s="16">
        <f t="shared" si="7"/>
        <v>0</v>
      </c>
      <c r="M98" s="6" t="s">
        <v>329</v>
      </c>
    </row>
    <row r="99" ht="45.0" customHeight="1">
      <c r="A99" s="6" t="s">
        <v>330</v>
      </c>
      <c r="B99" s="8">
        <v>30000.0</v>
      </c>
      <c r="C99" s="16">
        <f>IF($B$93="SI",0,1)</f>
        <v>1</v>
      </c>
      <c r="D99" s="8">
        <v>0.0</v>
      </c>
      <c r="E99" s="16">
        <f>IF($B$93="SI",0,1)</f>
        <v>1</v>
      </c>
      <c r="F99" s="8">
        <v>0.0</v>
      </c>
      <c r="G99" s="8">
        <v>0.0</v>
      </c>
      <c r="H99" s="16">
        <f t="shared" ref="H99:L99" si="8">$B99*C99</f>
        <v>30000</v>
      </c>
      <c r="I99" s="16">
        <f t="shared" si="8"/>
        <v>0</v>
      </c>
      <c r="J99" s="16">
        <f t="shared" si="8"/>
        <v>30000</v>
      </c>
      <c r="K99" s="16">
        <f t="shared" si="8"/>
        <v>0</v>
      </c>
      <c r="L99" s="16">
        <f t="shared" si="8"/>
        <v>0</v>
      </c>
      <c r="M99" s="6" t="s">
        <v>332</v>
      </c>
    </row>
    <row r="100" ht="45.0" customHeight="1">
      <c r="A100" s="6" t="s">
        <v>333</v>
      </c>
      <c r="B100" s="8">
        <v>6000.0</v>
      </c>
      <c r="C100" s="8">
        <v>1.0</v>
      </c>
      <c r="D100" s="8">
        <v>0.0</v>
      </c>
      <c r="E100" s="8">
        <v>1.0</v>
      </c>
      <c r="F100" s="8">
        <v>0.0</v>
      </c>
      <c r="G100" s="8">
        <v>0.0</v>
      </c>
      <c r="H100" s="16">
        <f t="shared" ref="H100:L100" si="9">$B100*C100</f>
        <v>6000</v>
      </c>
      <c r="I100" s="16">
        <f t="shared" si="9"/>
        <v>0</v>
      </c>
      <c r="J100" s="16">
        <f t="shared" si="9"/>
        <v>6000</v>
      </c>
      <c r="K100" s="16">
        <f t="shared" si="9"/>
        <v>0</v>
      </c>
      <c r="L100" s="16">
        <f t="shared" si="9"/>
        <v>0</v>
      </c>
      <c r="M100" s="6" t="s">
        <v>334</v>
      </c>
    </row>
    <row r="101" ht="45.0" customHeight="1">
      <c r="A101" s="6" t="s">
        <v>335</v>
      </c>
      <c r="B101" s="8">
        <v>12000.0</v>
      </c>
      <c r="C101" s="8">
        <v>1.0</v>
      </c>
      <c r="D101" s="8">
        <v>0.0</v>
      </c>
      <c r="E101" s="8">
        <v>1.0</v>
      </c>
      <c r="F101" s="8">
        <v>1.0</v>
      </c>
      <c r="G101" s="8">
        <v>1.0</v>
      </c>
      <c r="H101" s="16">
        <f t="shared" ref="H101:L101" si="10">$B101*C101</f>
        <v>12000</v>
      </c>
      <c r="I101" s="16">
        <f t="shared" si="10"/>
        <v>0</v>
      </c>
      <c r="J101" s="16">
        <f t="shared" si="10"/>
        <v>12000</v>
      </c>
      <c r="K101" s="16">
        <f t="shared" si="10"/>
        <v>12000</v>
      </c>
      <c r="L101" s="16">
        <f t="shared" si="10"/>
        <v>12000</v>
      </c>
      <c r="M101" s="6" t="s">
        <v>336</v>
      </c>
    </row>
    <row r="102" ht="45.0" customHeight="1">
      <c r="A102" s="6" t="s">
        <v>337</v>
      </c>
      <c r="B102" s="8">
        <v>3000.0</v>
      </c>
      <c r="C102" s="8">
        <v>1.0</v>
      </c>
      <c r="D102" s="8">
        <v>0.0</v>
      </c>
      <c r="E102" s="8">
        <v>1.0</v>
      </c>
      <c r="F102" s="8">
        <v>1.0</v>
      </c>
      <c r="G102" s="8">
        <v>1.0</v>
      </c>
      <c r="H102" s="16">
        <f t="shared" ref="H102:L102" si="11">$B102*C102</f>
        <v>3000</v>
      </c>
      <c r="I102" s="16">
        <f t="shared" si="11"/>
        <v>0</v>
      </c>
      <c r="J102" s="16">
        <f t="shared" si="11"/>
        <v>3000</v>
      </c>
      <c r="K102" s="16">
        <f t="shared" si="11"/>
        <v>3000</v>
      </c>
      <c r="L102" s="16">
        <f t="shared" si="11"/>
        <v>3000</v>
      </c>
      <c r="M102" s="6" t="s">
        <v>334</v>
      </c>
    </row>
    <row r="103" ht="45.0" customHeight="1">
      <c r="A103" s="6" t="s">
        <v>338</v>
      </c>
      <c r="B103" s="8">
        <v>20000.0</v>
      </c>
      <c r="C103" s="8">
        <v>0.0</v>
      </c>
      <c r="D103" s="8">
        <v>1.0</v>
      </c>
      <c r="E103" s="8">
        <v>0.0</v>
      </c>
      <c r="F103" s="8">
        <v>1.0</v>
      </c>
      <c r="G103" s="8">
        <v>0.0</v>
      </c>
      <c r="H103" s="16">
        <f t="shared" ref="H103:L103" si="12">$B103*C103</f>
        <v>0</v>
      </c>
      <c r="I103" s="16">
        <f t="shared" si="12"/>
        <v>20000</v>
      </c>
      <c r="J103" s="16">
        <f t="shared" si="12"/>
        <v>0</v>
      </c>
      <c r="K103" s="16">
        <f t="shared" si="12"/>
        <v>20000</v>
      </c>
      <c r="L103" s="16">
        <f t="shared" si="12"/>
        <v>0</v>
      </c>
      <c r="M103" s="6" t="s">
        <v>339</v>
      </c>
    </row>
    <row r="104" ht="45.0" customHeight="1">
      <c r="A104" s="6" t="s">
        <v>340</v>
      </c>
      <c r="B104" s="8">
        <v>7000.0</v>
      </c>
      <c r="C104" s="8">
        <v>0.0</v>
      </c>
      <c r="D104" s="8">
        <v>1.0</v>
      </c>
      <c r="E104" s="8">
        <v>0.0</v>
      </c>
      <c r="F104" s="8">
        <v>1.0</v>
      </c>
      <c r="G104" s="8">
        <v>0.0</v>
      </c>
      <c r="H104" s="16">
        <f t="shared" ref="H104:L104" si="13">$B104*C104</f>
        <v>0</v>
      </c>
      <c r="I104" s="16">
        <f t="shared" si="13"/>
        <v>7000</v>
      </c>
      <c r="J104" s="16">
        <f t="shared" si="13"/>
        <v>0</v>
      </c>
      <c r="K104" s="16">
        <f t="shared" si="13"/>
        <v>7000</v>
      </c>
      <c r="L104" s="16">
        <f t="shared" si="13"/>
        <v>0</v>
      </c>
      <c r="M104" s="6" t="s">
        <v>342</v>
      </c>
    </row>
    <row r="105" ht="45.0" customHeight="1">
      <c r="A105" s="6" t="s">
        <v>343</v>
      </c>
      <c r="B105" s="8">
        <v>1500.0</v>
      </c>
      <c r="C105" s="8">
        <v>0.0</v>
      </c>
      <c r="D105" s="8">
        <v>1.0</v>
      </c>
      <c r="E105" s="8">
        <v>0.0</v>
      </c>
      <c r="F105" s="8">
        <v>1.0</v>
      </c>
      <c r="G105" s="8">
        <v>0.0</v>
      </c>
      <c r="H105" s="16">
        <f t="shared" ref="H105:L105" si="14">$B105*C105</f>
        <v>0</v>
      </c>
      <c r="I105" s="16">
        <f t="shared" si="14"/>
        <v>1500</v>
      </c>
      <c r="J105" s="16">
        <f t="shared" si="14"/>
        <v>0</v>
      </c>
      <c r="K105" s="16">
        <f t="shared" si="14"/>
        <v>1500</v>
      </c>
      <c r="L105" s="16">
        <f t="shared" si="14"/>
        <v>0</v>
      </c>
      <c r="M105" s="6" t="s">
        <v>346</v>
      </c>
    </row>
    <row r="106" ht="45.0" customHeight="1">
      <c r="A106" s="6" t="s">
        <v>347</v>
      </c>
      <c r="B106" s="8">
        <v>2000.0</v>
      </c>
      <c r="C106" s="8">
        <v>0.0</v>
      </c>
      <c r="D106" s="8">
        <v>1.0</v>
      </c>
      <c r="E106" s="8">
        <v>0.0</v>
      </c>
      <c r="F106" s="8">
        <v>1.0</v>
      </c>
      <c r="G106" s="8">
        <v>0.0</v>
      </c>
      <c r="H106" s="16">
        <f t="shared" ref="H106:L106" si="15">$B106*C106</f>
        <v>0</v>
      </c>
      <c r="I106" s="16">
        <f t="shared" si="15"/>
        <v>2000</v>
      </c>
      <c r="J106" s="16">
        <f t="shared" si="15"/>
        <v>0</v>
      </c>
      <c r="K106" s="16">
        <f t="shared" si="15"/>
        <v>2000</v>
      </c>
      <c r="L106" s="16">
        <f t="shared" si="15"/>
        <v>0</v>
      </c>
      <c r="M106" s="6" t="s">
        <v>334</v>
      </c>
    </row>
    <row r="107" ht="45.0" customHeight="1">
      <c r="A107" s="6" t="s">
        <v>349</v>
      </c>
      <c r="B107" s="8">
        <v>1500.0</v>
      </c>
      <c r="C107" s="8">
        <v>0.0</v>
      </c>
      <c r="D107" s="8">
        <v>1.0</v>
      </c>
      <c r="E107" s="8">
        <v>0.0</v>
      </c>
      <c r="F107" s="8">
        <v>0.0</v>
      </c>
      <c r="G107" s="8">
        <v>0.0</v>
      </c>
      <c r="H107" s="16">
        <f t="shared" ref="H107:L107" si="16">$B107*C107</f>
        <v>0</v>
      </c>
      <c r="I107" s="16">
        <f t="shared" si="16"/>
        <v>1500</v>
      </c>
      <c r="J107" s="16">
        <f t="shared" si="16"/>
        <v>0</v>
      </c>
      <c r="K107" s="16">
        <f t="shared" si="16"/>
        <v>0</v>
      </c>
      <c r="L107" s="16">
        <f t="shared" si="16"/>
        <v>0</v>
      </c>
      <c r="M107" s="6" t="s">
        <v>351</v>
      </c>
    </row>
    <row r="108" ht="14.25" customHeight="1">
      <c r="A108" s="5" t="s">
        <v>94</v>
      </c>
      <c r="H108" s="26">
        <f t="shared" ref="H108:L108" si="17">SUM(H96:H107)</f>
        <v>156810.9746</v>
      </c>
      <c r="I108" s="26">
        <f t="shared" si="17"/>
        <v>57810.97465</v>
      </c>
      <c r="J108" s="26">
        <f t="shared" si="17"/>
        <v>191000</v>
      </c>
      <c r="K108" s="26">
        <f t="shared" si="17"/>
        <v>71310.97465</v>
      </c>
      <c r="L108" s="26">
        <f t="shared" si="17"/>
        <v>15000</v>
      </c>
    </row>
    <row r="109" ht="14.25" customHeight="1"/>
    <row r="110" ht="14.25" customHeight="1">
      <c r="A110" s="2" t="s">
        <v>353</v>
      </c>
    </row>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0"/>
    <col customWidth="1" min="3" max="3" width="2.0"/>
    <col customWidth="1" min="4" max="13" width="11.0"/>
    <col customWidth="1" min="14" max="26" width="8.57"/>
  </cols>
  <sheetData>
    <row r="1" ht="14.25" customHeight="1">
      <c r="A1" s="1" t="s">
        <v>2</v>
      </c>
    </row>
    <row r="2" ht="14.25" customHeight="1">
      <c r="A2" s="2" t="s">
        <v>4</v>
      </c>
    </row>
    <row r="3" ht="14.25" customHeight="1"/>
    <row r="4" ht="14.25" customHeight="1">
      <c r="A4" s="3" t="s">
        <v>6</v>
      </c>
    </row>
    <row r="5" ht="14.25" customHeight="1">
      <c r="A5" s="4" t="s">
        <v>9</v>
      </c>
      <c r="B5" s="4" t="s">
        <v>12</v>
      </c>
      <c r="C5" s="4"/>
      <c r="D5" s="4" t="s">
        <v>16</v>
      </c>
      <c r="E5" s="4" t="s">
        <v>17</v>
      </c>
      <c r="F5" s="4" t="s">
        <v>19</v>
      </c>
      <c r="G5" s="4" t="s">
        <v>20</v>
      </c>
      <c r="H5" s="4" t="s">
        <v>21</v>
      </c>
      <c r="I5" s="4" t="s">
        <v>23</v>
      </c>
      <c r="J5" s="4" t="s">
        <v>26</v>
      </c>
      <c r="K5" s="4" t="s">
        <v>27</v>
      </c>
      <c r="L5" s="4" t="s">
        <v>28</v>
      </c>
      <c r="M5" s="4" t="s">
        <v>29</v>
      </c>
    </row>
    <row r="6" ht="14.25" customHeight="1">
      <c r="A6" s="7" t="s">
        <v>33</v>
      </c>
      <c r="B6" s="7" t="s">
        <v>38</v>
      </c>
      <c r="C6" s="7"/>
      <c r="D6" s="8">
        <v>4179.0</v>
      </c>
      <c r="E6" s="8">
        <v>5997.0</v>
      </c>
      <c r="F6" s="8">
        <v>6852.0</v>
      </c>
      <c r="G6" s="8">
        <v>8467.0</v>
      </c>
      <c r="H6" s="8">
        <v>12681.0</v>
      </c>
      <c r="I6" s="8">
        <v>15620.0</v>
      </c>
      <c r="J6" s="8">
        <v>20333.0</v>
      </c>
      <c r="K6" s="8">
        <v>25132.0</v>
      </c>
      <c r="L6" s="8">
        <v>28573.0</v>
      </c>
      <c r="M6" s="8">
        <v>32073.0</v>
      </c>
    </row>
    <row r="7" ht="14.25" customHeight="1">
      <c r="A7" s="7" t="s">
        <v>52</v>
      </c>
      <c r="B7" s="7" t="s">
        <v>38</v>
      </c>
      <c r="C7" s="7"/>
      <c r="D7" s="8">
        <v>295.0</v>
      </c>
      <c r="E7" s="8">
        <v>709.0</v>
      </c>
      <c r="F7" s="8">
        <v>987.0</v>
      </c>
      <c r="G7" s="8">
        <v>1501.0</v>
      </c>
      <c r="H7" s="8">
        <v>2312.0</v>
      </c>
      <c r="I7" s="8">
        <v>3252.0</v>
      </c>
      <c r="J7" s="8">
        <v>4103.0</v>
      </c>
      <c r="K7" s="8">
        <v>5105.0</v>
      </c>
      <c r="L7" s="8">
        <v>6195.0</v>
      </c>
      <c r="M7" s="8">
        <v>7425.0</v>
      </c>
    </row>
    <row r="8" ht="14.25" customHeight="1">
      <c r="A8" s="7" t="s">
        <v>60</v>
      </c>
      <c r="B8" s="7" t="s">
        <v>38</v>
      </c>
      <c r="C8" s="7"/>
      <c r="D8" s="8">
        <v>2256.0</v>
      </c>
      <c r="E8" s="8">
        <v>3847.0</v>
      </c>
      <c r="F8" s="8">
        <v>5094.0</v>
      </c>
      <c r="G8" s="8">
        <v>6823.0</v>
      </c>
      <c r="H8" s="8">
        <v>10819.0</v>
      </c>
      <c r="I8" s="8">
        <v>14606.0</v>
      </c>
      <c r="J8" s="8">
        <v>18878.0</v>
      </c>
      <c r="K8" s="8">
        <v>23368.0</v>
      </c>
      <c r="L8" s="8">
        <v>26968.0</v>
      </c>
      <c r="M8" s="8">
        <v>30751.0</v>
      </c>
    </row>
    <row r="9" ht="14.25" customHeight="1">
      <c r="A9" s="7" t="s">
        <v>68</v>
      </c>
      <c r="B9" s="7" t="s">
        <v>38</v>
      </c>
      <c r="C9" s="7"/>
      <c r="D9" s="8">
        <v>92.0</v>
      </c>
      <c r="E9" s="8">
        <v>177.0</v>
      </c>
      <c r="F9" s="8">
        <v>253.0</v>
      </c>
      <c r="G9" s="8">
        <v>358.0</v>
      </c>
      <c r="H9" s="8">
        <v>603.0</v>
      </c>
      <c r="I9" s="8">
        <v>872.0</v>
      </c>
      <c r="J9" s="8">
        <v>1127.0</v>
      </c>
      <c r="K9" s="8">
        <v>1395.0</v>
      </c>
      <c r="L9" s="8">
        <v>1612.0</v>
      </c>
      <c r="M9" s="8">
        <v>1841.0</v>
      </c>
    </row>
    <row r="10" ht="14.25" customHeight="1">
      <c r="A10" s="7" t="s">
        <v>69</v>
      </c>
      <c r="B10" s="7" t="s">
        <v>70</v>
      </c>
      <c r="C10" s="7"/>
      <c r="D10" s="8">
        <v>34.0</v>
      </c>
      <c r="E10" s="8">
        <v>58.0</v>
      </c>
      <c r="F10" s="8">
        <v>76.0</v>
      </c>
      <c r="G10" s="8">
        <v>100.0</v>
      </c>
      <c r="H10" s="8">
        <v>156.0</v>
      </c>
      <c r="I10" s="8">
        <v>212.0</v>
      </c>
      <c r="J10" s="8">
        <v>273.0</v>
      </c>
      <c r="K10" s="8">
        <v>338.0</v>
      </c>
      <c r="L10" s="8">
        <v>393.0</v>
      </c>
      <c r="M10" s="8">
        <v>453.0</v>
      </c>
    </row>
    <row r="11" ht="14.25" customHeight="1">
      <c r="A11" s="7" t="s">
        <v>71</v>
      </c>
      <c r="B11" s="7" t="s">
        <v>70</v>
      </c>
      <c r="C11" s="7"/>
      <c r="D11" s="8">
        <v>75.0</v>
      </c>
      <c r="E11" s="8">
        <v>128.0</v>
      </c>
      <c r="F11" s="8">
        <v>166.0</v>
      </c>
      <c r="G11" s="8">
        <v>221.0</v>
      </c>
      <c r="H11" s="8">
        <v>343.0</v>
      </c>
      <c r="I11" s="8">
        <v>466.0</v>
      </c>
      <c r="J11" s="8">
        <v>599.0</v>
      </c>
      <c r="K11" s="8">
        <v>743.0</v>
      </c>
      <c r="L11" s="8">
        <v>866.0</v>
      </c>
      <c r="M11" s="8">
        <v>997.0</v>
      </c>
    </row>
    <row r="12" ht="14.25" customHeight="1">
      <c r="A12" s="7" t="s">
        <v>76</v>
      </c>
      <c r="B12" s="7" t="s">
        <v>70</v>
      </c>
      <c r="C12" s="7"/>
      <c r="D12" s="8">
        <v>16.0</v>
      </c>
      <c r="E12" s="8">
        <v>29.0</v>
      </c>
      <c r="F12" s="8">
        <v>36.0</v>
      </c>
      <c r="G12" s="8">
        <v>48.0</v>
      </c>
      <c r="H12" s="8">
        <v>74.0</v>
      </c>
      <c r="I12" s="8">
        <v>101.0</v>
      </c>
      <c r="J12" s="8">
        <v>131.0</v>
      </c>
      <c r="K12" s="8">
        <v>163.0</v>
      </c>
      <c r="L12" s="8">
        <v>189.0</v>
      </c>
      <c r="M12" s="8">
        <v>218.0</v>
      </c>
    </row>
    <row r="13" ht="14.25" customHeight="1">
      <c r="A13" s="7" t="s">
        <v>83</v>
      </c>
      <c r="B13" s="7" t="s">
        <v>70</v>
      </c>
      <c r="C13" s="7"/>
      <c r="D13" s="8">
        <v>11.0</v>
      </c>
      <c r="E13" s="8">
        <v>18.0</v>
      </c>
      <c r="F13" s="8">
        <v>24.0</v>
      </c>
      <c r="G13" s="8">
        <v>33.0</v>
      </c>
      <c r="H13" s="8">
        <v>50.0</v>
      </c>
      <c r="I13" s="8">
        <v>67.0</v>
      </c>
      <c r="J13" s="8">
        <v>87.0</v>
      </c>
      <c r="K13" s="8">
        <v>108.0</v>
      </c>
      <c r="L13" s="8">
        <v>126.0</v>
      </c>
      <c r="M13" s="8">
        <v>145.0</v>
      </c>
    </row>
    <row r="14" ht="14.25" customHeight="1">
      <c r="A14" s="5" t="s">
        <v>94</v>
      </c>
      <c r="D14" s="26">
        <f t="shared" ref="D14:M14" si="1">SUM(D6:D13)</f>
        <v>6958</v>
      </c>
      <c r="E14" s="26">
        <f t="shared" si="1"/>
        <v>10963</v>
      </c>
      <c r="F14" s="26">
        <f t="shared" si="1"/>
        <v>13488</v>
      </c>
      <c r="G14" s="26">
        <f t="shared" si="1"/>
        <v>17551</v>
      </c>
      <c r="H14" s="26">
        <f t="shared" si="1"/>
        <v>27038</v>
      </c>
      <c r="I14" s="26">
        <f t="shared" si="1"/>
        <v>35196</v>
      </c>
      <c r="J14" s="26">
        <f t="shared" si="1"/>
        <v>45531</v>
      </c>
      <c r="K14" s="26">
        <f t="shared" si="1"/>
        <v>56352</v>
      </c>
      <c r="L14" s="26">
        <f t="shared" si="1"/>
        <v>64922</v>
      </c>
      <c r="M14" s="26">
        <f t="shared" si="1"/>
        <v>73903</v>
      </c>
    </row>
    <row r="15" ht="14.25" customHeight="1"/>
    <row r="16" ht="14.25" customHeight="1">
      <c r="A16" s="3" t="s">
        <v>145</v>
      </c>
    </row>
    <row r="17" ht="14.25" customHeight="1">
      <c r="A17" s="4" t="s">
        <v>9</v>
      </c>
      <c r="B17" s="4" t="s">
        <v>12</v>
      </c>
      <c r="C17" s="4"/>
      <c r="D17" s="4" t="s">
        <v>16</v>
      </c>
      <c r="E17" s="4" t="s">
        <v>17</v>
      </c>
      <c r="F17" s="4" t="s">
        <v>19</v>
      </c>
      <c r="G17" s="4" t="s">
        <v>20</v>
      </c>
      <c r="H17" s="4" t="s">
        <v>21</v>
      </c>
      <c r="I17" s="4" t="s">
        <v>23</v>
      </c>
      <c r="J17" s="4" t="s">
        <v>26</v>
      </c>
      <c r="K17" s="4" t="s">
        <v>27</v>
      </c>
      <c r="L17" s="4" t="s">
        <v>28</v>
      </c>
      <c r="M17" s="4" t="s">
        <v>29</v>
      </c>
    </row>
    <row r="18" ht="14.25" customHeight="1">
      <c r="A18" s="7" t="s">
        <v>33</v>
      </c>
      <c r="B18" s="7" t="s">
        <v>38</v>
      </c>
      <c r="C18" s="7"/>
      <c r="D18" s="8">
        <v>0.0</v>
      </c>
      <c r="E18" s="8">
        <v>0.0</v>
      </c>
      <c r="F18" s="8">
        <v>7662.0</v>
      </c>
      <c r="G18" s="8">
        <v>26695.0</v>
      </c>
      <c r="H18" s="8">
        <v>49435.0</v>
      </c>
      <c r="I18" s="8">
        <v>71680.0</v>
      </c>
      <c r="J18" s="8">
        <v>101341.0</v>
      </c>
      <c r="K18" s="8">
        <v>131001.0</v>
      </c>
      <c r="L18" s="8">
        <v>146820.0</v>
      </c>
      <c r="M18" s="8">
        <v>170548.0</v>
      </c>
    </row>
    <row r="19" ht="14.25" customHeight="1">
      <c r="A19" s="7" t="s">
        <v>52</v>
      </c>
      <c r="B19" s="7" t="s">
        <v>38</v>
      </c>
      <c r="C19" s="7"/>
      <c r="D19" s="8">
        <v>0.0</v>
      </c>
      <c r="E19" s="8">
        <v>0.0</v>
      </c>
      <c r="F19" s="8">
        <v>300.0</v>
      </c>
      <c r="G19" s="8">
        <v>1044.0</v>
      </c>
      <c r="H19" s="8">
        <v>1933.0</v>
      </c>
      <c r="I19" s="8">
        <v>2803.0</v>
      </c>
      <c r="J19" s="8">
        <v>3963.0</v>
      </c>
      <c r="K19" s="8">
        <v>5123.0</v>
      </c>
      <c r="L19" s="8">
        <v>5741.0</v>
      </c>
      <c r="M19" s="8">
        <v>6669.0</v>
      </c>
    </row>
    <row r="20" ht="14.25" customHeight="1">
      <c r="A20" s="7" t="s">
        <v>60</v>
      </c>
      <c r="B20" s="7" t="s">
        <v>38</v>
      </c>
      <c r="C20" s="7"/>
      <c r="D20" s="8">
        <v>0.0</v>
      </c>
      <c r="E20" s="8">
        <v>0.0</v>
      </c>
      <c r="F20" s="8">
        <v>1479.0</v>
      </c>
      <c r="G20" s="8">
        <v>5152.0</v>
      </c>
      <c r="H20" s="8">
        <v>9541.0</v>
      </c>
      <c r="I20" s="8">
        <v>13834.0</v>
      </c>
      <c r="J20" s="8">
        <v>19559.0</v>
      </c>
      <c r="K20" s="8">
        <v>25283.0</v>
      </c>
      <c r="L20" s="8">
        <v>28336.0</v>
      </c>
      <c r="M20" s="8">
        <v>32915.0</v>
      </c>
    </row>
    <row r="21" ht="14.25" customHeight="1">
      <c r="A21" s="7" t="s">
        <v>68</v>
      </c>
      <c r="B21" s="7" t="s">
        <v>38</v>
      </c>
      <c r="C21" s="7"/>
      <c r="D21" s="8">
        <v>0.0</v>
      </c>
      <c r="E21" s="8">
        <v>0.0</v>
      </c>
      <c r="F21" s="8">
        <v>90.0</v>
      </c>
      <c r="G21" s="8">
        <v>315.0</v>
      </c>
      <c r="H21" s="8">
        <v>583.0</v>
      </c>
      <c r="I21" s="8">
        <v>846.0</v>
      </c>
      <c r="J21" s="8">
        <v>1195.0</v>
      </c>
      <c r="K21" s="8">
        <v>1545.0</v>
      </c>
      <c r="L21" s="8">
        <v>1731.0</v>
      </c>
      <c r="M21" s="8">
        <v>2011.0</v>
      </c>
    </row>
    <row r="22" ht="14.25" customHeight="1">
      <c r="A22" s="7" t="s">
        <v>69</v>
      </c>
      <c r="B22" s="7" t="s">
        <v>70</v>
      </c>
      <c r="C22" s="7"/>
      <c r="D22" s="8">
        <v>0.0</v>
      </c>
      <c r="E22" s="8">
        <v>0.0</v>
      </c>
      <c r="F22" s="8">
        <v>14.0</v>
      </c>
      <c r="G22" s="8">
        <v>50.0</v>
      </c>
      <c r="H22" s="8">
        <v>93.0</v>
      </c>
      <c r="I22" s="8">
        <v>135.0</v>
      </c>
      <c r="J22" s="8">
        <v>191.0</v>
      </c>
      <c r="K22" s="8">
        <v>247.0</v>
      </c>
      <c r="L22" s="8">
        <v>277.0</v>
      </c>
      <c r="M22" s="8">
        <v>322.0</v>
      </c>
    </row>
    <row r="23" ht="14.25" customHeight="1">
      <c r="A23" s="7" t="s">
        <v>71</v>
      </c>
      <c r="B23" s="7" t="s">
        <v>70</v>
      </c>
      <c r="C23" s="7"/>
      <c r="D23" s="8">
        <v>0.0</v>
      </c>
      <c r="E23" s="8">
        <v>0.0</v>
      </c>
      <c r="F23" s="8">
        <v>32.0</v>
      </c>
      <c r="G23" s="8">
        <v>111.0</v>
      </c>
      <c r="H23" s="8">
        <v>205.0</v>
      </c>
      <c r="I23" s="8">
        <v>298.0</v>
      </c>
      <c r="J23" s="8">
        <v>421.0</v>
      </c>
      <c r="K23" s="8">
        <v>544.0</v>
      </c>
      <c r="L23" s="8">
        <v>610.0</v>
      </c>
      <c r="M23" s="8">
        <v>708.0</v>
      </c>
    </row>
    <row r="24" ht="14.25" customHeight="1">
      <c r="A24" s="7" t="s">
        <v>76</v>
      </c>
      <c r="B24" s="7" t="s">
        <v>70</v>
      </c>
      <c r="C24" s="7"/>
      <c r="D24" s="8">
        <v>0.0</v>
      </c>
      <c r="E24" s="8">
        <v>0.0</v>
      </c>
      <c r="F24" s="8">
        <v>7.0</v>
      </c>
      <c r="G24" s="8">
        <v>24.0</v>
      </c>
      <c r="H24" s="8">
        <v>45.0</v>
      </c>
      <c r="I24" s="8">
        <v>65.0</v>
      </c>
      <c r="J24" s="8">
        <v>92.0</v>
      </c>
      <c r="K24" s="8">
        <v>119.0</v>
      </c>
      <c r="L24" s="8">
        <v>133.0</v>
      </c>
      <c r="M24" s="8">
        <v>155.0</v>
      </c>
    </row>
    <row r="25" ht="14.25" customHeight="1">
      <c r="A25" s="7" t="s">
        <v>83</v>
      </c>
      <c r="B25" s="7" t="s">
        <v>70</v>
      </c>
      <c r="C25" s="7"/>
      <c r="D25" s="8">
        <v>0.0</v>
      </c>
      <c r="E25" s="8">
        <v>0.0</v>
      </c>
      <c r="F25" s="8">
        <v>5.0</v>
      </c>
      <c r="G25" s="8">
        <v>16.0</v>
      </c>
      <c r="H25" s="8">
        <v>30.0</v>
      </c>
      <c r="I25" s="8">
        <v>43.0</v>
      </c>
      <c r="J25" s="8">
        <v>60.0</v>
      </c>
      <c r="K25" s="8">
        <v>78.0</v>
      </c>
      <c r="L25" s="8">
        <v>88.0</v>
      </c>
      <c r="M25" s="8">
        <v>102.0</v>
      </c>
    </row>
    <row r="26" ht="14.25" customHeight="1">
      <c r="A26" s="5" t="s">
        <v>94</v>
      </c>
      <c r="D26" s="26">
        <f t="shared" ref="D26:M26" si="2">SUM(D18:D25)</f>
        <v>0</v>
      </c>
      <c r="E26" s="26">
        <f t="shared" si="2"/>
        <v>0</v>
      </c>
      <c r="F26" s="26">
        <f t="shared" si="2"/>
        <v>9589</v>
      </c>
      <c r="G26" s="26">
        <f t="shared" si="2"/>
        <v>33407</v>
      </c>
      <c r="H26" s="26">
        <f t="shared" si="2"/>
        <v>61865</v>
      </c>
      <c r="I26" s="26">
        <f t="shared" si="2"/>
        <v>89704</v>
      </c>
      <c r="J26" s="26">
        <f t="shared" si="2"/>
        <v>126822</v>
      </c>
      <c r="K26" s="26">
        <f t="shared" si="2"/>
        <v>163940</v>
      </c>
      <c r="L26" s="26">
        <f t="shared" si="2"/>
        <v>183736</v>
      </c>
      <c r="M26" s="26">
        <f t="shared" si="2"/>
        <v>213430</v>
      </c>
    </row>
    <row r="27" ht="14.25" customHeight="1"/>
    <row r="28" ht="14.25" customHeight="1">
      <c r="A28" s="3" t="s">
        <v>190</v>
      </c>
    </row>
    <row r="29" ht="14.25" customHeight="1">
      <c r="A29" s="4" t="s">
        <v>9</v>
      </c>
      <c r="B29" s="4" t="s">
        <v>12</v>
      </c>
      <c r="C29" s="4"/>
      <c r="D29" s="4" t="s">
        <v>16</v>
      </c>
      <c r="E29" s="4" t="s">
        <v>17</v>
      </c>
      <c r="F29" s="4" t="s">
        <v>19</v>
      </c>
      <c r="G29" s="4" t="s">
        <v>20</v>
      </c>
      <c r="H29" s="4" t="s">
        <v>21</v>
      </c>
      <c r="I29" s="4" t="s">
        <v>23</v>
      </c>
      <c r="J29" s="4" t="s">
        <v>26</v>
      </c>
      <c r="K29" s="4" t="s">
        <v>27</v>
      </c>
      <c r="L29" s="4" t="s">
        <v>28</v>
      </c>
      <c r="M29" s="4" t="s">
        <v>29</v>
      </c>
    </row>
    <row r="30" ht="14.25" customHeight="1">
      <c r="A30" s="7" t="s">
        <v>33</v>
      </c>
      <c r="B30" s="7" t="s">
        <v>38</v>
      </c>
      <c r="C30" s="7"/>
      <c r="D30" s="16">
        <f t="shared" ref="D30:M30" si="3">D6+D18</f>
        <v>4179</v>
      </c>
      <c r="E30" s="16">
        <f t="shared" si="3"/>
        <v>5997</v>
      </c>
      <c r="F30" s="16">
        <f t="shared" si="3"/>
        <v>14514</v>
      </c>
      <c r="G30" s="16">
        <f t="shared" si="3"/>
        <v>35162</v>
      </c>
      <c r="H30" s="16">
        <f t="shared" si="3"/>
        <v>62116</v>
      </c>
      <c r="I30" s="16">
        <f t="shared" si="3"/>
        <v>87300</v>
      </c>
      <c r="J30" s="16">
        <f t="shared" si="3"/>
        <v>121674</v>
      </c>
      <c r="K30" s="16">
        <f t="shared" si="3"/>
        <v>156133</v>
      </c>
      <c r="L30" s="16">
        <f t="shared" si="3"/>
        <v>175393</v>
      </c>
      <c r="M30" s="16">
        <f t="shared" si="3"/>
        <v>202621</v>
      </c>
    </row>
    <row r="31" ht="14.25" customHeight="1">
      <c r="A31" s="7" t="s">
        <v>52</v>
      </c>
      <c r="B31" s="7" t="s">
        <v>38</v>
      </c>
      <c r="C31" s="7"/>
      <c r="D31" s="16">
        <f t="shared" ref="D31:M31" si="4">D7+D19</f>
        <v>295</v>
      </c>
      <c r="E31" s="16">
        <f t="shared" si="4"/>
        <v>709</v>
      </c>
      <c r="F31" s="16">
        <f t="shared" si="4"/>
        <v>1287</v>
      </c>
      <c r="G31" s="16">
        <f t="shared" si="4"/>
        <v>2545</v>
      </c>
      <c r="H31" s="16">
        <f t="shared" si="4"/>
        <v>4245</v>
      </c>
      <c r="I31" s="16">
        <f t="shared" si="4"/>
        <v>6055</v>
      </c>
      <c r="J31" s="16">
        <f t="shared" si="4"/>
        <v>8066</v>
      </c>
      <c r="K31" s="16">
        <f t="shared" si="4"/>
        <v>10228</v>
      </c>
      <c r="L31" s="16">
        <f t="shared" si="4"/>
        <v>11936</v>
      </c>
      <c r="M31" s="16">
        <f t="shared" si="4"/>
        <v>14094</v>
      </c>
    </row>
    <row r="32" ht="14.25" customHeight="1">
      <c r="A32" s="7" t="s">
        <v>60</v>
      </c>
      <c r="B32" s="7" t="s">
        <v>38</v>
      </c>
      <c r="C32" s="7"/>
      <c r="D32" s="16">
        <f t="shared" ref="D32:M32" si="5">D8+D20</f>
        <v>2256</v>
      </c>
      <c r="E32" s="16">
        <f t="shared" si="5"/>
        <v>3847</v>
      </c>
      <c r="F32" s="16">
        <f t="shared" si="5"/>
        <v>6573</v>
      </c>
      <c r="G32" s="16">
        <f t="shared" si="5"/>
        <v>11975</v>
      </c>
      <c r="H32" s="16">
        <f t="shared" si="5"/>
        <v>20360</v>
      </c>
      <c r="I32" s="16">
        <f t="shared" si="5"/>
        <v>28440</v>
      </c>
      <c r="J32" s="16">
        <f t="shared" si="5"/>
        <v>38437</v>
      </c>
      <c r="K32" s="16">
        <f t="shared" si="5"/>
        <v>48651</v>
      </c>
      <c r="L32" s="16">
        <f t="shared" si="5"/>
        <v>55304</v>
      </c>
      <c r="M32" s="16">
        <f t="shared" si="5"/>
        <v>63666</v>
      </c>
    </row>
    <row r="33" ht="14.25" customHeight="1">
      <c r="A33" s="7" t="s">
        <v>68</v>
      </c>
      <c r="B33" s="7" t="s">
        <v>38</v>
      </c>
      <c r="C33" s="7"/>
      <c r="D33" s="16">
        <f t="shared" ref="D33:M33" si="6">D9+D21</f>
        <v>92</v>
      </c>
      <c r="E33" s="16">
        <f t="shared" si="6"/>
        <v>177</v>
      </c>
      <c r="F33" s="16">
        <f t="shared" si="6"/>
        <v>343</v>
      </c>
      <c r="G33" s="16">
        <f t="shared" si="6"/>
        <v>673</v>
      </c>
      <c r="H33" s="16">
        <f t="shared" si="6"/>
        <v>1186</v>
      </c>
      <c r="I33" s="16">
        <f t="shared" si="6"/>
        <v>1718</v>
      </c>
      <c r="J33" s="16">
        <f t="shared" si="6"/>
        <v>2322</v>
      </c>
      <c r="K33" s="16">
        <f t="shared" si="6"/>
        <v>2940</v>
      </c>
      <c r="L33" s="16">
        <f t="shared" si="6"/>
        <v>3343</v>
      </c>
      <c r="M33" s="16">
        <f t="shared" si="6"/>
        <v>3852</v>
      </c>
    </row>
    <row r="34" ht="14.25" customHeight="1">
      <c r="A34" s="7" t="s">
        <v>69</v>
      </c>
      <c r="B34" s="7" t="s">
        <v>70</v>
      </c>
      <c r="C34" s="7"/>
      <c r="D34" s="16">
        <f t="shared" ref="D34:M34" si="7">D10+D22</f>
        <v>34</v>
      </c>
      <c r="E34" s="16">
        <f t="shared" si="7"/>
        <v>58</v>
      </c>
      <c r="F34" s="16">
        <f t="shared" si="7"/>
        <v>90</v>
      </c>
      <c r="G34" s="16">
        <f t="shared" si="7"/>
        <v>150</v>
      </c>
      <c r="H34" s="16">
        <f t="shared" si="7"/>
        <v>249</v>
      </c>
      <c r="I34" s="16">
        <f t="shared" si="7"/>
        <v>347</v>
      </c>
      <c r="J34" s="16">
        <f t="shared" si="7"/>
        <v>464</v>
      </c>
      <c r="K34" s="16">
        <f t="shared" si="7"/>
        <v>585</v>
      </c>
      <c r="L34" s="16">
        <f t="shared" si="7"/>
        <v>670</v>
      </c>
      <c r="M34" s="16">
        <f t="shared" si="7"/>
        <v>775</v>
      </c>
    </row>
    <row r="35" ht="14.25" customHeight="1">
      <c r="A35" s="7" t="s">
        <v>71</v>
      </c>
      <c r="B35" s="7" t="s">
        <v>70</v>
      </c>
      <c r="C35" s="7"/>
      <c r="D35" s="16">
        <f t="shared" ref="D35:M35" si="8">D11+D23</f>
        <v>75</v>
      </c>
      <c r="E35" s="16">
        <f t="shared" si="8"/>
        <v>128</v>
      </c>
      <c r="F35" s="16">
        <f t="shared" si="8"/>
        <v>198</v>
      </c>
      <c r="G35" s="16">
        <f t="shared" si="8"/>
        <v>332</v>
      </c>
      <c r="H35" s="16">
        <f t="shared" si="8"/>
        <v>548</v>
      </c>
      <c r="I35" s="16">
        <f t="shared" si="8"/>
        <v>764</v>
      </c>
      <c r="J35" s="16">
        <f t="shared" si="8"/>
        <v>1020</v>
      </c>
      <c r="K35" s="16">
        <f t="shared" si="8"/>
        <v>1287</v>
      </c>
      <c r="L35" s="16">
        <f t="shared" si="8"/>
        <v>1476</v>
      </c>
      <c r="M35" s="16">
        <f t="shared" si="8"/>
        <v>1705</v>
      </c>
    </row>
    <row r="36" ht="14.25" customHeight="1">
      <c r="A36" s="7" t="s">
        <v>76</v>
      </c>
      <c r="B36" s="7" t="s">
        <v>70</v>
      </c>
      <c r="C36" s="7"/>
      <c r="D36" s="16">
        <f t="shared" ref="D36:M36" si="9">D12+D24</f>
        <v>16</v>
      </c>
      <c r="E36" s="16">
        <f t="shared" si="9"/>
        <v>29</v>
      </c>
      <c r="F36" s="16">
        <f t="shared" si="9"/>
        <v>43</v>
      </c>
      <c r="G36" s="16">
        <f t="shared" si="9"/>
        <v>72</v>
      </c>
      <c r="H36" s="16">
        <f t="shared" si="9"/>
        <v>119</v>
      </c>
      <c r="I36" s="16">
        <f t="shared" si="9"/>
        <v>166</v>
      </c>
      <c r="J36" s="16">
        <f t="shared" si="9"/>
        <v>223</v>
      </c>
      <c r="K36" s="16">
        <f t="shared" si="9"/>
        <v>282</v>
      </c>
      <c r="L36" s="16">
        <f t="shared" si="9"/>
        <v>322</v>
      </c>
      <c r="M36" s="16">
        <f t="shared" si="9"/>
        <v>373</v>
      </c>
    </row>
    <row r="37" ht="14.25" customHeight="1">
      <c r="A37" s="7" t="s">
        <v>83</v>
      </c>
      <c r="B37" s="7" t="s">
        <v>70</v>
      </c>
      <c r="C37" s="7"/>
      <c r="D37" s="16">
        <f t="shared" ref="D37:M37" si="10">D13+D25</f>
        <v>11</v>
      </c>
      <c r="E37" s="16">
        <f t="shared" si="10"/>
        <v>18</v>
      </c>
      <c r="F37" s="16">
        <f t="shared" si="10"/>
        <v>29</v>
      </c>
      <c r="G37" s="16">
        <f t="shared" si="10"/>
        <v>49</v>
      </c>
      <c r="H37" s="16">
        <f t="shared" si="10"/>
        <v>80</v>
      </c>
      <c r="I37" s="16">
        <f t="shared" si="10"/>
        <v>110</v>
      </c>
      <c r="J37" s="16">
        <f t="shared" si="10"/>
        <v>147</v>
      </c>
      <c r="K37" s="16">
        <f t="shared" si="10"/>
        <v>186</v>
      </c>
      <c r="L37" s="16">
        <f t="shared" si="10"/>
        <v>214</v>
      </c>
      <c r="M37" s="16">
        <f t="shared" si="10"/>
        <v>247</v>
      </c>
    </row>
    <row r="38" ht="14.25" customHeight="1">
      <c r="A38" s="5" t="s">
        <v>94</v>
      </c>
      <c r="D38" s="26">
        <f t="shared" ref="D38:M38" si="11">SUM(D30:D37)</f>
        <v>6958</v>
      </c>
      <c r="E38" s="26">
        <f t="shared" si="11"/>
        <v>10963</v>
      </c>
      <c r="F38" s="26">
        <f t="shared" si="11"/>
        <v>23077</v>
      </c>
      <c r="G38" s="26">
        <f t="shared" si="11"/>
        <v>50958</v>
      </c>
      <c r="H38" s="26">
        <f t="shared" si="11"/>
        <v>88903</v>
      </c>
      <c r="I38" s="26">
        <f t="shared" si="11"/>
        <v>124900</v>
      </c>
      <c r="J38" s="26">
        <f t="shared" si="11"/>
        <v>172353</v>
      </c>
      <c r="K38" s="26">
        <f t="shared" si="11"/>
        <v>220292</v>
      </c>
      <c r="L38" s="26">
        <f t="shared" si="11"/>
        <v>248658</v>
      </c>
      <c r="M38" s="26">
        <f t="shared" si="11"/>
        <v>287333</v>
      </c>
    </row>
    <row r="39" ht="14.25" customHeight="1"/>
    <row r="40" ht="14.25" customHeight="1">
      <c r="A40" s="2" t="s">
        <v>293</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2" width="9.0"/>
    <col customWidth="1" min="3" max="3" width="10.0"/>
    <col customWidth="1" min="4" max="4" width="12.0"/>
    <col customWidth="1" min="5" max="5" width="8.0"/>
    <col customWidth="1" min="6" max="6" width="7.0"/>
    <col customWidth="1" min="7" max="16" width="10.0"/>
    <col customWidth="1" min="17" max="17" width="14.43"/>
    <col customWidth="1" min="18" max="18" width="12.71"/>
    <col customWidth="1" min="19" max="19" width="15.29"/>
    <col customWidth="1" min="20" max="20" width="11.0"/>
    <col customWidth="1" min="21" max="22" width="10.0"/>
    <col customWidth="1" min="23" max="23" width="12.0"/>
    <col customWidth="1" min="24" max="24" width="20.86"/>
    <col customWidth="1" min="25" max="25" width="45.0"/>
    <col customWidth="1" min="26" max="26" width="8.57"/>
  </cols>
  <sheetData>
    <row r="1" ht="14.25" customHeight="1">
      <c r="A1" s="1" t="s">
        <v>22</v>
      </c>
    </row>
    <row r="2" ht="14.25" customHeight="1">
      <c r="A2" s="2" t="s">
        <v>30</v>
      </c>
    </row>
    <row r="3" ht="14.25" customHeight="1"/>
    <row r="4" ht="14.25" customHeight="1">
      <c r="A4" s="3" t="s">
        <v>37</v>
      </c>
      <c r="H4" s="9" t="s">
        <v>44</v>
      </c>
      <c r="I4" s="10"/>
      <c r="J4" s="10"/>
      <c r="K4" s="10"/>
      <c r="L4" s="10"/>
      <c r="M4" s="10"/>
      <c r="N4" s="10"/>
      <c r="O4" s="12"/>
      <c r="P4" s="13" t="s">
        <v>66</v>
      </c>
      <c r="Q4" s="15"/>
      <c r="R4" s="15"/>
      <c r="S4" s="15"/>
      <c r="T4" s="15"/>
      <c r="U4" s="15"/>
      <c r="V4" s="15"/>
      <c r="W4" s="15"/>
      <c r="X4" s="15"/>
    </row>
    <row r="5" ht="60.0" customHeight="1">
      <c r="A5" s="4" t="s">
        <v>9</v>
      </c>
      <c r="B5" s="4" t="s">
        <v>12</v>
      </c>
      <c r="C5" s="4" t="s">
        <v>82</v>
      </c>
      <c r="D5" s="4" t="s">
        <v>85</v>
      </c>
      <c r="E5" s="4" t="s">
        <v>86</v>
      </c>
      <c r="F5" s="4" t="s">
        <v>88</v>
      </c>
      <c r="G5" s="18" t="s">
        <v>90</v>
      </c>
      <c r="H5" s="19" t="s">
        <v>95</v>
      </c>
      <c r="I5" s="4" t="s">
        <v>97</v>
      </c>
      <c r="J5" s="4" t="s">
        <v>98</v>
      </c>
      <c r="K5" s="4" t="s">
        <v>99</v>
      </c>
      <c r="L5" s="4" t="s">
        <v>102</v>
      </c>
      <c r="M5" s="4" t="s">
        <v>103</v>
      </c>
      <c r="N5" s="4" t="s">
        <v>104</v>
      </c>
      <c r="O5" s="22" t="s">
        <v>106</v>
      </c>
      <c r="P5" s="24" t="s">
        <v>111</v>
      </c>
      <c r="Q5" s="24" t="s">
        <v>116</v>
      </c>
      <c r="R5" s="24" t="s">
        <v>117</v>
      </c>
      <c r="S5" s="24" t="s">
        <v>118</v>
      </c>
      <c r="T5" s="24" t="s">
        <v>121</v>
      </c>
      <c r="U5" s="24" t="s">
        <v>123</v>
      </c>
      <c r="V5" s="24" t="s">
        <v>124</v>
      </c>
      <c r="W5" s="24" t="s">
        <v>126</v>
      </c>
      <c r="X5" s="24" t="s">
        <v>128</v>
      </c>
    </row>
    <row r="6" ht="14.25" customHeight="1">
      <c r="A6" s="7" t="s">
        <v>52</v>
      </c>
      <c r="B6" s="7" t="s">
        <v>38</v>
      </c>
      <c r="C6" s="27">
        <v>269.5</v>
      </c>
      <c r="D6" s="27">
        <v>385.5</v>
      </c>
      <c r="E6" s="28">
        <v>1.25</v>
      </c>
      <c r="F6" s="17" t="s">
        <v>138</v>
      </c>
      <c r="G6" s="29">
        <f>C6*D6*E6*Supuestos!$B$10/1000000</f>
        <v>1.022040009</v>
      </c>
      <c r="H6" s="30">
        <v>1220.0</v>
      </c>
      <c r="I6" s="8">
        <v>2440.0</v>
      </c>
      <c r="J6" s="16">
        <f t="shared" ref="J6:J12" si="1">INT(H6/C6)*INT(I6/D6)</f>
        <v>24</v>
      </c>
      <c r="K6" s="16">
        <f t="shared" ref="K6:K12" si="2">INT(H6/D6)*INT(I6/C6)</f>
        <v>27</v>
      </c>
      <c r="L6" s="32">
        <f t="shared" ref="L6:L12" si="3">MAX(J6,K6)</f>
        <v>27</v>
      </c>
      <c r="M6" s="34">
        <f t="shared" ref="M6:M12" si="4">L6*C6*D6/(H6*I6)</f>
        <v>0.9423175054</v>
      </c>
      <c r="N6" s="33">
        <f>H6*I6*E6*Supuestos!$B$10/1000000</f>
        <v>29.28427</v>
      </c>
      <c r="O6" s="36">
        <f t="shared" ref="O6:O12" si="5">IF(J6&gt;=K6,INT(H6/C6)*(1+INT(I6/D6)),INT(H6/D6)*(1+INT(I6/C6)))</f>
        <v>30</v>
      </c>
      <c r="P6" s="37">
        <v>1220.0</v>
      </c>
      <c r="Q6" s="39">
        <f>INT((P6-Supuestos!$B$11)/C6)</f>
        <v>4</v>
      </c>
      <c r="R6" s="41">
        <f t="shared" ref="R6:R12" si="6">Q6*C6/P6</f>
        <v>0.8836065574</v>
      </c>
      <c r="S6" s="39">
        <f>INT((P6-Supuestos!$B$11)/D6)</f>
        <v>3</v>
      </c>
      <c r="T6" s="41">
        <f t="shared" ref="T6:T12" si="7">S6*D6/P6</f>
        <v>0.9479508197</v>
      </c>
      <c r="U6" s="42">
        <f t="shared" ref="U6:U12" si="8">IF(R6&gt;=T6,Q6,S6)</f>
        <v>3</v>
      </c>
      <c r="V6" s="43">
        <f t="shared" ref="V6:V12" si="9">IF(R6&gt;=T6,D6,C6)</f>
        <v>269.5</v>
      </c>
      <c r="W6" s="44">
        <f>MAX(R6,T6)*(1-Supuestos!$B$12)</f>
        <v>0.9432110656</v>
      </c>
      <c r="X6" s="46" t="str">
        <f t="shared" ref="X6:X12" si="10">IF(R6&gt;=T6,"Alto a lo ancho","Perímetro a lo ancho")</f>
        <v>Perímetro a lo ancho</v>
      </c>
    </row>
    <row r="7" ht="14.25" customHeight="1">
      <c r="A7" s="7" t="s">
        <v>60</v>
      </c>
      <c r="B7" s="7" t="s">
        <v>38</v>
      </c>
      <c r="C7" s="27">
        <v>330.0</v>
      </c>
      <c r="D7" s="27">
        <v>474.5</v>
      </c>
      <c r="E7" s="28">
        <v>1.6</v>
      </c>
      <c r="F7" s="17" t="s">
        <v>138</v>
      </c>
      <c r="G7" s="29">
        <f>C7*D7*E7*Supuestos!$B$10/1000000</f>
        <v>1.97171832</v>
      </c>
      <c r="H7" s="30">
        <v>1000.0</v>
      </c>
      <c r="I7" s="8">
        <v>2000.0</v>
      </c>
      <c r="J7" s="16">
        <f t="shared" si="1"/>
        <v>12</v>
      </c>
      <c r="K7" s="16">
        <f t="shared" si="2"/>
        <v>12</v>
      </c>
      <c r="L7" s="32">
        <f t="shared" si="3"/>
        <v>12</v>
      </c>
      <c r="M7" s="34">
        <f t="shared" si="4"/>
        <v>0.93951</v>
      </c>
      <c r="N7" s="33">
        <f>H7*I7*E7*Supuestos!$B$10/1000000</f>
        <v>25.184</v>
      </c>
      <c r="O7" s="36">
        <f t="shared" si="5"/>
        <v>15</v>
      </c>
      <c r="P7" s="37">
        <v>1000.0</v>
      </c>
      <c r="Q7" s="39">
        <f>INT((P7-Supuestos!$B$11)/C7)</f>
        <v>3</v>
      </c>
      <c r="R7" s="41">
        <f t="shared" si="6"/>
        <v>0.99</v>
      </c>
      <c r="S7" s="39">
        <f>INT((P7-Supuestos!$B$11)/D7)</f>
        <v>2</v>
      </c>
      <c r="T7" s="41">
        <f t="shared" si="7"/>
        <v>0.949</v>
      </c>
      <c r="U7" s="42">
        <f t="shared" si="8"/>
        <v>3</v>
      </c>
      <c r="V7" s="43">
        <f t="shared" si="9"/>
        <v>474.5</v>
      </c>
      <c r="W7" s="44">
        <f>MAX(R7,T7)*(1-Supuestos!$B$12)</f>
        <v>0.98505</v>
      </c>
      <c r="X7" s="46" t="str">
        <f t="shared" si="10"/>
        <v>Alto a lo ancho</v>
      </c>
    </row>
    <row r="8" ht="14.25" customHeight="1">
      <c r="A8" s="7" t="s">
        <v>68</v>
      </c>
      <c r="B8" s="7" t="s">
        <v>38</v>
      </c>
      <c r="C8" s="27">
        <v>495.0</v>
      </c>
      <c r="D8" s="27">
        <v>563.0</v>
      </c>
      <c r="E8" s="28">
        <v>2.0</v>
      </c>
      <c r="F8" s="17" t="s">
        <v>138</v>
      </c>
      <c r="G8" s="29">
        <f>C8*D8*E8*Supuestos!$B$10/1000000</f>
        <v>4.3865019</v>
      </c>
      <c r="H8" s="30">
        <v>1500.0</v>
      </c>
      <c r="I8" s="8">
        <v>3000.0</v>
      </c>
      <c r="J8" s="16">
        <f t="shared" si="1"/>
        <v>15</v>
      </c>
      <c r="K8" s="16">
        <f t="shared" si="2"/>
        <v>12</v>
      </c>
      <c r="L8" s="32">
        <f t="shared" si="3"/>
        <v>15</v>
      </c>
      <c r="M8" s="34">
        <f t="shared" si="4"/>
        <v>0.92895</v>
      </c>
      <c r="N8" s="33">
        <f>H8*I8*E8*Supuestos!$B$10/1000000</f>
        <v>70.83</v>
      </c>
      <c r="O8" s="36">
        <f t="shared" si="5"/>
        <v>18</v>
      </c>
      <c r="P8" s="37">
        <v>1000.0</v>
      </c>
      <c r="Q8" s="39">
        <f>INT((P8-Supuestos!$B$11)/C8)</f>
        <v>2</v>
      </c>
      <c r="R8" s="41">
        <f t="shared" si="6"/>
        <v>0.99</v>
      </c>
      <c r="S8" s="39">
        <f>INT((P8-Supuestos!$B$11)/D8)</f>
        <v>1</v>
      </c>
      <c r="T8" s="41">
        <f t="shared" si="7"/>
        <v>0.563</v>
      </c>
      <c r="U8" s="42">
        <f t="shared" si="8"/>
        <v>2</v>
      </c>
      <c r="V8" s="43">
        <f t="shared" si="9"/>
        <v>563</v>
      </c>
      <c r="W8" s="44">
        <f>MAX(R8,T8)*(1-Supuestos!$B$12)</f>
        <v>0.98505</v>
      </c>
      <c r="X8" s="46" t="str">
        <f t="shared" si="10"/>
        <v>Alto a lo ancho</v>
      </c>
    </row>
    <row r="9" ht="14.25" customHeight="1">
      <c r="A9" s="7" t="s">
        <v>69</v>
      </c>
      <c r="B9" s="7" t="s">
        <v>70</v>
      </c>
      <c r="C9" s="27">
        <v>490.0</v>
      </c>
      <c r="D9" s="27">
        <v>858.0</v>
      </c>
      <c r="E9" s="28">
        <v>3.2</v>
      </c>
      <c r="F9" s="17" t="s">
        <v>295</v>
      </c>
      <c r="G9" s="29">
        <f>C9*D9*E9*Supuestos!$B$10/1000000</f>
        <v>10.58785728</v>
      </c>
      <c r="H9" s="30">
        <v>1500.0</v>
      </c>
      <c r="I9" s="8">
        <v>3000.0</v>
      </c>
      <c r="J9" s="16">
        <f t="shared" si="1"/>
        <v>9</v>
      </c>
      <c r="K9" s="16">
        <f t="shared" si="2"/>
        <v>6</v>
      </c>
      <c r="L9" s="32">
        <f t="shared" si="3"/>
        <v>9</v>
      </c>
      <c r="M9" s="34">
        <f t="shared" si="4"/>
        <v>0.84084</v>
      </c>
      <c r="N9" s="33">
        <f>H9*I9*E9*Supuestos!$B$10/1000000</f>
        <v>113.328</v>
      </c>
      <c r="O9" s="36">
        <f t="shared" si="5"/>
        <v>12</v>
      </c>
      <c r="P9" s="37">
        <v>1500.0</v>
      </c>
      <c r="Q9" s="39">
        <f>INT((P9-Supuestos!$B$11)/C9)</f>
        <v>3</v>
      </c>
      <c r="R9" s="41">
        <f t="shared" si="6"/>
        <v>0.98</v>
      </c>
      <c r="S9" s="39">
        <f>INT((P9-Supuestos!$B$11)/D9)</f>
        <v>1</v>
      </c>
      <c r="T9" s="41">
        <f t="shared" si="7"/>
        <v>0.572</v>
      </c>
      <c r="U9" s="42">
        <f t="shared" si="8"/>
        <v>3</v>
      </c>
      <c r="V9" s="43">
        <f t="shared" si="9"/>
        <v>858</v>
      </c>
      <c r="W9" s="44">
        <f>MAX(R9,T9)*(1-Supuestos!$B$12)</f>
        <v>0.9751</v>
      </c>
      <c r="X9" s="46" t="str">
        <f t="shared" si="10"/>
        <v>Alto a lo ancho</v>
      </c>
    </row>
    <row r="10" ht="14.25" customHeight="1">
      <c r="A10" s="7" t="s">
        <v>71</v>
      </c>
      <c r="B10" s="7" t="s">
        <v>70</v>
      </c>
      <c r="C10" s="27">
        <v>640.0</v>
      </c>
      <c r="D10" s="27">
        <v>994.0</v>
      </c>
      <c r="E10" s="28">
        <v>3.2</v>
      </c>
      <c r="F10" s="17" t="s">
        <v>295</v>
      </c>
      <c r="G10" s="29">
        <f>C10*D10*E10*Supuestos!$B$10/1000000</f>
        <v>16.02105344</v>
      </c>
      <c r="H10" s="30">
        <v>1500.0</v>
      </c>
      <c r="I10" s="8">
        <v>3000.0</v>
      </c>
      <c r="J10" s="16">
        <f t="shared" si="1"/>
        <v>6</v>
      </c>
      <c r="K10" s="16">
        <f t="shared" si="2"/>
        <v>4</v>
      </c>
      <c r="L10" s="32">
        <f t="shared" si="3"/>
        <v>6</v>
      </c>
      <c r="M10" s="34">
        <f t="shared" si="4"/>
        <v>0.8482133333</v>
      </c>
      <c r="N10" s="33">
        <f>H10*I10*E10*Supuestos!$B$10/1000000</f>
        <v>113.328</v>
      </c>
      <c r="O10" s="36">
        <f t="shared" si="5"/>
        <v>8</v>
      </c>
      <c r="P10" s="37">
        <v>1500.0</v>
      </c>
      <c r="Q10" s="39">
        <f>INT((P10-Supuestos!$B$11)/C10)</f>
        <v>2</v>
      </c>
      <c r="R10" s="41">
        <f t="shared" si="6"/>
        <v>0.8533333333</v>
      </c>
      <c r="S10" s="39">
        <f>INT((P10-Supuestos!$B$11)/D10)</f>
        <v>1</v>
      </c>
      <c r="T10" s="41">
        <f t="shared" si="7"/>
        <v>0.6626666667</v>
      </c>
      <c r="U10" s="42">
        <f t="shared" si="8"/>
        <v>2</v>
      </c>
      <c r="V10" s="43">
        <f t="shared" si="9"/>
        <v>994</v>
      </c>
      <c r="W10" s="44">
        <f>MAX(R10,T10)*(1-Supuestos!$B$12)</f>
        <v>0.8490666667</v>
      </c>
      <c r="X10" s="46" t="str">
        <f t="shared" si="10"/>
        <v>Alto a lo ancho</v>
      </c>
    </row>
    <row r="11" ht="14.25" customHeight="1">
      <c r="A11" s="7" t="s">
        <v>76</v>
      </c>
      <c r="B11" s="7" t="s">
        <v>70</v>
      </c>
      <c r="C11" s="27">
        <v>680.0</v>
      </c>
      <c r="D11" s="27">
        <v>1212.0</v>
      </c>
      <c r="E11" s="28">
        <v>4.75</v>
      </c>
      <c r="F11" s="17" t="s">
        <v>295</v>
      </c>
      <c r="G11" s="29">
        <f>C11*D11*E11*Supuestos!$B$10/1000000</f>
        <v>30.8091612</v>
      </c>
      <c r="H11" s="30">
        <v>1500.0</v>
      </c>
      <c r="I11" s="8">
        <v>3000.0</v>
      </c>
      <c r="J11" s="16">
        <f t="shared" si="1"/>
        <v>4</v>
      </c>
      <c r="K11" s="16">
        <f t="shared" si="2"/>
        <v>4</v>
      </c>
      <c r="L11" s="32">
        <f t="shared" si="3"/>
        <v>4</v>
      </c>
      <c r="M11" s="34">
        <f t="shared" si="4"/>
        <v>0.7325866667</v>
      </c>
      <c r="N11" s="33">
        <f>H11*I11*E11*Supuestos!$B$10/1000000</f>
        <v>168.22125</v>
      </c>
      <c r="O11" s="36">
        <f t="shared" si="5"/>
        <v>6</v>
      </c>
      <c r="P11" s="37">
        <v>1245.0</v>
      </c>
      <c r="Q11" s="39">
        <f>INT((P11-Supuestos!$B$11)/C11)</f>
        <v>1</v>
      </c>
      <c r="R11" s="41">
        <f t="shared" si="6"/>
        <v>0.546184739</v>
      </c>
      <c r="S11" s="39">
        <f>INT((P11-Supuestos!$B$11)/D11)</f>
        <v>1</v>
      </c>
      <c r="T11" s="41">
        <f t="shared" si="7"/>
        <v>0.9734939759</v>
      </c>
      <c r="U11" s="42">
        <f t="shared" si="8"/>
        <v>1</v>
      </c>
      <c r="V11" s="43">
        <f t="shared" si="9"/>
        <v>680</v>
      </c>
      <c r="W11" s="44">
        <f>MAX(R11,T11)*(1-Supuestos!$B$12)</f>
        <v>0.968626506</v>
      </c>
      <c r="X11" s="46" t="str">
        <f t="shared" si="10"/>
        <v>Perímetro a lo ancho</v>
      </c>
    </row>
    <row r="12" ht="14.25" customHeight="1">
      <c r="A12" s="7" t="s">
        <v>83</v>
      </c>
      <c r="B12" s="7" t="s">
        <v>70</v>
      </c>
      <c r="C12" s="27">
        <v>900.0</v>
      </c>
      <c r="D12" s="27">
        <v>1212.0</v>
      </c>
      <c r="E12" s="28">
        <v>4.75</v>
      </c>
      <c r="F12" s="17" t="s">
        <v>295</v>
      </c>
      <c r="G12" s="29">
        <f>C12*D12*E12*Supuestos!$B$10/1000000</f>
        <v>40.776831</v>
      </c>
      <c r="H12" s="53">
        <v>1500.0</v>
      </c>
      <c r="I12" s="54">
        <v>3000.0</v>
      </c>
      <c r="J12" s="55">
        <f t="shared" si="1"/>
        <v>2</v>
      </c>
      <c r="K12" s="55">
        <f t="shared" si="2"/>
        <v>3</v>
      </c>
      <c r="L12" s="56">
        <f t="shared" si="3"/>
        <v>3</v>
      </c>
      <c r="M12" s="57">
        <f t="shared" si="4"/>
        <v>0.7272</v>
      </c>
      <c r="N12" s="59">
        <f>H12*I12*E12*Supuestos!$B$10/1000000</f>
        <v>168.22125</v>
      </c>
      <c r="O12" s="60">
        <f t="shared" si="5"/>
        <v>4</v>
      </c>
      <c r="P12" s="37">
        <v>1245.0</v>
      </c>
      <c r="Q12" s="39">
        <f>INT((P12-Supuestos!$B$11)/C12)</f>
        <v>1</v>
      </c>
      <c r="R12" s="41">
        <f t="shared" si="6"/>
        <v>0.7228915663</v>
      </c>
      <c r="S12" s="39">
        <f>INT((P12-Supuestos!$B$11)/D12)</f>
        <v>1</v>
      </c>
      <c r="T12" s="41">
        <f t="shared" si="7"/>
        <v>0.9734939759</v>
      </c>
      <c r="U12" s="42">
        <f t="shared" si="8"/>
        <v>1</v>
      </c>
      <c r="V12" s="43">
        <f t="shared" si="9"/>
        <v>900</v>
      </c>
      <c r="W12" s="44">
        <f>MAX(R12,T12)*(1-Supuestos!$B$12)</f>
        <v>0.968626506</v>
      </c>
      <c r="X12" s="46" t="str">
        <f t="shared" si="10"/>
        <v>Perímetro a lo ancho</v>
      </c>
    </row>
    <row r="13" ht="14.25" customHeight="1"/>
    <row r="14" ht="14.25" customHeight="1">
      <c r="A14" s="3" t="s">
        <v>344</v>
      </c>
    </row>
    <row r="15" ht="14.25" customHeight="1">
      <c r="A15" s="62" t="s">
        <v>345</v>
      </c>
      <c r="B15" s="63"/>
      <c r="C15" s="63"/>
      <c r="D15" s="63"/>
      <c r="E15" s="63"/>
      <c r="F15" s="64"/>
      <c r="G15" s="8">
        <v>1.0</v>
      </c>
    </row>
    <row r="16" ht="14.25" customHeight="1">
      <c r="A16" s="62" t="s">
        <v>348</v>
      </c>
      <c r="B16" s="63"/>
      <c r="C16" s="63"/>
      <c r="D16" s="63"/>
      <c r="E16" s="63"/>
      <c r="F16" s="64"/>
      <c r="G16" s="8">
        <v>3.0</v>
      </c>
    </row>
    <row r="17" ht="14.25" customHeight="1">
      <c r="A17" s="62" t="s">
        <v>350</v>
      </c>
      <c r="B17" s="63"/>
      <c r="C17" s="63"/>
      <c r="D17" s="63"/>
      <c r="E17" s="63"/>
      <c r="F17" s="64"/>
      <c r="G17" s="16">
        <f>G15*C12+G16*C11</f>
        <v>2940</v>
      </c>
    </row>
    <row r="18" ht="14.25" customHeight="1">
      <c r="A18" s="62" t="s">
        <v>352</v>
      </c>
      <c r="B18" s="63"/>
      <c r="C18" s="63"/>
      <c r="D18" s="63"/>
      <c r="E18" s="63"/>
      <c r="F18" s="64"/>
      <c r="G18" s="7" t="str">
        <f>IF(AND(D11&lt;=H11,D12&lt;=H11,G17&lt;=I11,E11=E12),"SI","NO")</f>
        <v>SI</v>
      </c>
    </row>
    <row r="19" ht="14.25" customHeight="1">
      <c r="A19" s="62" t="s">
        <v>354</v>
      </c>
      <c r="B19" s="63"/>
      <c r="C19" s="63"/>
      <c r="D19" s="63"/>
      <c r="E19" s="63"/>
      <c r="F19" s="64"/>
      <c r="G19" s="51">
        <f>(G15*C12*D12+G16*C11*D11)/(H11*I11)</f>
        <v>0.79184</v>
      </c>
    </row>
    <row r="20" ht="14.25" customHeight="1">
      <c r="A20" s="62" t="s">
        <v>356</v>
      </c>
      <c r="B20" s="63"/>
      <c r="C20" s="63"/>
      <c r="D20" s="63"/>
      <c r="E20" s="63"/>
      <c r="F20" s="64"/>
      <c r="G20" s="33">
        <f>N11</f>
        <v>168.22125</v>
      </c>
    </row>
    <row r="21" ht="14.25" customHeight="1">
      <c r="A21" s="62" t="s">
        <v>357</v>
      </c>
      <c r="B21" s="63"/>
      <c r="C21" s="63"/>
      <c r="D21" s="63"/>
      <c r="E21" s="63"/>
      <c r="F21" s="64"/>
      <c r="G21" s="16">
        <f>1+G15+G16</f>
        <v>5</v>
      </c>
    </row>
    <row r="22" ht="14.25" customHeight="1">
      <c r="A22" s="62" t="s">
        <v>363</v>
      </c>
      <c r="B22" s="63"/>
      <c r="C22" s="63"/>
      <c r="D22" s="63"/>
      <c r="E22" s="63"/>
      <c r="F22" s="64"/>
      <c r="G22" s="7" t="str">
        <f>IF(AND(Supuestos!$B$14="SI",G18="SI"),"SI","NO")</f>
        <v>SI</v>
      </c>
    </row>
    <row r="23" ht="14.25" customHeight="1"/>
    <row r="24" ht="14.25" customHeight="1">
      <c r="A24" s="3" t="s">
        <v>375</v>
      </c>
      <c r="J24" s="3" t="s">
        <v>377</v>
      </c>
    </row>
    <row r="25" ht="60.0" customHeight="1">
      <c r="A25" s="4" t="s">
        <v>9</v>
      </c>
      <c r="B25" s="4" t="s">
        <v>380</v>
      </c>
      <c r="C25" s="4" t="s">
        <v>381</v>
      </c>
      <c r="D25" s="4" t="s">
        <v>86</v>
      </c>
      <c r="E25" s="4" t="s">
        <v>88</v>
      </c>
      <c r="F25" s="4" t="s">
        <v>382</v>
      </c>
      <c r="G25" s="4" t="s">
        <v>383</v>
      </c>
      <c r="H25" s="4" t="s">
        <v>384</v>
      </c>
      <c r="I25" s="4" t="s">
        <v>385</v>
      </c>
      <c r="J25" s="4" t="s">
        <v>95</v>
      </c>
      <c r="K25" s="4" t="s">
        <v>97</v>
      </c>
      <c r="L25" s="4" t="s">
        <v>386</v>
      </c>
      <c r="M25" s="4" t="s">
        <v>387</v>
      </c>
      <c r="N25" s="4" t="s">
        <v>388</v>
      </c>
      <c r="O25" s="4" t="s">
        <v>389</v>
      </c>
      <c r="P25" s="4" t="s">
        <v>390</v>
      </c>
      <c r="Q25" s="4" t="s">
        <v>391</v>
      </c>
      <c r="R25" s="4" t="s">
        <v>392</v>
      </c>
      <c r="S25" s="4" t="s">
        <v>103</v>
      </c>
      <c r="T25" s="4" t="s">
        <v>104</v>
      </c>
      <c r="U25" s="4" t="s">
        <v>394</v>
      </c>
      <c r="V25" s="4" t="s">
        <v>395</v>
      </c>
      <c r="W25" s="4" t="s">
        <v>396</v>
      </c>
      <c r="X25" s="4" t="s">
        <v>397</v>
      </c>
      <c r="Y25" s="4" t="s">
        <v>200</v>
      </c>
    </row>
    <row r="26" ht="30.0" customHeight="1">
      <c r="A26" s="7" t="s">
        <v>33</v>
      </c>
      <c r="B26" s="7" t="s">
        <v>398</v>
      </c>
      <c r="C26" s="27">
        <v>108.0</v>
      </c>
      <c r="D26" s="28">
        <v>0.9</v>
      </c>
      <c r="E26" s="17" t="s">
        <v>138</v>
      </c>
      <c r="F26" s="49">
        <f>PI()*C26^2/4*D26*Supuestos!$B$10/1000000</f>
        <v>0.06488654263</v>
      </c>
      <c r="G26" s="50">
        <f>C26+2*Supuestos!$B$13</f>
        <v>114</v>
      </c>
      <c r="H26" s="50">
        <f>C26+Supuestos!$B$13</f>
        <v>111</v>
      </c>
      <c r="I26" s="34">
        <f>PI()*C26^2/4/(G26*H26)*(1-Supuestos!$B$12)</f>
        <v>0.7203318917</v>
      </c>
      <c r="J26" s="8">
        <v>1220.0</v>
      </c>
      <c r="K26" s="8">
        <v>2440.0</v>
      </c>
      <c r="L26" s="16">
        <f t="shared" ref="L26:L33" si="11">INT(J26/G26)</f>
        <v>10</v>
      </c>
      <c r="M26" s="16">
        <f>INT((K26-Supuestos!$B$13)/H26)</f>
        <v>21</v>
      </c>
      <c r="N26" s="16">
        <f t="shared" ref="N26:N33" si="12">L26*M26</f>
        <v>210</v>
      </c>
      <c r="O26" s="16">
        <f t="shared" ref="O26:O33" si="13">INT(K26/G26)</f>
        <v>21</v>
      </c>
      <c r="P26" s="16">
        <f>INT((J26-Supuestos!$B$13)/H26)</f>
        <v>10</v>
      </c>
      <c r="Q26" s="16">
        <f t="shared" ref="Q26:Q33" si="14">O26*P26</f>
        <v>210</v>
      </c>
      <c r="R26" s="32">
        <f t="shared" ref="R26:R33" si="15">MAX(N26,Q26)</f>
        <v>210</v>
      </c>
      <c r="S26" s="34">
        <f t="shared" ref="S26:S33" si="16">R26*PI()*C26^2/4/(J26*K26)</f>
        <v>0.6462596336</v>
      </c>
      <c r="T26" s="33">
        <f>J26*K26*D26*Supuestos!$B$10/1000000</f>
        <v>21.0846744</v>
      </c>
      <c r="U26" s="16">
        <f t="shared" ref="U26:U33" si="17">IF(N26&gt;=Q26,L26,O26)</f>
        <v>10</v>
      </c>
      <c r="V26" s="16">
        <f t="shared" ref="V26:V33" si="18">IF(N26&gt;=Q26,M26,P26)</f>
        <v>21</v>
      </c>
      <c r="W26" s="21">
        <v>114.0</v>
      </c>
      <c r="X26" s="34">
        <f>IF(W26&lt;C26,0,PI()*C26^2/4/(W26*H26)*(1-Supuestos!$B$12))</f>
        <v>0.7203318917</v>
      </c>
      <c r="Y26" s="6" t="s">
        <v>403</v>
      </c>
    </row>
    <row r="27" ht="30.0" customHeight="1">
      <c r="A27" s="7" t="s">
        <v>33</v>
      </c>
      <c r="B27" s="7" t="s">
        <v>404</v>
      </c>
      <c r="C27" s="27">
        <v>100.0</v>
      </c>
      <c r="D27" s="28">
        <v>0.9</v>
      </c>
      <c r="E27" s="17" t="s">
        <v>138</v>
      </c>
      <c r="F27" s="49">
        <f>PI()*C27^2/4*D27*Supuestos!$B$10/1000000</f>
        <v>0.05562975191</v>
      </c>
      <c r="G27" s="50">
        <f>C27+2*Supuestos!$B$13</f>
        <v>106</v>
      </c>
      <c r="H27" s="50">
        <f>C27+Supuestos!$B$13</f>
        <v>103</v>
      </c>
      <c r="I27" s="34">
        <f>PI()*C27^2/4/(G27*H27)*(1-Supuestos!$B$12)</f>
        <v>0.7157640342</v>
      </c>
      <c r="J27" s="8">
        <v>1000.0</v>
      </c>
      <c r="K27" s="8">
        <v>2000.0</v>
      </c>
      <c r="L27" s="16">
        <f t="shared" si="11"/>
        <v>9</v>
      </c>
      <c r="M27" s="16">
        <f>INT((K27-Supuestos!$B$13)/H27)</f>
        <v>19</v>
      </c>
      <c r="N27" s="16">
        <f t="shared" si="12"/>
        <v>171</v>
      </c>
      <c r="O27" s="16">
        <f t="shared" si="13"/>
        <v>18</v>
      </c>
      <c r="P27" s="16">
        <f>INT((J27-Supuestos!$B$13)/H27)</f>
        <v>9</v>
      </c>
      <c r="Q27" s="16">
        <f t="shared" si="14"/>
        <v>162</v>
      </c>
      <c r="R27" s="32">
        <f t="shared" si="15"/>
        <v>171</v>
      </c>
      <c r="S27" s="34">
        <f t="shared" si="16"/>
        <v>0.6715154297</v>
      </c>
      <c r="T27" s="33">
        <f>J27*K27*D27*Supuestos!$B$10/1000000</f>
        <v>14.166</v>
      </c>
      <c r="U27" s="16">
        <f t="shared" si="17"/>
        <v>9</v>
      </c>
      <c r="V27" s="16">
        <f t="shared" si="18"/>
        <v>19</v>
      </c>
      <c r="W27" s="21">
        <v>106.0</v>
      </c>
      <c r="X27" s="34">
        <f>IF(W27&lt;C27,0,PI()*C27^2/4/(W27*H27)*(1-Supuestos!$B$12))</f>
        <v>0.7157640342</v>
      </c>
      <c r="Y27" s="6" t="s">
        <v>407</v>
      </c>
    </row>
    <row r="28" ht="30.0" customHeight="1">
      <c r="A28" s="7" t="s">
        <v>52</v>
      </c>
      <c r="B28" s="7" t="s">
        <v>398</v>
      </c>
      <c r="C28" s="27">
        <v>179.0</v>
      </c>
      <c r="D28" s="28">
        <v>1.25</v>
      </c>
      <c r="E28" s="17" t="s">
        <v>138</v>
      </c>
      <c r="F28" s="49">
        <f>PI()*C28^2/4*D28*Supuestos!$B$10/1000000</f>
        <v>0.2475601224</v>
      </c>
      <c r="G28" s="50">
        <f>C28+2*Supuestos!$B$13</f>
        <v>185</v>
      </c>
      <c r="H28" s="50">
        <f>C28+Supuestos!$B$13</f>
        <v>182</v>
      </c>
      <c r="I28" s="34">
        <f>PI()*C28^2/4/(G28*H28)*(1-Supuestos!$B$12)</f>
        <v>0.7436625435</v>
      </c>
      <c r="J28" s="8">
        <v>1220.0</v>
      </c>
      <c r="K28" s="8">
        <v>2440.0</v>
      </c>
      <c r="L28" s="16">
        <f t="shared" si="11"/>
        <v>6</v>
      </c>
      <c r="M28" s="16">
        <f>INT((K28-Supuestos!$B$13)/H28)</f>
        <v>13</v>
      </c>
      <c r="N28" s="16">
        <f t="shared" si="12"/>
        <v>78</v>
      </c>
      <c r="O28" s="16">
        <f t="shared" si="13"/>
        <v>13</v>
      </c>
      <c r="P28" s="16">
        <f>INT((J28-Supuestos!$B$13)/H28)</f>
        <v>6</v>
      </c>
      <c r="Q28" s="16">
        <f t="shared" si="14"/>
        <v>78</v>
      </c>
      <c r="R28" s="32">
        <f t="shared" si="15"/>
        <v>78</v>
      </c>
      <c r="S28" s="34">
        <f t="shared" si="16"/>
        <v>0.6593877718</v>
      </c>
      <c r="T28" s="33">
        <f>J28*K28*D28*Supuestos!$B$10/1000000</f>
        <v>29.28427</v>
      </c>
      <c r="U28" s="16">
        <f t="shared" si="17"/>
        <v>6</v>
      </c>
      <c r="V28" s="16">
        <f t="shared" si="18"/>
        <v>13</v>
      </c>
      <c r="W28" s="21">
        <v>200.0</v>
      </c>
      <c r="X28" s="34">
        <f>IF(W28&lt;C28,0,PI()*C28^2/4/(W28*H28)*(1-Supuestos!$B$12))</f>
        <v>0.6878878528</v>
      </c>
      <c r="Y28" s="6" t="s">
        <v>413</v>
      </c>
    </row>
    <row r="29" ht="30.0" customHeight="1">
      <c r="A29" s="7" t="s">
        <v>52</v>
      </c>
      <c r="B29" s="7" t="s">
        <v>404</v>
      </c>
      <c r="C29" s="27">
        <v>148.0</v>
      </c>
      <c r="D29" s="28">
        <v>1.25</v>
      </c>
      <c r="E29" s="17" t="s">
        <v>138</v>
      </c>
      <c r="F29" s="49">
        <f>PI()*C29^2/4*D29*Supuestos!$B$10/1000000</f>
        <v>0.1692380675</v>
      </c>
      <c r="G29" s="50">
        <f>C29+2*Supuestos!$B$13</f>
        <v>154</v>
      </c>
      <c r="H29" s="50">
        <f>C29+Supuestos!$B$13</f>
        <v>151</v>
      </c>
      <c r="I29" s="34">
        <f>PI()*C29^2/4/(G29*H29)*(1-Supuestos!$B$12)</f>
        <v>0.7361032323</v>
      </c>
      <c r="J29" s="8">
        <v>1220.0</v>
      </c>
      <c r="K29" s="8">
        <v>2440.0</v>
      </c>
      <c r="L29" s="16">
        <f t="shared" si="11"/>
        <v>7</v>
      </c>
      <c r="M29" s="16">
        <f>INT((K29-Supuestos!$B$13)/H29)</f>
        <v>16</v>
      </c>
      <c r="N29" s="16">
        <f t="shared" si="12"/>
        <v>112</v>
      </c>
      <c r="O29" s="16">
        <f t="shared" si="13"/>
        <v>15</v>
      </c>
      <c r="P29" s="16">
        <f>INT((J29-Supuestos!$B$13)/H29)</f>
        <v>8</v>
      </c>
      <c r="Q29" s="16">
        <f t="shared" si="14"/>
        <v>120</v>
      </c>
      <c r="R29" s="32">
        <f t="shared" si="15"/>
        <v>120</v>
      </c>
      <c r="S29" s="34">
        <f t="shared" si="16"/>
        <v>0.6934975022</v>
      </c>
      <c r="T29" s="33">
        <f>J29*K29*D29*Supuestos!$B$10/1000000</f>
        <v>29.28427</v>
      </c>
      <c r="U29" s="16">
        <f t="shared" si="17"/>
        <v>15</v>
      </c>
      <c r="V29" s="16">
        <f t="shared" si="18"/>
        <v>8</v>
      </c>
      <c r="W29" s="21">
        <v>200.0</v>
      </c>
      <c r="X29" s="34">
        <f>IF(W29&lt;C29,0,PI()*C29^2/4/(W29*H29)*(1-Supuestos!$B$12))</f>
        <v>0.5667994889</v>
      </c>
      <c r="Y29" s="6" t="s">
        <v>413</v>
      </c>
    </row>
    <row r="30" ht="30.0" customHeight="1">
      <c r="A30" s="7" t="s">
        <v>60</v>
      </c>
      <c r="B30" s="7" t="s">
        <v>398</v>
      </c>
      <c r="C30" s="27">
        <v>221.0</v>
      </c>
      <c r="D30" s="28">
        <v>1.6</v>
      </c>
      <c r="E30" s="17" t="s">
        <v>138</v>
      </c>
      <c r="F30" s="49">
        <f>PI()*C30^2/4*D30*Supuestos!$B$10/1000000</f>
        <v>0.4830244823</v>
      </c>
      <c r="G30" s="50">
        <f>C30+2*Supuestos!$B$13</f>
        <v>227</v>
      </c>
      <c r="H30" s="50">
        <f>C30+Supuestos!$B$13</f>
        <v>224</v>
      </c>
      <c r="I30" s="34">
        <f>PI()*C30^2/4/(G30*H30)*(1-Supuestos!$B$12)</f>
        <v>0.7506260529</v>
      </c>
      <c r="J30" s="8">
        <v>1220.0</v>
      </c>
      <c r="K30" s="8">
        <v>2440.0</v>
      </c>
      <c r="L30" s="16">
        <f t="shared" si="11"/>
        <v>5</v>
      </c>
      <c r="M30" s="16">
        <f>INT((K30-Supuestos!$B$13)/H30)</f>
        <v>10</v>
      </c>
      <c r="N30" s="16">
        <f t="shared" si="12"/>
        <v>50</v>
      </c>
      <c r="O30" s="16">
        <f t="shared" si="13"/>
        <v>10</v>
      </c>
      <c r="P30" s="16">
        <f>INT((J30-Supuestos!$B$13)/H30)</f>
        <v>5</v>
      </c>
      <c r="Q30" s="16">
        <f t="shared" si="14"/>
        <v>50</v>
      </c>
      <c r="R30" s="32">
        <f t="shared" si="15"/>
        <v>50</v>
      </c>
      <c r="S30" s="34">
        <f t="shared" si="16"/>
        <v>0.6443098579</v>
      </c>
      <c r="T30" s="33">
        <f>J30*K30*D30*Supuestos!$B$10/1000000</f>
        <v>37.4838656</v>
      </c>
      <c r="U30" s="16">
        <f t="shared" si="17"/>
        <v>5</v>
      </c>
      <c r="V30" s="16">
        <f t="shared" si="18"/>
        <v>10</v>
      </c>
      <c r="W30" s="21">
        <v>250.0</v>
      </c>
      <c r="X30" s="34">
        <f>IF(W30&lt;C30,0,PI()*C30^2/4/(W30*H30)*(1-Supuestos!$B$12))</f>
        <v>0.6815684561</v>
      </c>
      <c r="Y30" s="6" t="s">
        <v>413</v>
      </c>
    </row>
    <row r="31" ht="30.0" customHeight="1">
      <c r="A31" s="7" t="s">
        <v>60</v>
      </c>
      <c r="B31" s="7" t="s">
        <v>404</v>
      </c>
      <c r="C31" s="27">
        <v>177.0</v>
      </c>
      <c r="D31" s="28">
        <v>1.6</v>
      </c>
      <c r="E31" s="17" t="s">
        <v>138</v>
      </c>
      <c r="F31" s="49">
        <f>PI()*C31^2/4*D31*Supuestos!$B$10/1000000</f>
        <v>0.3098354663</v>
      </c>
      <c r="G31" s="50">
        <f>C31+2*Supuestos!$B$13</f>
        <v>183</v>
      </c>
      <c r="H31" s="50">
        <f>C31+Supuestos!$B$13</f>
        <v>180</v>
      </c>
      <c r="I31" s="34">
        <f>PI()*C31^2/4/(G31*H31)*(1-Supuestos!$B$12)</f>
        <v>0.7432516808</v>
      </c>
      <c r="J31" s="8">
        <v>1000.0</v>
      </c>
      <c r="K31" s="8">
        <v>2000.0</v>
      </c>
      <c r="L31" s="16">
        <f t="shared" si="11"/>
        <v>5</v>
      </c>
      <c r="M31" s="16">
        <f>INT((K31-Supuestos!$B$13)/H31)</f>
        <v>11</v>
      </c>
      <c r="N31" s="16">
        <f t="shared" si="12"/>
        <v>55</v>
      </c>
      <c r="O31" s="16">
        <f t="shared" si="13"/>
        <v>10</v>
      </c>
      <c r="P31" s="16">
        <f>INT((J31-Supuestos!$B$13)/H31)</f>
        <v>5</v>
      </c>
      <c r="Q31" s="16">
        <f t="shared" si="14"/>
        <v>50</v>
      </c>
      <c r="R31" s="32">
        <f t="shared" si="15"/>
        <v>55</v>
      </c>
      <c r="S31" s="34">
        <f t="shared" si="16"/>
        <v>0.6766578242</v>
      </c>
      <c r="T31" s="33">
        <f>J31*K31*D31*Supuestos!$B$10/1000000</f>
        <v>25.184</v>
      </c>
      <c r="U31" s="16">
        <f t="shared" si="17"/>
        <v>5</v>
      </c>
      <c r="V31" s="16">
        <f t="shared" si="18"/>
        <v>11</v>
      </c>
      <c r="W31" s="21">
        <v>200.0</v>
      </c>
      <c r="X31" s="34">
        <f>IF(W31&lt;C31,0,PI()*C31^2/4/(W31*H31)*(1-Supuestos!$B$12))</f>
        <v>0.6800752879</v>
      </c>
      <c r="Y31" s="6" t="s">
        <v>413</v>
      </c>
    </row>
    <row r="32" ht="30.0" customHeight="1">
      <c r="A32" s="7" t="s">
        <v>68</v>
      </c>
      <c r="B32" s="7" t="s">
        <v>398</v>
      </c>
      <c r="C32" s="27">
        <v>258.0</v>
      </c>
      <c r="D32" s="28">
        <v>2.0</v>
      </c>
      <c r="E32" s="17" t="s">
        <v>138</v>
      </c>
      <c r="F32" s="49">
        <f>PI()*C32^2/4*D32*Supuestos!$B$10/1000000</f>
        <v>0.8228752903</v>
      </c>
      <c r="G32" s="50">
        <f>C32+2*Supuestos!$B$13</f>
        <v>264</v>
      </c>
      <c r="H32" s="50">
        <f>C32+Supuestos!$B$13</f>
        <v>261</v>
      </c>
      <c r="I32" s="34">
        <f>PI()*C32^2/4/(G32*H32)*(1-Supuestos!$B$12)</f>
        <v>0.7549321829</v>
      </c>
      <c r="J32" s="8">
        <v>1500.0</v>
      </c>
      <c r="K32" s="8">
        <v>3000.0</v>
      </c>
      <c r="L32" s="16">
        <f t="shared" si="11"/>
        <v>5</v>
      </c>
      <c r="M32" s="16">
        <f>INT((K32-Supuestos!$B$13)/H32)</f>
        <v>11</v>
      </c>
      <c r="N32" s="16">
        <f t="shared" si="12"/>
        <v>55</v>
      </c>
      <c r="O32" s="16">
        <f t="shared" si="13"/>
        <v>11</v>
      </c>
      <c r="P32" s="16">
        <f>INT((J32-Supuestos!$B$13)/H32)</f>
        <v>5</v>
      </c>
      <c r="Q32" s="16">
        <f t="shared" si="14"/>
        <v>55</v>
      </c>
      <c r="R32" s="32">
        <f t="shared" si="15"/>
        <v>55</v>
      </c>
      <c r="S32" s="34">
        <f t="shared" si="16"/>
        <v>0.6389685298</v>
      </c>
      <c r="T32" s="33">
        <f>J32*K32*D32*Supuestos!$B$10/1000000</f>
        <v>70.83</v>
      </c>
      <c r="U32" s="16">
        <f t="shared" si="17"/>
        <v>5</v>
      </c>
      <c r="V32" s="16">
        <f t="shared" si="18"/>
        <v>11</v>
      </c>
      <c r="W32" s="21">
        <v>300.0</v>
      </c>
      <c r="X32" s="34">
        <f>IF(W32&lt;C32,0,PI()*C32^2/4/(W32*H32)*(1-Supuestos!$B$12))</f>
        <v>0.664340321</v>
      </c>
      <c r="Y32" s="6" t="s">
        <v>422</v>
      </c>
    </row>
    <row r="33" ht="30.0" customHeight="1">
      <c r="A33" s="7" t="s">
        <v>68</v>
      </c>
      <c r="B33" s="7" t="s">
        <v>404</v>
      </c>
      <c r="C33" s="27">
        <v>205.0</v>
      </c>
      <c r="D33" s="28">
        <v>2.0</v>
      </c>
      <c r="E33" s="17" t="s">
        <v>138</v>
      </c>
      <c r="F33" s="49">
        <f>PI()*C33^2/4*D33*Supuestos!$B$10/1000000</f>
        <v>0.519520072</v>
      </c>
      <c r="G33" s="50">
        <f>C33+2*Supuestos!$B$13</f>
        <v>211</v>
      </c>
      <c r="H33" s="50">
        <f>C33+Supuestos!$B$13</f>
        <v>208</v>
      </c>
      <c r="I33" s="34">
        <f>PI()*C33^2/4/(G33*H33)*(1-Supuestos!$B$12)</f>
        <v>0.7482985333</v>
      </c>
      <c r="J33" s="8">
        <v>1500.0</v>
      </c>
      <c r="K33" s="8">
        <v>3000.0</v>
      </c>
      <c r="L33" s="16">
        <f t="shared" si="11"/>
        <v>7</v>
      </c>
      <c r="M33" s="16">
        <f>INT((K33-Supuestos!$B$13)/H33)</f>
        <v>14</v>
      </c>
      <c r="N33" s="16">
        <f t="shared" si="12"/>
        <v>98</v>
      </c>
      <c r="O33" s="16">
        <f t="shared" si="13"/>
        <v>14</v>
      </c>
      <c r="P33" s="16">
        <f>INT((J33-Supuestos!$B$13)/H33)</f>
        <v>7</v>
      </c>
      <c r="Q33" s="16">
        <f t="shared" si="14"/>
        <v>98</v>
      </c>
      <c r="R33" s="32">
        <f t="shared" si="15"/>
        <v>98</v>
      </c>
      <c r="S33" s="34">
        <f t="shared" si="16"/>
        <v>0.7188051258</v>
      </c>
      <c r="T33" s="33">
        <f>J33*K33*D33*Supuestos!$B$10/1000000</f>
        <v>70.83</v>
      </c>
      <c r="U33" s="16">
        <f t="shared" si="17"/>
        <v>7</v>
      </c>
      <c r="V33" s="16">
        <f t="shared" si="18"/>
        <v>14</v>
      </c>
      <c r="W33" s="21">
        <v>249.0</v>
      </c>
      <c r="X33" s="34">
        <f>IF(W33&lt;C33,0,PI()*C33^2/4/(W33*H33)*(1-Supuestos!$B$12))</f>
        <v>0.6341003635</v>
      </c>
      <c r="Y33" s="6" t="s">
        <v>426</v>
      </c>
    </row>
    <row r="34" ht="14.25" customHeight="1"/>
    <row r="35" ht="14.25" customHeight="1">
      <c r="A35" s="2" t="s">
        <v>428</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5:F15"/>
    <mergeCell ref="A16:F16"/>
    <mergeCell ref="A17:F17"/>
    <mergeCell ref="A18:F18"/>
    <mergeCell ref="A19:F19"/>
    <mergeCell ref="A20:F20"/>
    <mergeCell ref="A21:F21"/>
    <mergeCell ref="A22:F2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0"/>
    <col customWidth="1" min="2" max="2" width="18.0"/>
    <col customWidth="1" min="3" max="13" width="12.0"/>
    <col customWidth="1" min="14" max="26" width="8.57"/>
  </cols>
  <sheetData>
    <row r="1" ht="14.25" customHeight="1">
      <c r="A1" s="1" t="s">
        <v>212</v>
      </c>
    </row>
    <row r="2" ht="14.25" customHeight="1">
      <c r="A2" s="2" t="s">
        <v>214</v>
      </c>
    </row>
    <row r="3" ht="14.25" customHeight="1">
      <c r="A3" s="2" t="s">
        <v>215</v>
      </c>
    </row>
    <row r="4" ht="14.25" customHeight="1"/>
    <row r="5" ht="14.25" customHeight="1">
      <c r="A5" s="3" t="s">
        <v>219</v>
      </c>
    </row>
    <row r="6" ht="14.25" customHeight="1">
      <c r="A6" s="7" t="s">
        <v>220</v>
      </c>
      <c r="B6" s="8">
        <v>1220.0</v>
      </c>
      <c r="C6" s="7" t="s">
        <v>86</v>
      </c>
      <c r="D6" s="45">
        <f>Nesting!$D$26</f>
        <v>0.9</v>
      </c>
      <c r="E6" s="7" t="s">
        <v>88</v>
      </c>
      <c r="F6" s="47" t="str">
        <f>Nesting!$E$26</f>
        <v>LAF</v>
      </c>
      <c r="G6" s="7" t="s">
        <v>236</v>
      </c>
      <c r="H6" s="33">
        <f>B6*D6*Supuestos!$B$10/1000</f>
        <v>8.64126</v>
      </c>
    </row>
    <row r="7" ht="48.0" customHeight="1">
      <c r="A7" s="4" t="s">
        <v>245</v>
      </c>
      <c r="B7" s="4" t="s">
        <v>246</v>
      </c>
      <c r="C7" s="4" t="s">
        <v>247</v>
      </c>
      <c r="D7" s="4" t="s">
        <v>249</v>
      </c>
      <c r="E7" s="4" t="s">
        <v>251</v>
      </c>
      <c r="F7" s="4" t="s">
        <v>252</v>
      </c>
      <c r="G7" s="4" t="s">
        <v>253</v>
      </c>
      <c r="H7" s="4" t="s">
        <v>254</v>
      </c>
    </row>
    <row r="8" ht="14.25" customHeight="1">
      <c r="A8" s="7" t="s">
        <v>255</v>
      </c>
      <c r="B8" s="7" t="s">
        <v>256</v>
      </c>
      <c r="C8" s="48">
        <f>Nesting!$G$26</f>
        <v>114</v>
      </c>
      <c r="D8" s="48">
        <f>Nesting!$H$26</f>
        <v>111</v>
      </c>
      <c r="E8" s="8">
        <v>5.0</v>
      </c>
      <c r="F8" s="8">
        <v>10.0</v>
      </c>
      <c r="G8" s="8">
        <v>0.0</v>
      </c>
      <c r="H8" s="49">
        <f t="shared" ref="H8:H9" si="1">E8*$E$10+F8*$F$10+G8*$G$10</f>
        <v>5.6395</v>
      </c>
    </row>
    <row r="9" ht="14.25" customHeight="1">
      <c r="A9" s="7" t="s">
        <v>277</v>
      </c>
      <c r="B9" s="7" t="s">
        <v>256</v>
      </c>
      <c r="C9" s="48">
        <f>Nesting!$G$27</f>
        <v>106</v>
      </c>
      <c r="D9" s="48">
        <f>Nesting!$H$27</f>
        <v>103</v>
      </c>
      <c r="E9" s="8">
        <v>6.0</v>
      </c>
      <c r="F9" s="8">
        <v>0.0</v>
      </c>
      <c r="G9" s="8">
        <v>0.0</v>
      </c>
      <c r="H9" s="49">
        <f t="shared" si="1"/>
        <v>5.2326</v>
      </c>
    </row>
    <row r="10" ht="14.25" customHeight="1">
      <c r="A10" s="7" t="s">
        <v>285</v>
      </c>
      <c r="E10" s="14">
        <v>0.8721</v>
      </c>
      <c r="F10" s="14">
        <v>0.1279</v>
      </c>
      <c r="G10" s="14">
        <v>0.0</v>
      </c>
      <c r="H10" s="7" t="str">
        <f>IF(ABS(SUM(E10:G10)-1)&lt;0.001,"Suma 100% OK","REVISAR: no suma 100%")</f>
        <v>Suma 100% OK</v>
      </c>
    </row>
    <row r="11" ht="14.25" customHeight="1">
      <c r="A11" s="7" t="s">
        <v>294</v>
      </c>
      <c r="E11" s="50">
        <f t="shared" ref="E11:G11" si="2">SUMPRODUCT($C$8:$C$9,E8:E9)</f>
        <v>1206</v>
      </c>
      <c r="F11" s="50">
        <f t="shared" si="2"/>
        <v>1140</v>
      </c>
      <c r="G11" s="50">
        <f t="shared" si="2"/>
        <v>0</v>
      </c>
    </row>
    <row r="12" ht="14.25" customHeight="1">
      <c r="A12" s="7" t="s">
        <v>296</v>
      </c>
      <c r="E12" s="50">
        <f t="shared" ref="E12:G12" si="3">IF(E11=0,0,$B$6-E11)</f>
        <v>14</v>
      </c>
      <c r="F12" s="50">
        <f t="shared" si="3"/>
        <v>80</v>
      </c>
      <c r="G12" s="50">
        <f t="shared" si="3"/>
        <v>0</v>
      </c>
    </row>
    <row r="13" ht="14.25" customHeight="1">
      <c r="A13" s="7" t="s">
        <v>298</v>
      </c>
      <c r="E13" s="7" t="str">
        <f>IF(E11=0,"sin uso",IF($B$6-E11&gt;=Supuestos!$B$11,"OK","NO ENTRA"))</f>
        <v>OK</v>
      </c>
      <c r="F13" s="7" t="str">
        <f>IF(F11=0,"sin uso",IF($B$6-F11&gt;=Supuestos!$B$11,"OK","NO ENTRA"))</f>
        <v>OK</v>
      </c>
      <c r="G13" s="7" t="str">
        <f>IF(G11=0,"sin uso",IF($B$6-G11&gt;=Supuestos!$B$11,"OK","NO ENTRA"))</f>
        <v>sin uso</v>
      </c>
    </row>
    <row r="14" ht="14.25" customHeight="1"/>
    <row r="15" ht="14.25" customHeight="1">
      <c r="A15" s="4" t="s">
        <v>301</v>
      </c>
      <c r="B15" s="4"/>
      <c r="C15" s="4"/>
      <c r="D15" s="4">
        <v>2026.0</v>
      </c>
      <c r="E15" s="4">
        <v>2027.0</v>
      </c>
      <c r="F15" s="4">
        <v>2028.0</v>
      </c>
      <c r="G15" s="4">
        <v>2029.0</v>
      </c>
      <c r="H15" s="4">
        <v>2030.0</v>
      </c>
      <c r="I15" s="4">
        <v>2031.0</v>
      </c>
      <c r="J15" s="4">
        <v>2032.0</v>
      </c>
      <c r="K15" s="4">
        <v>2033.0</v>
      </c>
      <c r="L15" s="4">
        <v>2034.0</v>
      </c>
      <c r="M15" s="4">
        <v>2035.0</v>
      </c>
    </row>
    <row r="16" ht="14.25" customHeight="1">
      <c r="A16" s="7" t="s">
        <v>302</v>
      </c>
      <c r="D16" s="16">
        <f>Calculo!D8*$D$8/1000</f>
        <v>463.869</v>
      </c>
      <c r="E16" s="16">
        <f>Calculo!E8*$D$8/1000</f>
        <v>665.667</v>
      </c>
      <c r="F16" s="16">
        <f>Calculo!F8*$D$8/1000</f>
        <v>1611.054</v>
      </c>
      <c r="G16" s="16">
        <f>Calculo!G8*$D$8/1000</f>
        <v>3902.982</v>
      </c>
      <c r="H16" s="16">
        <f>Calculo!H8*$D$8/1000</f>
        <v>6894.876</v>
      </c>
      <c r="I16" s="16">
        <f>Calculo!I8*$D$8/1000</f>
        <v>9690.3</v>
      </c>
      <c r="J16" s="16">
        <f>Calculo!J8*$D$8/1000</f>
        <v>13505.814</v>
      </c>
      <c r="K16" s="16">
        <f>Calculo!K8*$D$8/1000</f>
        <v>17330.763</v>
      </c>
      <c r="L16" s="16">
        <f>Calculo!L8*$D$8/1000</f>
        <v>19468.623</v>
      </c>
      <c r="M16" s="16">
        <f>Calculo!M8*$D$8/1000</f>
        <v>22490.931</v>
      </c>
    </row>
    <row r="17" ht="14.25" customHeight="1">
      <c r="A17" s="7" t="s">
        <v>325</v>
      </c>
      <c r="D17" s="16">
        <f>Calculo!D8*$D$9/1000</f>
        <v>430.437</v>
      </c>
      <c r="E17" s="16">
        <f>Calculo!E8*$D$9/1000</f>
        <v>617.691</v>
      </c>
      <c r="F17" s="16">
        <f>Calculo!F8*$D$9/1000</f>
        <v>1494.942</v>
      </c>
      <c r="G17" s="16">
        <f>Calculo!G8*$D$9/1000</f>
        <v>3621.686</v>
      </c>
      <c r="H17" s="16">
        <f>Calculo!H8*$D$9/1000</f>
        <v>6397.948</v>
      </c>
      <c r="I17" s="16">
        <f>Calculo!I8*$D$9/1000</f>
        <v>8991.9</v>
      </c>
      <c r="J17" s="16">
        <f>Calculo!J8*$D$9/1000</f>
        <v>12532.422</v>
      </c>
      <c r="K17" s="16">
        <f>Calculo!K8*$D$9/1000</f>
        <v>16081.699</v>
      </c>
      <c r="L17" s="16">
        <f>Calculo!L8*$D$9/1000</f>
        <v>18065.479</v>
      </c>
      <c r="M17" s="16">
        <f>Calculo!M8*$D$9/1000</f>
        <v>20869.963</v>
      </c>
    </row>
    <row r="18" ht="14.25" customHeight="1">
      <c r="A18" s="5" t="s">
        <v>331</v>
      </c>
      <c r="D18" s="58">
        <f t="shared" ref="D18:M18" si="4">MAX(IF($H$8=0,IF(D16&gt;0,1000000000000,0),D16/$H$8),IF($H$9=0,IF(D17&gt;0,1000000000000,0),D17/$H$9))</f>
        <v>82.26063525</v>
      </c>
      <c r="E18" s="58">
        <f t="shared" si="4"/>
        <v>118.046669</v>
      </c>
      <c r="F18" s="58">
        <f t="shared" si="4"/>
        <v>285.6977411</v>
      </c>
      <c r="G18" s="58">
        <f t="shared" si="4"/>
        <v>692.1388984</v>
      </c>
      <c r="H18" s="58">
        <f t="shared" si="4"/>
        <v>1222.709169</v>
      </c>
      <c r="I18" s="58">
        <f t="shared" si="4"/>
        <v>1718.438252</v>
      </c>
      <c r="J18" s="58">
        <f t="shared" si="4"/>
        <v>2395.065933</v>
      </c>
      <c r="K18" s="58">
        <f t="shared" si="4"/>
        <v>3073.366778</v>
      </c>
      <c r="L18" s="58">
        <f t="shared" si="4"/>
        <v>3452.486145</v>
      </c>
      <c r="M18" s="58">
        <f t="shared" si="4"/>
        <v>3988.44991</v>
      </c>
    </row>
    <row r="19" ht="14.25" customHeight="1">
      <c r="A19" s="5" t="s">
        <v>341</v>
      </c>
      <c r="D19" s="61">
        <f>D18*$H$6/1000/(1-Supuestos!$B$12)</f>
        <v>0.7144075748</v>
      </c>
      <c r="E19" s="61">
        <f>E18*$H$6/1000/(1-Supuestos!$B$12)</f>
        <v>1.025197948</v>
      </c>
      <c r="F19" s="61">
        <f>F18*$H$6/1000/(1-Supuestos!$B$12)</f>
        <v>2.481194434</v>
      </c>
      <c r="G19" s="61">
        <f>G18*$H$6/1000/(1-Supuestos!$B$12)</f>
        <v>6.011007214</v>
      </c>
      <c r="H19" s="61">
        <f>H18*$H$6/1000/(1-Supuestos!$B$12)</f>
        <v>10.61884205</v>
      </c>
      <c r="I19" s="61">
        <f>I18*$H$6/1000/(1-Supuestos!$B$12)</f>
        <v>14.92409219</v>
      </c>
      <c r="J19" s="61">
        <f>J18*$H$6/1000/(1-Supuestos!$B$12)</f>
        <v>20.80038939</v>
      </c>
      <c r="K19" s="61">
        <f>K18*$H$6/1000/(1-Supuestos!$B$12)</f>
        <v>26.69121749</v>
      </c>
      <c r="L19" s="61">
        <f>L18*$H$6/1000/(1-Supuestos!$B$12)</f>
        <v>29.98374917</v>
      </c>
      <c r="M19" s="61">
        <f>M18*$H$6/1000/(1-Supuestos!$B$12)</f>
        <v>34.63842479</v>
      </c>
    </row>
    <row r="20" ht="14.25" customHeight="1">
      <c r="A20" s="7" t="s">
        <v>355</v>
      </c>
      <c r="D20" s="65">
        <f>Calculo!D31+Calculo!D32</f>
        <v>0.5036375949</v>
      </c>
      <c r="E20" s="65">
        <f>Calculo!E31+Calculo!E32</f>
        <v>0.7227362184</v>
      </c>
      <c r="F20" s="65">
        <f>Calculo!F31+Calculo!F32</f>
        <v>1.749173499</v>
      </c>
      <c r="G20" s="65">
        <f>Calculo!G31+Calculo!G32</f>
        <v>4.237593949</v>
      </c>
      <c r="H20" s="65">
        <f>Calculo!H31+Calculo!H32</f>
        <v>7.485990152</v>
      </c>
      <c r="I20" s="65">
        <f>Calculo!I31+Calculo!I32</f>
        <v>10.52107251</v>
      </c>
      <c r="J20" s="65">
        <f>Calculo!J31+Calculo!J32</f>
        <v>14.66369962</v>
      </c>
      <c r="K20" s="65">
        <f>Calculo!K31+Calculo!K32</f>
        <v>18.81657062</v>
      </c>
      <c r="L20" s="65">
        <f>Calculo!L31+Calculo!L32</f>
        <v>21.13771445</v>
      </c>
      <c r="M20" s="65">
        <f>Calculo!M31+Calculo!M32</f>
        <v>24.41913212</v>
      </c>
    </row>
    <row r="21" ht="14.25" customHeight="1">
      <c r="A21" s="7" t="s">
        <v>393</v>
      </c>
      <c r="D21" s="51">
        <f t="shared" ref="D21:M21" si="5">IF(D19=0,0,D20/D19)</f>
        <v>0.7049723612</v>
      </c>
      <c r="E21" s="51">
        <f t="shared" si="5"/>
        <v>0.7049723612</v>
      </c>
      <c r="F21" s="51">
        <f t="shared" si="5"/>
        <v>0.7049723612</v>
      </c>
      <c r="G21" s="51">
        <f t="shared" si="5"/>
        <v>0.7049723612</v>
      </c>
      <c r="H21" s="51">
        <f t="shared" si="5"/>
        <v>0.7049723612</v>
      </c>
      <c r="I21" s="51">
        <f t="shared" si="5"/>
        <v>0.7049723612</v>
      </c>
      <c r="J21" s="51">
        <f t="shared" si="5"/>
        <v>0.7049723612</v>
      </c>
      <c r="K21" s="51">
        <f t="shared" si="5"/>
        <v>0.7049723612</v>
      </c>
      <c r="L21" s="51">
        <f t="shared" si="5"/>
        <v>0.7049723612</v>
      </c>
      <c r="M21" s="51">
        <f t="shared" si="5"/>
        <v>0.7049723612</v>
      </c>
    </row>
    <row r="22" ht="14.25" customHeight="1">
      <c r="A22" s="7" t="s">
        <v>399</v>
      </c>
      <c r="D22" s="50">
        <f>IF(Bobinas!$K$24=0,0,D19/Bobinas!$K$24)</f>
        <v>0.2381358583</v>
      </c>
      <c r="E22" s="50">
        <f>IF(Bobinas!$K$24=0,0,E19/Bobinas!$K$24)</f>
        <v>0.3417326495</v>
      </c>
      <c r="F22" s="50">
        <f>IF(Bobinas!$K$24=0,0,F19/Bobinas!$K$24)</f>
        <v>0.8270648114</v>
      </c>
      <c r="G22" s="50">
        <f>IF(Bobinas!$K$24=0,0,G19/Bobinas!$K$24)</f>
        <v>2.003669071</v>
      </c>
      <c r="H22" s="50">
        <f>IF(Bobinas!$K$24=0,0,H19/Bobinas!$K$24)</f>
        <v>3.539614016</v>
      </c>
      <c r="I22" s="50">
        <f>IF(Bobinas!$K$24=0,0,I19/Bobinas!$K$24)</f>
        <v>4.974697398</v>
      </c>
      <c r="J22" s="50">
        <f>IF(Bobinas!$K$24=0,0,J19/Bobinas!$K$24)</f>
        <v>6.93346313</v>
      </c>
      <c r="K22" s="50">
        <f>IF(Bobinas!$K$24=0,0,K19/Bobinas!$K$24)</f>
        <v>8.897072496</v>
      </c>
      <c r="L22" s="50">
        <f>IF(Bobinas!$K$24=0,0,L19/Bobinas!$K$24)</f>
        <v>9.994583056</v>
      </c>
      <c r="M22" s="50">
        <f>IF(Bobinas!$K$24=0,0,M19/Bobinas!$K$24)</f>
        <v>11.5461416</v>
      </c>
    </row>
    <row r="23" ht="14.25" customHeight="1">
      <c r="A23" s="7" t="s">
        <v>400</v>
      </c>
      <c r="D23" s="50">
        <f t="shared" ref="D23:M23" si="6">D22*($H$8+$H$9)</f>
        <v>2.589036865</v>
      </c>
      <c r="E23" s="50">
        <f t="shared" si="6"/>
        <v>3.715351538</v>
      </c>
      <c r="F23" s="50">
        <f t="shared" si="6"/>
        <v>8.991931336</v>
      </c>
      <c r="G23" s="50">
        <f t="shared" si="6"/>
        <v>21.78409051</v>
      </c>
      <c r="H23" s="50">
        <f t="shared" si="6"/>
        <v>38.48303754</v>
      </c>
      <c r="I23" s="50">
        <f t="shared" si="6"/>
        <v>54.08540758</v>
      </c>
      <c r="J23" s="50">
        <f t="shared" si="6"/>
        <v>75.38130449</v>
      </c>
      <c r="K23" s="50">
        <f t="shared" si="6"/>
        <v>96.72986188</v>
      </c>
      <c r="L23" s="50">
        <f t="shared" si="6"/>
        <v>108.6621064</v>
      </c>
      <c r="M23" s="50">
        <f t="shared" si="6"/>
        <v>125.5308061</v>
      </c>
    </row>
    <row r="24" ht="14.25" customHeight="1">
      <c r="A24" s="7" t="s">
        <v>401</v>
      </c>
      <c r="D24" s="16">
        <f>D18/(Supuestos!$B$39*60)+D22*Supuestos!$B$40/60</f>
        <v>0.2128771584</v>
      </c>
      <c r="E24" s="16">
        <f>E18/(Supuestos!$B$39*60)+E22*Supuestos!$B$40/60</f>
        <v>0.3054855992</v>
      </c>
      <c r="F24" s="16">
        <f>F18/(Supuestos!$B$39*60)+F22*Supuestos!$B$40/60</f>
        <v>0.739339334</v>
      </c>
      <c r="G24" s="16">
        <f>G18/(Supuestos!$B$39*60)+G22*Supuestos!$B$40/60</f>
        <v>1.791143011</v>
      </c>
      <c r="H24" s="16">
        <f>H18/(Supuestos!$B$39*60)+H22*Supuestos!$B$40/60</f>
        <v>3.164172666</v>
      </c>
      <c r="I24" s="16">
        <f>I18/(Supuestos!$B$39*60)+I22*Supuestos!$B$40/60</f>
        <v>4.447038987</v>
      </c>
      <c r="J24" s="16">
        <f>J18/(Supuestos!$B$39*60)+J22*Supuestos!$B$40/60</f>
        <v>6.198041486</v>
      </c>
      <c r="K24" s="16">
        <f>K18/(Supuestos!$B$39*60)+K22*Supuestos!$B$40/60</f>
        <v>7.953373862</v>
      </c>
      <c r="L24" s="16">
        <f>L18/(Supuestos!$B$39*60)+L22*Supuestos!$B$40/60</f>
        <v>8.934473185</v>
      </c>
      <c r="M24" s="16">
        <f>M18/(Supuestos!$B$39*60)+M22*Supuestos!$B$40/60</f>
        <v>10.32146033</v>
      </c>
    </row>
    <row r="25" ht="14.25" customHeight="1"/>
    <row r="26" ht="14.25" customHeight="1"/>
    <row r="27" ht="14.25" customHeight="1">
      <c r="A27" s="3" t="s">
        <v>405</v>
      </c>
    </row>
    <row r="28" ht="14.25" customHeight="1">
      <c r="A28" s="7" t="s">
        <v>220</v>
      </c>
      <c r="B28" s="8">
        <v>1000.0</v>
      </c>
      <c r="C28" s="7" t="s">
        <v>86</v>
      </c>
      <c r="D28" s="45">
        <f>Nesting!$E$6</f>
        <v>1.25</v>
      </c>
      <c r="E28" s="7" t="s">
        <v>88</v>
      </c>
      <c r="F28" s="47" t="str">
        <f>Nesting!$F$6</f>
        <v>LAF</v>
      </c>
      <c r="G28" s="7" t="s">
        <v>236</v>
      </c>
      <c r="H28" s="33">
        <f>B28*D28*Supuestos!$B$10/1000</f>
        <v>9.8375</v>
      </c>
    </row>
    <row r="29" ht="48.0" customHeight="1">
      <c r="A29" s="4" t="s">
        <v>245</v>
      </c>
      <c r="B29" s="4" t="s">
        <v>246</v>
      </c>
      <c r="C29" s="4" t="s">
        <v>247</v>
      </c>
      <c r="D29" s="4" t="s">
        <v>249</v>
      </c>
      <c r="E29" s="4" t="s">
        <v>251</v>
      </c>
      <c r="F29" s="4" t="s">
        <v>252</v>
      </c>
      <c r="G29" s="4" t="s">
        <v>253</v>
      </c>
      <c r="H29" s="4" t="s">
        <v>254</v>
      </c>
    </row>
    <row r="30" ht="14.25" customHeight="1">
      <c r="A30" s="7" t="s">
        <v>378</v>
      </c>
      <c r="B30" s="21">
        <v>1.0</v>
      </c>
      <c r="C30" s="50">
        <f>IF(B30=1,Nesting!$C$6,Nesting!$D$6)</f>
        <v>269.5</v>
      </c>
      <c r="D30" s="50">
        <f>IF(B30=1,Nesting!$D$6,Nesting!$C$6)</f>
        <v>385.5</v>
      </c>
      <c r="E30" s="8">
        <v>1.0</v>
      </c>
      <c r="F30" s="8">
        <v>2.0</v>
      </c>
      <c r="G30" s="8">
        <v>3.0</v>
      </c>
      <c r="H30" s="49">
        <f t="shared" ref="H30:H32" si="7">E30*$E$33+F30*$F$33+G30*$G$33</f>
        <v>2.3064</v>
      </c>
    </row>
    <row r="31" ht="14.25" customHeight="1">
      <c r="A31" s="7" t="s">
        <v>408</v>
      </c>
      <c r="B31" s="7" t="s">
        <v>256</v>
      </c>
      <c r="C31" s="48">
        <f>Nesting!$G$28</f>
        <v>185</v>
      </c>
      <c r="D31" s="48">
        <f>Nesting!$H$28</f>
        <v>182</v>
      </c>
      <c r="E31" s="8">
        <v>3.0</v>
      </c>
      <c r="F31" s="8">
        <v>2.0</v>
      </c>
      <c r="G31" s="8">
        <v>0.0</v>
      </c>
      <c r="H31" s="49">
        <f t="shared" si="7"/>
        <v>1.0887</v>
      </c>
    </row>
    <row r="32" ht="14.25" customHeight="1">
      <c r="A32" s="7" t="s">
        <v>411</v>
      </c>
      <c r="B32" s="7" t="s">
        <v>256</v>
      </c>
      <c r="C32" s="48">
        <f>Nesting!$G$29</f>
        <v>154</v>
      </c>
      <c r="D32" s="48">
        <f>Nesting!$H$29</f>
        <v>151</v>
      </c>
      <c r="E32" s="8">
        <v>1.0</v>
      </c>
      <c r="F32" s="8">
        <v>0.0</v>
      </c>
      <c r="G32" s="8">
        <v>1.0</v>
      </c>
      <c r="H32" s="49">
        <f t="shared" si="7"/>
        <v>0.9034</v>
      </c>
    </row>
    <row r="33" ht="14.25" customHeight="1">
      <c r="A33" s="7" t="s">
        <v>285</v>
      </c>
      <c r="E33" s="14">
        <v>0.2985</v>
      </c>
      <c r="F33" s="14">
        <v>0.0966</v>
      </c>
      <c r="G33" s="14">
        <v>0.6049</v>
      </c>
      <c r="H33" s="7" t="str">
        <f>IF(ABS(SUM(E33:G33)-1)&lt;0.001,"Suma 100% OK","REVISAR: no suma 100%")</f>
        <v>Suma 100% OK</v>
      </c>
    </row>
    <row r="34" ht="14.25" customHeight="1">
      <c r="A34" s="7" t="s">
        <v>294</v>
      </c>
      <c r="E34" s="50">
        <f t="shared" ref="E34:G34" si="8">SUMPRODUCT($C$30:$C$32,E30:E32)</f>
        <v>978.5</v>
      </c>
      <c r="F34" s="50">
        <f t="shared" si="8"/>
        <v>909</v>
      </c>
      <c r="G34" s="50">
        <f t="shared" si="8"/>
        <v>962.5</v>
      </c>
    </row>
    <row r="35" ht="14.25" customHeight="1">
      <c r="A35" s="7" t="s">
        <v>296</v>
      </c>
      <c r="E35" s="50">
        <f t="shared" ref="E35:G35" si="9">IF(E34=0,0,$B$28-E34)</f>
        <v>21.5</v>
      </c>
      <c r="F35" s="50">
        <f t="shared" si="9"/>
        <v>91</v>
      </c>
      <c r="G35" s="50">
        <f t="shared" si="9"/>
        <v>37.5</v>
      </c>
    </row>
    <row r="36" ht="14.25" customHeight="1">
      <c r="A36" s="7" t="s">
        <v>298</v>
      </c>
      <c r="E36" s="7" t="str">
        <f>IF(E34=0,"sin uso",IF($B$28-E34&gt;=Supuestos!$B$11,"OK","NO ENTRA"))</f>
        <v>OK</v>
      </c>
      <c r="F36" s="7" t="str">
        <f>IF(F34=0,"sin uso",IF($B$28-F34&gt;=Supuestos!$B$11,"OK","NO ENTRA"))</f>
        <v>OK</v>
      </c>
      <c r="G36" s="7" t="str">
        <f>IF(G34=0,"sin uso",IF($B$28-G34&gt;=Supuestos!$B$11,"OK","NO ENTRA"))</f>
        <v>OK</v>
      </c>
    </row>
    <row r="37" ht="14.25" customHeight="1"/>
    <row r="38" ht="14.25" customHeight="1">
      <c r="A38" s="4" t="s">
        <v>301</v>
      </c>
      <c r="B38" s="4"/>
      <c r="C38" s="4"/>
      <c r="D38" s="4">
        <v>2026.0</v>
      </c>
      <c r="E38" s="4">
        <v>2027.0</v>
      </c>
      <c r="F38" s="4">
        <v>2028.0</v>
      </c>
      <c r="G38" s="4">
        <v>2029.0</v>
      </c>
      <c r="H38" s="4">
        <v>2030.0</v>
      </c>
      <c r="I38" s="4">
        <v>2031.0</v>
      </c>
      <c r="J38" s="4">
        <v>2032.0</v>
      </c>
      <c r="K38" s="4">
        <v>2033.0</v>
      </c>
      <c r="L38" s="4">
        <v>2034.0</v>
      </c>
      <c r="M38" s="4">
        <v>2035.0</v>
      </c>
    </row>
    <row r="39" ht="14.25" customHeight="1">
      <c r="A39" s="7" t="s">
        <v>417</v>
      </c>
      <c r="D39" s="16">
        <f>Calculo!D9*$D$30/1000</f>
        <v>113.7225</v>
      </c>
      <c r="E39" s="16">
        <f>Calculo!E9*$D$30/1000</f>
        <v>273.3195</v>
      </c>
      <c r="F39" s="16">
        <f>Calculo!F9*$D$30/1000</f>
        <v>496.1385</v>
      </c>
      <c r="G39" s="16">
        <f>Calculo!G9*$D$30/1000</f>
        <v>981.0975</v>
      </c>
      <c r="H39" s="16">
        <f>Calculo!H9*$D$30/1000</f>
        <v>1636.4475</v>
      </c>
      <c r="I39" s="16">
        <f>Calculo!I9*$D$30/1000</f>
        <v>2334.2025</v>
      </c>
      <c r="J39" s="16">
        <f>Calculo!J9*$D$30/1000</f>
        <v>3109.443</v>
      </c>
      <c r="K39" s="16">
        <f>Calculo!K9*$D$30/1000</f>
        <v>3942.894</v>
      </c>
      <c r="L39" s="16">
        <f>Calculo!L9*$D$30/1000</f>
        <v>4601.328</v>
      </c>
      <c r="M39" s="16">
        <f>Calculo!M9*$D$30/1000</f>
        <v>5433.237</v>
      </c>
    </row>
    <row r="40" ht="14.25" customHeight="1">
      <c r="A40" s="7" t="s">
        <v>418</v>
      </c>
      <c r="D40" s="16">
        <f>Calculo!D9*$D$31/1000</f>
        <v>53.69</v>
      </c>
      <c r="E40" s="16">
        <f>Calculo!E9*$D$31/1000</f>
        <v>129.038</v>
      </c>
      <c r="F40" s="16">
        <f>Calculo!F9*$D$31/1000</f>
        <v>234.234</v>
      </c>
      <c r="G40" s="16">
        <f>Calculo!G9*$D$31/1000</f>
        <v>463.19</v>
      </c>
      <c r="H40" s="16">
        <f>Calculo!H9*$D$31/1000</f>
        <v>772.59</v>
      </c>
      <c r="I40" s="16">
        <f>Calculo!I9*$D$31/1000</f>
        <v>1102.01</v>
      </c>
      <c r="J40" s="16">
        <f>Calculo!J9*$D$31/1000</f>
        <v>1468.012</v>
      </c>
      <c r="K40" s="16">
        <f>Calculo!K9*$D$31/1000</f>
        <v>1861.496</v>
      </c>
      <c r="L40" s="16">
        <f>Calculo!L9*$D$31/1000</f>
        <v>2172.352</v>
      </c>
      <c r="M40" s="16">
        <f>Calculo!M9*$D$31/1000</f>
        <v>2565.108</v>
      </c>
    </row>
    <row r="41" ht="14.25" customHeight="1">
      <c r="A41" s="7" t="s">
        <v>420</v>
      </c>
      <c r="D41" s="16">
        <f>Calculo!D9*$D$32/1000</f>
        <v>44.545</v>
      </c>
      <c r="E41" s="16">
        <f>Calculo!E9*$D$32/1000</f>
        <v>107.059</v>
      </c>
      <c r="F41" s="16">
        <f>Calculo!F9*$D$32/1000</f>
        <v>194.337</v>
      </c>
      <c r="G41" s="16">
        <f>Calculo!G9*$D$32/1000</f>
        <v>384.295</v>
      </c>
      <c r="H41" s="16">
        <f>Calculo!H9*$D$32/1000</f>
        <v>640.995</v>
      </c>
      <c r="I41" s="16">
        <f>Calculo!I9*$D$32/1000</f>
        <v>914.305</v>
      </c>
      <c r="J41" s="16">
        <f>Calculo!J9*$D$32/1000</f>
        <v>1217.966</v>
      </c>
      <c r="K41" s="16">
        <f>Calculo!K9*$D$32/1000</f>
        <v>1544.428</v>
      </c>
      <c r="L41" s="16">
        <f>Calculo!L9*$D$32/1000</f>
        <v>1802.336</v>
      </c>
      <c r="M41" s="16">
        <f>Calculo!M9*$D$32/1000</f>
        <v>2128.194</v>
      </c>
    </row>
    <row r="42" ht="14.25" customHeight="1">
      <c r="A42" s="5" t="s">
        <v>331</v>
      </c>
      <c r="D42" s="58">
        <f t="shared" ref="D42:M42" si="10">MAX(IF($H$30=0,IF(D39&gt;0,1000000000000,0),D39/$H$30),IF($H$31=0,IF(D40&gt;0,1000000000000,0),D40/$H$31),IF($H$32=0,IF(D41&gt;0,1000000000000,0),D41/$H$32))</f>
        <v>49.31569762</v>
      </c>
      <c r="E42" s="58">
        <f t="shared" si="10"/>
        <v>118.5248461</v>
      </c>
      <c r="F42" s="58">
        <f t="shared" si="10"/>
        <v>215.1501791</v>
      </c>
      <c r="G42" s="58">
        <f t="shared" si="10"/>
        <v>425.4523744</v>
      </c>
      <c r="H42" s="58">
        <f t="shared" si="10"/>
        <v>709.6445302</v>
      </c>
      <c r="I42" s="58">
        <f t="shared" si="10"/>
        <v>1012.22559</v>
      </c>
      <c r="J42" s="58">
        <f t="shared" si="10"/>
        <v>1348.408193</v>
      </c>
      <c r="K42" s="58">
        <f t="shared" si="10"/>
        <v>1709.833747</v>
      </c>
      <c r="L42" s="58">
        <f t="shared" si="10"/>
        <v>1995.363277</v>
      </c>
      <c r="M42" s="58">
        <f t="shared" si="10"/>
        <v>2356.120143</v>
      </c>
    </row>
    <row r="43" ht="14.25" customHeight="1">
      <c r="A43" s="5" t="s">
        <v>341</v>
      </c>
      <c r="D43" s="61">
        <f>D42*$H$28/1000/(1-Supuestos!$B$12)</f>
        <v>0.4875810808</v>
      </c>
      <c r="E43" s="61">
        <f>E42*$H$28/1000/(1-Supuestos!$B$12)</f>
        <v>1.171847411</v>
      </c>
      <c r="F43" s="61">
        <f>F42*$H$28/1000/(1-Supuestos!$B$12)</f>
        <v>2.127175766</v>
      </c>
      <c r="G43" s="61">
        <f>G42*$H$28/1000/(1-Supuestos!$B$12)</f>
        <v>4.206419832</v>
      </c>
      <c r="H43" s="61">
        <f>H42*$H$28/1000/(1-Supuestos!$B$12)</f>
        <v>7.016209111</v>
      </c>
      <c r="I43" s="61">
        <f>I42*$H$28/1000/(1-Supuestos!$B$12)</f>
        <v>10.00780828</v>
      </c>
      <c r="J43" s="61">
        <f>J42*$H$28/1000/(1-Supuestos!$B$12)</f>
        <v>13.33162372</v>
      </c>
      <c r="K43" s="61">
        <f>K42*$H$28/1000/(1-Supuestos!$B$12)</f>
        <v>16.90501456</v>
      </c>
      <c r="L43" s="61">
        <f>L42*$H$28/1000/(1-Supuestos!$B$12)</f>
        <v>19.72802637</v>
      </c>
      <c r="M43" s="61">
        <f>M42*$H$28/1000/(1-Supuestos!$B$12)</f>
        <v>23.29480594</v>
      </c>
    </row>
    <row r="44" ht="14.25" customHeight="1">
      <c r="A44" s="7" t="s">
        <v>355</v>
      </c>
      <c r="D44" s="65">
        <f>Calculo!D19+Calculo!D33+Calculo!D34</f>
        <v>0.4244572688</v>
      </c>
      <c r="E44" s="65">
        <f>Calculo!E19+Calculo!E33+Calculo!E34</f>
        <v>1.020136283</v>
      </c>
      <c r="F44" s="65">
        <f>Calculo!F19+Calculo!F33+Calculo!F34</f>
        <v>1.851784762</v>
      </c>
      <c r="G44" s="65">
        <f>Calculo!G19+Calculo!G33+Calculo!G34</f>
        <v>3.661843217</v>
      </c>
      <c r="H44" s="65">
        <f>Calculo!H19+Calculo!H33+Calculo!H34</f>
        <v>6.107868156</v>
      </c>
      <c r="I44" s="65">
        <f>Calculo!I19+Calculo!I33+Calculo!I34</f>
        <v>8.712165296</v>
      </c>
      <c r="J44" s="65">
        <f>Calculo!J19+Calculo!J33+Calculo!J34</f>
        <v>11.60566892</v>
      </c>
      <c r="K44" s="65">
        <f>Calculo!K19+Calculo!K33+Calculo!K34</f>
        <v>14.7164371</v>
      </c>
      <c r="L44" s="65">
        <f>Calculo!L19+Calculo!L33+Calculo!L34</f>
        <v>17.17397275</v>
      </c>
      <c r="M44" s="65">
        <f>Calculo!M19+Calculo!M33+Calculo!M34</f>
        <v>20.27898558</v>
      </c>
    </row>
    <row r="45" ht="14.25" customHeight="1">
      <c r="A45" s="7" t="s">
        <v>393</v>
      </c>
      <c r="D45" s="51">
        <f t="shared" ref="D45:M45" si="11">IF(D43=0,0,D44/D43)</f>
        <v>0.8705367897</v>
      </c>
      <c r="E45" s="51">
        <f t="shared" si="11"/>
        <v>0.8705367897</v>
      </c>
      <c r="F45" s="51">
        <f t="shared" si="11"/>
        <v>0.8705367897</v>
      </c>
      <c r="G45" s="51">
        <f t="shared" si="11"/>
        <v>0.8705367897</v>
      </c>
      <c r="H45" s="51">
        <f t="shared" si="11"/>
        <v>0.8705367897</v>
      </c>
      <c r="I45" s="51">
        <f t="shared" si="11"/>
        <v>0.8705367897</v>
      </c>
      <c r="J45" s="51">
        <f t="shared" si="11"/>
        <v>0.8705367897</v>
      </c>
      <c r="K45" s="51">
        <f t="shared" si="11"/>
        <v>0.8705367897</v>
      </c>
      <c r="L45" s="51">
        <f t="shared" si="11"/>
        <v>0.8705367897</v>
      </c>
      <c r="M45" s="51">
        <f t="shared" si="11"/>
        <v>0.8705367897</v>
      </c>
    </row>
    <row r="46" ht="14.25" customHeight="1">
      <c r="A46" s="7" t="s">
        <v>399</v>
      </c>
      <c r="D46" s="50">
        <f>IF(Bobinas!$K$25=0,0,D43/Bobinas!$K$25)</f>
        <v>0.2437905404</v>
      </c>
      <c r="E46" s="50">
        <f>IF(Bobinas!$K$25=0,0,E43/Bobinas!$K$25)</f>
        <v>0.5859237055</v>
      </c>
      <c r="F46" s="50">
        <f>IF(Bobinas!$K$25=0,0,F43/Bobinas!$K$25)</f>
        <v>1.063587883</v>
      </c>
      <c r="G46" s="50">
        <f>IF(Bobinas!$K$25=0,0,G43/Bobinas!$K$25)</f>
        <v>2.103209916</v>
      </c>
      <c r="H46" s="50">
        <f>IF(Bobinas!$K$25=0,0,H43/Bobinas!$K$25)</f>
        <v>3.508104556</v>
      </c>
      <c r="I46" s="50">
        <f>IF(Bobinas!$K$25=0,0,I43/Bobinas!$K$25)</f>
        <v>5.003904142</v>
      </c>
      <c r="J46" s="50">
        <f>IF(Bobinas!$K$25=0,0,J43/Bobinas!$K$25)</f>
        <v>6.66581186</v>
      </c>
      <c r="K46" s="50">
        <f>IF(Bobinas!$K$25=0,0,K43/Bobinas!$K$25)</f>
        <v>8.452507278</v>
      </c>
      <c r="L46" s="50">
        <f>IF(Bobinas!$K$25=0,0,L43/Bobinas!$K$25)</f>
        <v>9.864013186</v>
      </c>
      <c r="M46" s="50">
        <f>IF(Bobinas!$K$25=0,0,M43/Bobinas!$K$25)</f>
        <v>11.64740297</v>
      </c>
    </row>
    <row r="47" ht="14.25" customHeight="1">
      <c r="A47" s="7" t="s">
        <v>400</v>
      </c>
      <c r="D47" s="50">
        <f t="shared" ref="D47:M47" si="12">D46*($H$31+$H$32)</f>
        <v>0.4856551355</v>
      </c>
      <c r="E47" s="50">
        <f t="shared" si="12"/>
        <v>1.167218614</v>
      </c>
      <c r="F47" s="50">
        <f t="shared" si="12"/>
        <v>2.118773422</v>
      </c>
      <c r="G47" s="50">
        <f t="shared" si="12"/>
        <v>4.189804474</v>
      </c>
      <c r="H47" s="50">
        <f t="shared" si="12"/>
        <v>6.988495085</v>
      </c>
      <c r="I47" s="50">
        <f t="shared" si="12"/>
        <v>9.968277442</v>
      </c>
      <c r="J47" s="50">
        <f t="shared" si="12"/>
        <v>13.27896381</v>
      </c>
      <c r="K47" s="50">
        <f t="shared" si="12"/>
        <v>16.83823975</v>
      </c>
      <c r="L47" s="50">
        <f t="shared" si="12"/>
        <v>19.65010067</v>
      </c>
      <c r="M47" s="50">
        <f t="shared" si="12"/>
        <v>23.20279146</v>
      </c>
    </row>
    <row r="48" ht="14.25" customHeight="1">
      <c r="A48" s="7" t="s">
        <v>401</v>
      </c>
      <c r="D48" s="16">
        <f>D42/(Supuestos!$B$39*60)+D46*Supuestos!$B$40/60</f>
        <v>0.2033911126</v>
      </c>
      <c r="E48" s="16">
        <f>E42/(Supuestos!$B$39*60)+E46*Supuestos!$B$40/60</f>
        <v>0.4888281317</v>
      </c>
      <c r="F48" s="16">
        <f>F42/(Supuestos!$B$39*60)+F46*Supuestos!$B$40/60</f>
        <v>0.8873368202</v>
      </c>
      <c r="G48" s="16">
        <f>G42/(Supuestos!$B$39*60)+G46*Supuestos!$B$40/60</f>
        <v>1.75467926</v>
      </c>
      <c r="H48" s="16">
        <f>H42/(Supuestos!$B$39*60)+H46*Supuestos!$B$40/60</f>
        <v>2.926763638</v>
      </c>
      <c r="I48" s="16">
        <f>I42/(Supuestos!$B$39*60)+I46*Supuestos!$B$40/60</f>
        <v>4.174688769</v>
      </c>
      <c r="J48" s="16">
        <f>J42/(Supuestos!$B$39*60)+J46*Supuestos!$B$40/60</f>
        <v>5.561195642</v>
      </c>
      <c r="K48" s="16">
        <f>K42/(Supuestos!$B$39*60)+K46*Supuestos!$B$40/60</f>
        <v>7.051811186</v>
      </c>
      <c r="L48" s="16">
        <f>L42/(Supuestos!$B$39*60)+L46*Supuestos!$B$40/60</f>
        <v>8.229411255</v>
      </c>
      <c r="M48" s="16">
        <f>M42/(Supuestos!$B$39*60)+M46*Supuestos!$B$40/60</f>
        <v>9.717268954</v>
      </c>
    </row>
    <row r="49" ht="14.25" customHeight="1"/>
    <row r="50" ht="14.25" customHeight="1"/>
    <row r="51" ht="14.25" customHeight="1">
      <c r="A51" s="3" t="s">
        <v>435</v>
      </c>
    </row>
    <row r="52" ht="14.25" customHeight="1">
      <c r="A52" s="7" t="s">
        <v>220</v>
      </c>
      <c r="B52" s="8">
        <v>1000.0</v>
      </c>
      <c r="C52" s="7" t="s">
        <v>86</v>
      </c>
      <c r="D52" s="45">
        <f>Nesting!$E$7</f>
        <v>1.6</v>
      </c>
      <c r="E52" s="7" t="s">
        <v>88</v>
      </c>
      <c r="F52" s="47" t="str">
        <f>Nesting!$F$7</f>
        <v>LAF</v>
      </c>
      <c r="G52" s="7" t="s">
        <v>236</v>
      </c>
      <c r="H52" s="33">
        <f>B52*D52*Supuestos!$B$10/1000</f>
        <v>12.592</v>
      </c>
    </row>
    <row r="53" ht="48.0" customHeight="1">
      <c r="A53" s="4" t="s">
        <v>245</v>
      </c>
      <c r="B53" s="4" t="s">
        <v>246</v>
      </c>
      <c r="C53" s="4" t="s">
        <v>247</v>
      </c>
      <c r="D53" s="4" t="s">
        <v>249</v>
      </c>
      <c r="E53" s="4" t="s">
        <v>251</v>
      </c>
      <c r="F53" s="4" t="s">
        <v>252</v>
      </c>
      <c r="G53" s="4" t="s">
        <v>253</v>
      </c>
      <c r="H53" s="4" t="s">
        <v>254</v>
      </c>
    </row>
    <row r="54" ht="14.25" customHeight="1">
      <c r="A54" s="7" t="s">
        <v>402</v>
      </c>
      <c r="B54" s="21">
        <v>1.0</v>
      </c>
      <c r="C54" s="50">
        <f>IF(B54=1,Nesting!$C$7,Nesting!$D$7)</f>
        <v>330</v>
      </c>
      <c r="D54" s="50">
        <f>IF(B54=1,Nesting!$D$7,Nesting!$C$7)</f>
        <v>474.5</v>
      </c>
      <c r="E54" s="8">
        <v>0.0</v>
      </c>
      <c r="F54" s="8">
        <v>1.0</v>
      </c>
      <c r="G54" s="8">
        <v>3.0</v>
      </c>
      <c r="H54" s="49">
        <f t="shared" ref="H54:H56" si="13">E54*$E$57+F54*$F$57+G54*$G$57</f>
        <v>1.9306</v>
      </c>
    </row>
    <row r="55" ht="14.25" customHeight="1">
      <c r="A55" s="7" t="s">
        <v>436</v>
      </c>
      <c r="B55" s="7" t="s">
        <v>256</v>
      </c>
      <c r="C55" s="48">
        <f>Nesting!$G$30</f>
        <v>227</v>
      </c>
      <c r="D55" s="48">
        <f>Nesting!$H$30</f>
        <v>224</v>
      </c>
      <c r="E55" s="8">
        <v>1.0</v>
      </c>
      <c r="F55" s="8">
        <v>2.0</v>
      </c>
      <c r="G55" s="8">
        <v>0.0</v>
      </c>
      <c r="H55" s="49">
        <f t="shared" si="13"/>
        <v>0.9114</v>
      </c>
    </row>
    <row r="56" ht="14.25" customHeight="1">
      <c r="A56" s="7" t="s">
        <v>438</v>
      </c>
      <c r="B56" s="7" t="s">
        <v>256</v>
      </c>
      <c r="C56" s="48">
        <f>Nesting!$G$31</f>
        <v>183</v>
      </c>
      <c r="D56" s="48">
        <f>Nesting!$H$31</f>
        <v>180</v>
      </c>
      <c r="E56" s="8">
        <v>4.0</v>
      </c>
      <c r="F56" s="8">
        <v>1.0</v>
      </c>
      <c r="G56" s="8">
        <v>0.0</v>
      </c>
      <c r="H56" s="49">
        <f t="shared" si="13"/>
        <v>0.7322</v>
      </c>
    </row>
    <row r="57" ht="14.25" customHeight="1">
      <c r="A57" s="7" t="s">
        <v>285</v>
      </c>
      <c r="E57" s="14">
        <v>0.079</v>
      </c>
      <c r="F57" s="14">
        <v>0.4162</v>
      </c>
      <c r="G57" s="14">
        <v>0.5048</v>
      </c>
      <c r="H57" s="7" t="str">
        <f>IF(ABS(SUM(E57:G57)-1)&lt;0.001,"Suma 100% OK","REVISAR: no suma 100%")</f>
        <v>Suma 100% OK</v>
      </c>
    </row>
    <row r="58" ht="14.25" customHeight="1">
      <c r="A58" s="7" t="s">
        <v>294</v>
      </c>
      <c r="E58" s="50">
        <f t="shared" ref="E58:G58" si="14">SUMPRODUCT($C$54:$C$56,E54:E56)</f>
        <v>959</v>
      </c>
      <c r="F58" s="50">
        <f t="shared" si="14"/>
        <v>967</v>
      </c>
      <c r="G58" s="50">
        <f t="shared" si="14"/>
        <v>990</v>
      </c>
    </row>
    <row r="59" ht="14.25" customHeight="1">
      <c r="A59" s="7" t="s">
        <v>296</v>
      </c>
      <c r="E59" s="50">
        <f t="shared" ref="E59:G59" si="15">IF(E58=0,0,$B$52-E58)</f>
        <v>41</v>
      </c>
      <c r="F59" s="50">
        <f t="shared" si="15"/>
        <v>33</v>
      </c>
      <c r="G59" s="50">
        <f t="shared" si="15"/>
        <v>10</v>
      </c>
    </row>
    <row r="60" ht="14.25" customHeight="1">
      <c r="A60" s="7" t="s">
        <v>298</v>
      </c>
      <c r="E60" s="7" t="str">
        <f>IF(E58=0,"sin uso",IF($B$52-E58&gt;=Supuestos!$B$11,"OK","NO ENTRA"))</f>
        <v>OK</v>
      </c>
      <c r="F60" s="7" t="str">
        <f>IF(F58=0,"sin uso",IF($B$52-F58&gt;=Supuestos!$B$11,"OK","NO ENTRA"))</f>
        <v>OK</v>
      </c>
      <c r="G60" s="7" t="str">
        <f>IF(G58=0,"sin uso",IF($B$52-G58&gt;=Supuestos!$B$11,"OK","NO ENTRA"))</f>
        <v>OK</v>
      </c>
    </row>
    <row r="61" ht="14.25" customHeight="1"/>
    <row r="62" ht="14.25" customHeight="1">
      <c r="A62" s="4" t="s">
        <v>301</v>
      </c>
      <c r="B62" s="4"/>
      <c r="C62" s="4"/>
      <c r="D62" s="4">
        <v>2026.0</v>
      </c>
      <c r="E62" s="4">
        <v>2027.0</v>
      </c>
      <c r="F62" s="4">
        <v>2028.0</v>
      </c>
      <c r="G62" s="4">
        <v>2029.0</v>
      </c>
      <c r="H62" s="4">
        <v>2030.0</v>
      </c>
      <c r="I62" s="4">
        <v>2031.0</v>
      </c>
      <c r="J62" s="4">
        <v>2032.0</v>
      </c>
      <c r="K62" s="4">
        <v>2033.0</v>
      </c>
      <c r="L62" s="4">
        <v>2034.0</v>
      </c>
      <c r="M62" s="4">
        <v>2035.0</v>
      </c>
    </row>
    <row r="63" ht="14.25" customHeight="1">
      <c r="A63" s="7" t="s">
        <v>440</v>
      </c>
      <c r="D63" s="16">
        <f>Calculo!D10*$D$54/1000</f>
        <v>1070.472</v>
      </c>
      <c r="E63" s="16">
        <f>Calculo!E10*$D$54/1000</f>
        <v>1825.4015</v>
      </c>
      <c r="F63" s="16">
        <f>Calculo!F10*$D$54/1000</f>
        <v>3118.8885</v>
      </c>
      <c r="G63" s="16">
        <f>Calculo!G10*$D$54/1000</f>
        <v>5682.1375</v>
      </c>
      <c r="H63" s="16">
        <f>Calculo!H10*$D$54/1000</f>
        <v>9660.82</v>
      </c>
      <c r="I63" s="16">
        <f>Calculo!I10*$D$54/1000</f>
        <v>13494.78</v>
      </c>
      <c r="J63" s="16">
        <f>Calculo!J10*$D$54/1000</f>
        <v>18238.3565</v>
      </c>
      <c r="K63" s="16">
        <f>Calculo!K10*$D$54/1000</f>
        <v>23084.8995</v>
      </c>
      <c r="L63" s="16">
        <f>Calculo!L10*$D$54/1000</f>
        <v>26241.748</v>
      </c>
      <c r="M63" s="16">
        <f>Calculo!M10*$D$54/1000</f>
        <v>30209.517</v>
      </c>
    </row>
    <row r="64" ht="14.25" customHeight="1">
      <c r="A64" s="7" t="s">
        <v>442</v>
      </c>
      <c r="D64" s="16">
        <f>Calculo!D10*$D$55/1000</f>
        <v>505.344</v>
      </c>
      <c r="E64" s="16">
        <f>Calculo!E10*$D$55/1000</f>
        <v>861.728</v>
      </c>
      <c r="F64" s="16">
        <f>Calculo!F10*$D$55/1000</f>
        <v>1472.352</v>
      </c>
      <c r="G64" s="16">
        <f>Calculo!G10*$D$55/1000</f>
        <v>2682.4</v>
      </c>
      <c r="H64" s="16">
        <f>Calculo!H10*$D$55/1000</f>
        <v>4560.64</v>
      </c>
      <c r="I64" s="16">
        <f>Calculo!I10*$D$55/1000</f>
        <v>6370.56</v>
      </c>
      <c r="J64" s="16">
        <f>Calculo!J10*$D$55/1000</f>
        <v>8609.888</v>
      </c>
      <c r="K64" s="16">
        <f>Calculo!K10*$D$55/1000</f>
        <v>10897.824</v>
      </c>
      <c r="L64" s="16">
        <f>Calculo!L10*$D$55/1000</f>
        <v>12388.096</v>
      </c>
      <c r="M64" s="16">
        <f>Calculo!M10*$D$55/1000</f>
        <v>14261.184</v>
      </c>
    </row>
    <row r="65" ht="14.25" customHeight="1">
      <c r="A65" s="7" t="s">
        <v>446</v>
      </c>
      <c r="D65" s="16">
        <f>Calculo!D10*$D$56/1000</f>
        <v>406.08</v>
      </c>
      <c r="E65" s="16">
        <f>Calculo!E10*$D$56/1000</f>
        <v>692.46</v>
      </c>
      <c r="F65" s="16">
        <f>Calculo!F10*$D$56/1000</f>
        <v>1183.14</v>
      </c>
      <c r="G65" s="16">
        <f>Calculo!G10*$D$56/1000</f>
        <v>2155.5</v>
      </c>
      <c r="H65" s="16">
        <f>Calculo!H10*$D$56/1000</f>
        <v>3664.8</v>
      </c>
      <c r="I65" s="16">
        <f>Calculo!I10*$D$56/1000</f>
        <v>5119.2</v>
      </c>
      <c r="J65" s="16">
        <f>Calculo!J10*$D$56/1000</f>
        <v>6918.66</v>
      </c>
      <c r="K65" s="16">
        <f>Calculo!K10*$D$56/1000</f>
        <v>8757.18</v>
      </c>
      <c r="L65" s="16">
        <f>Calculo!L10*$D$56/1000</f>
        <v>9954.72</v>
      </c>
      <c r="M65" s="16">
        <f>Calculo!M10*$D$56/1000</f>
        <v>11459.88</v>
      </c>
    </row>
    <row r="66" ht="14.25" customHeight="1">
      <c r="A66" s="5" t="s">
        <v>331</v>
      </c>
      <c r="D66" s="58">
        <f t="shared" ref="D66:M66" si="16">MAX(IF($H$54=0,IF(D63&gt;0,1000000000000,0),D63/$H$54),IF($H$55=0,IF(D64&gt;0,1000000000000,0),D64/$H$55),IF($H$56=0,IF(D65&gt;0,1000000000000,0),D65/$H$56))</f>
        <v>554.6025676</v>
      </c>
      <c r="E66" s="58">
        <f t="shared" si="16"/>
        <v>945.7252117</v>
      </c>
      <c r="F66" s="58">
        <f t="shared" si="16"/>
        <v>1615.869981</v>
      </c>
      <c r="G66" s="58">
        <f t="shared" si="16"/>
        <v>2943.867796</v>
      </c>
      <c r="H66" s="58">
        <f t="shared" si="16"/>
        <v>5005.189839</v>
      </c>
      <c r="I66" s="58">
        <f t="shared" si="16"/>
        <v>6991.532368</v>
      </c>
      <c r="J66" s="58">
        <f t="shared" si="16"/>
        <v>9449.139579</v>
      </c>
      <c r="K66" s="58">
        <f t="shared" si="16"/>
        <v>11960.09287</v>
      </c>
      <c r="L66" s="58">
        <f t="shared" si="16"/>
        <v>13595.62961</v>
      </c>
      <c r="M66" s="58">
        <f t="shared" si="16"/>
        <v>15651.29746</v>
      </c>
    </row>
    <row r="67" ht="14.25" customHeight="1">
      <c r="A67" s="5" t="s">
        <v>341</v>
      </c>
      <c r="D67" s="61">
        <f>D66*$H$52/1000/(1-Supuestos!$B$12)</f>
        <v>7.018648775</v>
      </c>
      <c r="E67" s="61">
        <f>E66*$H$52/1000/(1-Supuestos!$B$12)</f>
        <v>11.96841394</v>
      </c>
      <c r="F67" s="61">
        <f>F66*$H$52/1000/(1-Supuestos!$B$12)</f>
        <v>20.44928121</v>
      </c>
      <c r="G67" s="61">
        <f>G66*$H$52/1000/(1-Supuestos!$B$12)</f>
        <v>37.25546059</v>
      </c>
      <c r="H67" s="61">
        <f>H66*$H$52/1000/(1-Supuestos!$B$12)</f>
        <v>63.34206075</v>
      </c>
      <c r="I67" s="61">
        <f>I66*$H$52/1000/(1-Supuestos!$B$12)</f>
        <v>88.47977445</v>
      </c>
      <c r="J67" s="61">
        <f>J66*$H$52/1000/(1-Supuestos!$B$12)</f>
        <v>119.5814729</v>
      </c>
      <c r="K67" s="61">
        <f>K66*$H$52/1000/(1-Supuestos!$B$12)</f>
        <v>151.3582808</v>
      </c>
      <c r="L67" s="61">
        <f>L66*$H$52/1000/(1-Supuestos!$B$12)</f>
        <v>172.0564503</v>
      </c>
      <c r="M67" s="61">
        <f>M66*$H$52/1000/(1-Supuestos!$B$12)</f>
        <v>198.0714951</v>
      </c>
    </row>
    <row r="68" ht="14.25" customHeight="1">
      <c r="A68" s="7" t="s">
        <v>355</v>
      </c>
      <c r="D68" s="65">
        <f>Calculo!D20+Calculo!D35+Calculo!D36</f>
        <v>6.236888574</v>
      </c>
      <c r="E68" s="65">
        <f>Calculo!E20+Calculo!E35+Calculo!E36</f>
        <v>10.6353326</v>
      </c>
      <c r="F68" s="65">
        <f>Calculo!F20+Calculo!F35+Calculo!F36</f>
        <v>18.17157296</v>
      </c>
      <c r="G68" s="65">
        <f>Calculo!G20+Calculo!G35+Calculo!G36</f>
        <v>33.10582477</v>
      </c>
      <c r="H68" s="65">
        <f>Calculo!H20+Calculo!H35+Calculo!H36</f>
        <v>56.28681355</v>
      </c>
      <c r="I68" s="65">
        <f>Calculo!I20+Calculo!I35+Calculo!I36</f>
        <v>78.62460596</v>
      </c>
      <c r="J68" s="65">
        <f>Calculo!J20+Calculo!J35+Calculo!J36</f>
        <v>106.2620949</v>
      </c>
      <c r="K68" s="65">
        <f>Calculo!K20+Calculo!K35+Calculo!K36</f>
        <v>134.4994973</v>
      </c>
      <c r="L68" s="65">
        <f>Calculo!L20+Calculo!L35+Calculo!L36</f>
        <v>152.8922366</v>
      </c>
      <c r="M68" s="65">
        <f>Calculo!M20+Calculo!M35+Calculo!M36</f>
        <v>176.00964</v>
      </c>
    </row>
    <row r="69" ht="14.25" customHeight="1">
      <c r="A69" s="7" t="s">
        <v>393</v>
      </c>
      <c r="D69" s="51">
        <f t="shared" ref="D69:M69" si="17">IF(D67=0,0,D68/D67)</f>
        <v>0.8886167087</v>
      </c>
      <c r="E69" s="51">
        <f t="shared" si="17"/>
        <v>0.8886167087</v>
      </c>
      <c r="F69" s="51">
        <f t="shared" si="17"/>
        <v>0.8886167087</v>
      </c>
      <c r="G69" s="51">
        <f t="shared" si="17"/>
        <v>0.8886167087</v>
      </c>
      <c r="H69" s="51">
        <f t="shared" si="17"/>
        <v>0.8886167087</v>
      </c>
      <c r="I69" s="51">
        <f t="shared" si="17"/>
        <v>0.8886167087</v>
      </c>
      <c r="J69" s="51">
        <f t="shared" si="17"/>
        <v>0.8886167087</v>
      </c>
      <c r="K69" s="51">
        <f t="shared" si="17"/>
        <v>0.8886167087</v>
      </c>
      <c r="L69" s="51">
        <f t="shared" si="17"/>
        <v>0.8886167087</v>
      </c>
      <c r="M69" s="51">
        <f t="shared" si="17"/>
        <v>0.8886167087</v>
      </c>
    </row>
    <row r="70" ht="14.25" customHeight="1">
      <c r="A70" s="7" t="s">
        <v>399</v>
      </c>
      <c r="D70" s="50">
        <f>IF(Bobinas!$K$26=0,0,D67/Bobinas!$K$26)</f>
        <v>0.5848873979</v>
      </c>
      <c r="E70" s="50">
        <f>IF(Bobinas!$K$26=0,0,E67/Bobinas!$K$26)</f>
        <v>0.9973678279</v>
      </c>
      <c r="F70" s="50">
        <f>IF(Bobinas!$K$26=0,0,F67/Bobinas!$K$26)</f>
        <v>1.704106767</v>
      </c>
      <c r="G70" s="50">
        <f>IF(Bobinas!$K$26=0,0,G67/Bobinas!$K$26)</f>
        <v>3.104621716</v>
      </c>
      <c r="H70" s="50">
        <f>IF(Bobinas!$K$26=0,0,H67/Bobinas!$K$26)</f>
        <v>5.278505063</v>
      </c>
      <c r="I70" s="50">
        <f>IF(Bobinas!$K$26=0,0,I67/Bobinas!$K$26)</f>
        <v>7.373314538</v>
      </c>
      <c r="J70" s="50">
        <f>IF(Bobinas!$K$26=0,0,J67/Bobinas!$K$26)</f>
        <v>9.965122746</v>
      </c>
      <c r="K70" s="50">
        <f>IF(Bobinas!$K$26=0,0,K67/Bobinas!$K$26)</f>
        <v>12.61319007</v>
      </c>
      <c r="L70" s="50">
        <f>IF(Bobinas!$K$26=0,0,L67/Bobinas!$K$26)</f>
        <v>14.33803752</v>
      </c>
      <c r="M70" s="50">
        <f>IF(Bobinas!$K$26=0,0,M67/Bobinas!$K$26)</f>
        <v>16.50595792</v>
      </c>
    </row>
    <row r="71" ht="14.25" customHeight="1">
      <c r="A71" s="7" t="s">
        <v>400</v>
      </c>
      <c r="D71" s="50">
        <f t="shared" ref="D71:M71" si="18">D70*($H$55+$H$56)</f>
        <v>0.9613209272</v>
      </c>
      <c r="E71" s="50">
        <f t="shared" si="18"/>
        <v>1.639273762</v>
      </c>
      <c r="F71" s="50">
        <f t="shared" si="18"/>
        <v>2.800869882</v>
      </c>
      <c r="G71" s="50">
        <f t="shared" si="18"/>
        <v>5.102756252</v>
      </c>
      <c r="H71" s="50">
        <f t="shared" si="18"/>
        <v>8.675750921</v>
      </c>
      <c r="I71" s="50">
        <f t="shared" si="18"/>
        <v>12.11877977</v>
      </c>
      <c r="J71" s="50">
        <f t="shared" si="18"/>
        <v>16.37867574</v>
      </c>
      <c r="K71" s="50">
        <f t="shared" si="18"/>
        <v>20.7310392</v>
      </c>
      <c r="L71" s="50">
        <f t="shared" si="18"/>
        <v>23.56599848</v>
      </c>
      <c r="M71" s="50">
        <f t="shared" si="18"/>
        <v>27.12919244</v>
      </c>
    </row>
    <row r="72" ht="14.25" customHeight="1">
      <c r="A72" s="7" t="s">
        <v>401</v>
      </c>
      <c r="D72" s="16">
        <f>D66/(Supuestos!$B$39*60)+D70*Supuestos!$B$40/60</f>
        <v>0.6697499516</v>
      </c>
      <c r="E72" s="16">
        <f>E66/(Supuestos!$B$39*60)+E70*Supuestos!$B$40/60</f>
        <v>1.142078042</v>
      </c>
      <c r="F72" s="16">
        <f>F66/(Supuestos!$B$39*60)+F70*Supuestos!$B$40/60</f>
        <v>1.951359234</v>
      </c>
      <c r="G72" s="16">
        <f>G66/(Supuestos!$B$39*60)+G70*Supuestos!$B$40/60</f>
        <v>3.555077868</v>
      </c>
      <c r="H72" s="16">
        <f>H66/(Supuestos!$B$39*60)+H70*Supuestos!$B$40/60</f>
        <v>6.044374563</v>
      </c>
      <c r="I72" s="16">
        <f>I66/(Supuestos!$B$39*60)+I70*Supuestos!$B$40/60</f>
        <v>8.44312439</v>
      </c>
      <c r="J72" s="16">
        <f>J66/(Supuestos!$B$39*60)+J70*Supuestos!$B$40/60</f>
        <v>11.41098355</v>
      </c>
      <c r="K72" s="16">
        <f>K66/(Supuestos!$B$39*60)+K70*Supuestos!$B$40/60</f>
        <v>14.44326458</v>
      </c>
      <c r="L72" s="16">
        <f>L66/(Supuestos!$B$39*60)+L70*Supuestos!$B$40/60</f>
        <v>16.41837381</v>
      </c>
      <c r="M72" s="16">
        <f>M66/(Supuestos!$B$39*60)+M70*Supuestos!$B$40/60</f>
        <v>18.90084238</v>
      </c>
    </row>
    <row r="73" ht="14.25" customHeight="1"/>
    <row r="74" ht="14.25" customHeight="1"/>
    <row r="75" ht="14.25" customHeight="1">
      <c r="A75" s="3" t="s">
        <v>484</v>
      </c>
    </row>
    <row r="76" ht="14.25" customHeight="1">
      <c r="A76" s="7" t="s">
        <v>220</v>
      </c>
      <c r="B76" s="8">
        <v>1000.0</v>
      </c>
      <c r="C76" s="7" t="s">
        <v>86</v>
      </c>
      <c r="D76" s="45">
        <f>Nesting!$E$8</f>
        <v>2</v>
      </c>
      <c r="E76" s="7" t="s">
        <v>88</v>
      </c>
      <c r="F76" s="47" t="str">
        <f>Nesting!$F$8</f>
        <v>LAF</v>
      </c>
      <c r="G76" s="7" t="s">
        <v>236</v>
      </c>
      <c r="H76" s="33">
        <f>B76*D76*Supuestos!$B$10/1000</f>
        <v>15.74</v>
      </c>
    </row>
    <row r="77" ht="48.0" customHeight="1">
      <c r="A77" s="4" t="s">
        <v>245</v>
      </c>
      <c r="B77" s="4" t="s">
        <v>246</v>
      </c>
      <c r="C77" s="4" t="s">
        <v>247</v>
      </c>
      <c r="D77" s="4" t="s">
        <v>249</v>
      </c>
      <c r="E77" s="4" t="s">
        <v>251</v>
      </c>
      <c r="F77" s="4" t="s">
        <v>252</v>
      </c>
      <c r="G77" s="4" t="s">
        <v>253</v>
      </c>
      <c r="H77" s="4" t="s">
        <v>254</v>
      </c>
    </row>
    <row r="78" ht="14.25" customHeight="1">
      <c r="A78" s="7" t="s">
        <v>406</v>
      </c>
      <c r="B78" s="21">
        <v>1.0</v>
      </c>
      <c r="C78" s="50">
        <f>IF(B78=1,Nesting!$C$8,Nesting!$D$8)</f>
        <v>495</v>
      </c>
      <c r="D78" s="50">
        <f>IF(B78=1,Nesting!$D$8,Nesting!$C$8)</f>
        <v>563</v>
      </c>
      <c r="E78" s="8">
        <v>0.0</v>
      </c>
      <c r="F78" s="8">
        <v>0.0</v>
      </c>
      <c r="G78" s="8">
        <v>2.0</v>
      </c>
      <c r="H78" s="49">
        <f t="shared" ref="H78:H80" si="19">E78*$E$81+F78*$F$81+G78*$G$81</f>
        <v>1.3964</v>
      </c>
    </row>
    <row r="79" ht="14.25" customHeight="1">
      <c r="A79" s="7" t="s">
        <v>485</v>
      </c>
      <c r="B79" s="7" t="s">
        <v>256</v>
      </c>
      <c r="C79" s="48">
        <f>Nesting!$G$32</f>
        <v>264</v>
      </c>
      <c r="D79" s="48">
        <f>Nesting!$H$32</f>
        <v>261</v>
      </c>
      <c r="E79" s="8">
        <v>2.0</v>
      </c>
      <c r="F79" s="8">
        <v>3.0</v>
      </c>
      <c r="G79" s="8">
        <v>0.0</v>
      </c>
      <c r="H79" s="49">
        <f t="shared" si="19"/>
        <v>0.6474</v>
      </c>
    </row>
    <row r="80" ht="14.25" customHeight="1">
      <c r="A80" s="7" t="s">
        <v>486</v>
      </c>
      <c r="B80" s="7" t="s">
        <v>256</v>
      </c>
      <c r="C80" s="48">
        <f>Nesting!$G$33</f>
        <v>211</v>
      </c>
      <c r="D80" s="48">
        <f>Nesting!$H$33</f>
        <v>208</v>
      </c>
      <c r="E80" s="8">
        <v>2.0</v>
      </c>
      <c r="F80" s="8">
        <v>0.0</v>
      </c>
      <c r="G80" s="8">
        <v>0.0</v>
      </c>
      <c r="H80" s="49">
        <f t="shared" si="19"/>
        <v>0.516</v>
      </c>
    </row>
    <row r="81" ht="14.25" customHeight="1">
      <c r="A81" s="7" t="s">
        <v>285</v>
      </c>
      <c r="E81" s="14">
        <v>0.258</v>
      </c>
      <c r="F81" s="14">
        <v>0.0438</v>
      </c>
      <c r="G81" s="14">
        <v>0.6982</v>
      </c>
      <c r="H81" s="7" t="str">
        <f>IF(ABS(SUM(E81:G81)-1)&lt;0.001,"Suma 100% OK","REVISAR: no suma 100%")</f>
        <v>Suma 100% OK</v>
      </c>
    </row>
    <row r="82" ht="14.25" customHeight="1">
      <c r="A82" s="7" t="s">
        <v>294</v>
      </c>
      <c r="E82" s="50">
        <f t="shared" ref="E82:G82" si="20">SUMPRODUCT($C$78:$C$80,E78:E80)</f>
        <v>950</v>
      </c>
      <c r="F82" s="50">
        <f t="shared" si="20"/>
        <v>792</v>
      </c>
      <c r="G82" s="50">
        <f t="shared" si="20"/>
        <v>990</v>
      </c>
    </row>
    <row r="83" ht="14.25" customHeight="1">
      <c r="A83" s="7" t="s">
        <v>296</v>
      </c>
      <c r="E83" s="50">
        <f t="shared" ref="E83:G83" si="21">IF(E82=0,0,$B$76-E82)</f>
        <v>50</v>
      </c>
      <c r="F83" s="50">
        <f t="shared" si="21"/>
        <v>208</v>
      </c>
      <c r="G83" s="50">
        <f t="shared" si="21"/>
        <v>10</v>
      </c>
    </row>
    <row r="84" ht="14.25" customHeight="1">
      <c r="A84" s="7" t="s">
        <v>298</v>
      </c>
      <c r="E84" s="7" t="str">
        <f>IF(E82=0,"sin uso",IF($B$76-E82&gt;=Supuestos!$B$11,"OK","NO ENTRA"))</f>
        <v>OK</v>
      </c>
      <c r="F84" s="7" t="str">
        <f>IF(F82=0,"sin uso",IF($B$76-F82&gt;=Supuestos!$B$11,"OK","NO ENTRA"))</f>
        <v>OK</v>
      </c>
      <c r="G84" s="7" t="str">
        <f>IF(G82=0,"sin uso",IF($B$76-G82&gt;=Supuestos!$B$11,"OK","NO ENTRA"))</f>
        <v>OK</v>
      </c>
    </row>
    <row r="85" ht="14.25" customHeight="1"/>
    <row r="86" ht="14.25" customHeight="1">
      <c r="A86" s="4" t="s">
        <v>301</v>
      </c>
      <c r="B86" s="4"/>
      <c r="C86" s="4"/>
      <c r="D86" s="4">
        <v>2026.0</v>
      </c>
      <c r="E86" s="4">
        <v>2027.0</v>
      </c>
      <c r="F86" s="4">
        <v>2028.0</v>
      </c>
      <c r="G86" s="4">
        <v>2029.0</v>
      </c>
      <c r="H86" s="4">
        <v>2030.0</v>
      </c>
      <c r="I86" s="4">
        <v>2031.0</v>
      </c>
      <c r="J86" s="4">
        <v>2032.0</v>
      </c>
      <c r="K86" s="4">
        <v>2033.0</v>
      </c>
      <c r="L86" s="4">
        <v>2034.0</v>
      </c>
      <c r="M86" s="4">
        <v>2035.0</v>
      </c>
    </row>
    <row r="87" ht="14.25" customHeight="1">
      <c r="A87" s="7" t="s">
        <v>488</v>
      </c>
      <c r="D87" s="16">
        <f>Calculo!D11*$D$78/1000</f>
        <v>51.796</v>
      </c>
      <c r="E87" s="16">
        <f>Calculo!E11*$D$78/1000</f>
        <v>99.651</v>
      </c>
      <c r="F87" s="16">
        <f>Calculo!F11*$D$78/1000</f>
        <v>193.109</v>
      </c>
      <c r="G87" s="16">
        <f>Calculo!G11*$D$78/1000</f>
        <v>378.899</v>
      </c>
      <c r="H87" s="16">
        <f>Calculo!H11*$D$78/1000</f>
        <v>667.718</v>
      </c>
      <c r="I87" s="16">
        <f>Calculo!I11*$D$78/1000</f>
        <v>967.234</v>
      </c>
      <c r="J87" s="16">
        <f>Calculo!J11*$D$78/1000</f>
        <v>1307.286</v>
      </c>
      <c r="K87" s="16">
        <f>Calculo!K11*$D$78/1000</f>
        <v>1655.22</v>
      </c>
      <c r="L87" s="16">
        <f>Calculo!L11*$D$78/1000</f>
        <v>1882.109</v>
      </c>
      <c r="M87" s="16">
        <f>Calculo!M11*$D$78/1000</f>
        <v>2168.676</v>
      </c>
    </row>
    <row r="88" ht="14.25" customHeight="1">
      <c r="A88" s="7" t="s">
        <v>491</v>
      </c>
      <c r="D88" s="16">
        <f>Calculo!D11*$D$79/1000</f>
        <v>24.012</v>
      </c>
      <c r="E88" s="16">
        <f>Calculo!E11*$D$79/1000</f>
        <v>46.197</v>
      </c>
      <c r="F88" s="16">
        <f>Calculo!F11*$D$79/1000</f>
        <v>89.523</v>
      </c>
      <c r="G88" s="16">
        <f>Calculo!G11*$D$79/1000</f>
        <v>175.653</v>
      </c>
      <c r="H88" s="16">
        <f>Calculo!H11*$D$79/1000</f>
        <v>309.546</v>
      </c>
      <c r="I88" s="16">
        <f>Calculo!I11*$D$79/1000</f>
        <v>448.398</v>
      </c>
      <c r="J88" s="16">
        <f>Calculo!J11*$D$79/1000</f>
        <v>606.042</v>
      </c>
      <c r="K88" s="16">
        <f>Calculo!K11*$D$79/1000</f>
        <v>767.34</v>
      </c>
      <c r="L88" s="16">
        <f>Calculo!L11*$D$79/1000</f>
        <v>872.523</v>
      </c>
      <c r="M88" s="16">
        <f>Calculo!M11*$D$79/1000</f>
        <v>1005.372</v>
      </c>
    </row>
    <row r="89" ht="14.25" customHeight="1">
      <c r="A89" s="7" t="s">
        <v>493</v>
      </c>
      <c r="D89" s="16">
        <f>Calculo!D11*$D$80/1000</f>
        <v>19.136</v>
      </c>
      <c r="E89" s="16">
        <f>Calculo!E11*$D$80/1000</f>
        <v>36.816</v>
      </c>
      <c r="F89" s="16">
        <f>Calculo!F11*$D$80/1000</f>
        <v>71.344</v>
      </c>
      <c r="G89" s="16">
        <f>Calculo!G11*$D$80/1000</f>
        <v>139.984</v>
      </c>
      <c r="H89" s="16">
        <f>Calculo!H11*$D$80/1000</f>
        <v>246.688</v>
      </c>
      <c r="I89" s="16">
        <f>Calculo!I11*$D$80/1000</f>
        <v>357.344</v>
      </c>
      <c r="J89" s="16">
        <f>Calculo!J11*$D$80/1000</f>
        <v>482.976</v>
      </c>
      <c r="K89" s="16">
        <f>Calculo!K11*$D$80/1000</f>
        <v>611.52</v>
      </c>
      <c r="L89" s="16">
        <f>Calculo!L11*$D$80/1000</f>
        <v>695.344</v>
      </c>
      <c r="M89" s="16">
        <f>Calculo!M11*$D$80/1000</f>
        <v>801.216</v>
      </c>
    </row>
    <row r="90" ht="14.25" customHeight="1">
      <c r="A90" s="5" t="s">
        <v>331</v>
      </c>
      <c r="D90" s="58">
        <f t="shared" ref="D90:M90" si="22">MAX(IF($H$78=0,IF(D87&gt;0,1000000000000,0),D87/$H$78),IF($H$79=0,IF(D88&gt;0,1000000000000,0),D88/$H$79),IF($H$80=0,IF(D89&gt;0,1000000000000,0),D89/$H$80))</f>
        <v>37.09252363</v>
      </c>
      <c r="E90" s="58">
        <f t="shared" si="22"/>
        <v>71.36279003</v>
      </c>
      <c r="F90" s="58">
        <f t="shared" si="22"/>
        <v>138.2906044</v>
      </c>
      <c r="G90" s="58">
        <f t="shared" si="22"/>
        <v>271.339874</v>
      </c>
      <c r="H90" s="58">
        <f t="shared" si="22"/>
        <v>478.1710112</v>
      </c>
      <c r="I90" s="58">
        <f t="shared" si="22"/>
        <v>692.6625609</v>
      </c>
      <c r="J90" s="58">
        <f t="shared" si="22"/>
        <v>936.1830421</v>
      </c>
      <c r="K90" s="58">
        <f t="shared" si="22"/>
        <v>1185.348038</v>
      </c>
      <c r="L90" s="58">
        <f t="shared" si="22"/>
        <v>1347.829419</v>
      </c>
      <c r="M90" s="58">
        <f t="shared" si="22"/>
        <v>1553.047837</v>
      </c>
    </row>
    <row r="91" ht="14.25" customHeight="1">
      <c r="A91" s="5" t="s">
        <v>341</v>
      </c>
      <c r="D91" s="61">
        <f>D90*$H$76/1000/(1-Supuestos!$B$12)</f>
        <v>0.5867701728</v>
      </c>
      <c r="E91" s="61">
        <f>E90*$H$76/1000/(1-Supuestos!$B$12)</f>
        <v>1.128894789</v>
      </c>
      <c r="F91" s="61">
        <f>F90*$H$76/1000/(1-Supuestos!$B$12)</f>
        <v>2.187632275</v>
      </c>
      <c r="G91" s="61">
        <f>G90*$H$76/1000/(1-Supuestos!$B$12)</f>
        <v>4.292351373</v>
      </c>
      <c r="H91" s="61">
        <f>H90*$H$76/1000/(1-Supuestos!$B$12)</f>
        <v>7.56423288</v>
      </c>
      <c r="I91" s="61">
        <f>I90*$H$76/1000/(1-Supuestos!$B$12)</f>
        <v>10.95729518</v>
      </c>
      <c r="J91" s="61">
        <f>J90*$H$76/1000/(1-Supuestos!$B$12)</f>
        <v>14.80956893</v>
      </c>
      <c r="K91" s="61">
        <f>K90*$H$76/1000/(1-Supuestos!$B$12)</f>
        <v>18.75113378</v>
      </c>
      <c r="L91" s="61">
        <f>L90*$H$76/1000/(1-Supuestos!$B$12)</f>
        <v>21.32144226</v>
      </c>
      <c r="M91" s="61">
        <f>M90*$H$76/1000/(1-Supuestos!$B$12)</f>
        <v>24.56781202</v>
      </c>
    </row>
    <row r="92" ht="14.25" customHeight="1">
      <c r="A92" s="7" t="s">
        <v>355</v>
      </c>
      <c r="D92" s="65">
        <f>Calculo!D21+Calculo!D37+Calculo!D38</f>
        <v>0.5270585481</v>
      </c>
      <c r="E92" s="65">
        <f>Calculo!E21+Calculo!E37+Calculo!E38</f>
        <v>1.014014815</v>
      </c>
      <c r="F92" s="65">
        <f>Calculo!F21+Calculo!F37+Calculo!F38</f>
        <v>1.965011761</v>
      </c>
      <c r="G92" s="65">
        <f>Calculo!G21+Calculo!G37+Calculo!G38</f>
        <v>3.855547858</v>
      </c>
      <c r="H92" s="65">
        <f>Calculo!H21+Calculo!H37+Calculo!H38</f>
        <v>6.794472153</v>
      </c>
      <c r="I92" s="65">
        <f>Calculo!I21+Calculo!I37+Calculo!I38</f>
        <v>9.842245497</v>
      </c>
      <c r="J92" s="65">
        <f>Calculo!J21+Calculo!J37+Calculo!J38</f>
        <v>13.30249944</v>
      </c>
      <c r="K92" s="65">
        <f>Calculo!K21+Calculo!K37+Calculo!K38</f>
        <v>16.84295795</v>
      </c>
      <c r="L92" s="65">
        <f>Calculo!L21+Calculo!L37+Calculo!L38</f>
        <v>19.15170355</v>
      </c>
      <c r="M92" s="65">
        <f>Calculo!M21+Calculo!M37+Calculo!M38</f>
        <v>22.06771225</v>
      </c>
    </row>
    <row r="93" ht="14.25" customHeight="1">
      <c r="A93" s="7" t="s">
        <v>393</v>
      </c>
      <c r="D93" s="51">
        <f t="shared" ref="D93:M93" si="23">IF(D91=0,0,D92/D91)</f>
        <v>0.8982367757</v>
      </c>
      <c r="E93" s="51">
        <f t="shared" si="23"/>
        <v>0.8982367757</v>
      </c>
      <c r="F93" s="51">
        <f t="shared" si="23"/>
        <v>0.8982367757</v>
      </c>
      <c r="G93" s="51">
        <f t="shared" si="23"/>
        <v>0.8982367757</v>
      </c>
      <c r="H93" s="51">
        <f t="shared" si="23"/>
        <v>0.8982367757</v>
      </c>
      <c r="I93" s="51">
        <f t="shared" si="23"/>
        <v>0.8982367757</v>
      </c>
      <c r="J93" s="51">
        <f t="shared" si="23"/>
        <v>0.8982367757</v>
      </c>
      <c r="K93" s="51">
        <f t="shared" si="23"/>
        <v>0.8982367757</v>
      </c>
      <c r="L93" s="51">
        <f t="shared" si="23"/>
        <v>0.8982367757</v>
      </c>
      <c r="M93" s="51">
        <f t="shared" si="23"/>
        <v>0.8982367757</v>
      </c>
    </row>
    <row r="94" ht="14.25" customHeight="1">
      <c r="A94" s="7" t="s">
        <v>399</v>
      </c>
      <c r="D94" s="50">
        <f>IF(Bobinas!$K$27=0,0,D91/Bobinas!$K$27)</f>
        <v>0.2347080691</v>
      </c>
      <c r="E94" s="50">
        <f>IF(Bobinas!$K$27=0,0,E91/Bobinas!$K$27)</f>
        <v>0.4515579156</v>
      </c>
      <c r="F94" s="50">
        <f>IF(Bobinas!$K$27=0,0,F91/Bobinas!$K$27)</f>
        <v>0.8750529099</v>
      </c>
      <c r="G94" s="50">
        <f>IF(Bobinas!$K$27=0,0,G91/Bobinas!$K$27)</f>
        <v>1.716940549</v>
      </c>
      <c r="H94" s="50">
        <f>IF(Bobinas!$K$27=0,0,H91/Bobinas!$K$27)</f>
        <v>3.025693152</v>
      </c>
      <c r="I94" s="50">
        <f>IF(Bobinas!$K$27=0,0,I91/Bobinas!$K$27)</f>
        <v>4.382918074</v>
      </c>
      <c r="J94" s="50">
        <f>IF(Bobinas!$K$27=0,0,J91/Bobinas!$K$27)</f>
        <v>5.923827571</v>
      </c>
      <c r="K94" s="50">
        <f>IF(Bobinas!$K$27=0,0,K91/Bobinas!$K$27)</f>
        <v>7.500453514</v>
      </c>
      <c r="L94" s="50">
        <f>IF(Bobinas!$K$27=0,0,L91/Bobinas!$K$27)</f>
        <v>8.528576903</v>
      </c>
      <c r="M94" s="50">
        <f>IF(Bobinas!$K$27=0,0,M91/Bobinas!$K$27)</f>
        <v>9.827124808</v>
      </c>
    </row>
    <row r="95" ht="14.25" customHeight="1">
      <c r="A95" s="7" t="s">
        <v>400</v>
      </c>
      <c r="D95" s="50">
        <f t="shared" ref="D95:M95" si="24">D94*($H$79+$H$80)</f>
        <v>0.2730593676</v>
      </c>
      <c r="E95" s="50">
        <f t="shared" si="24"/>
        <v>0.525342479</v>
      </c>
      <c r="F95" s="50">
        <f t="shared" si="24"/>
        <v>1.018036555</v>
      </c>
      <c r="G95" s="50">
        <f t="shared" si="24"/>
        <v>1.997488635</v>
      </c>
      <c r="H95" s="50">
        <f t="shared" si="24"/>
        <v>3.520091413</v>
      </c>
      <c r="I95" s="50">
        <f t="shared" si="24"/>
        <v>5.099086887</v>
      </c>
      <c r="J95" s="50">
        <f t="shared" si="24"/>
        <v>6.891780996</v>
      </c>
      <c r="K95" s="50">
        <f t="shared" si="24"/>
        <v>8.726027618</v>
      </c>
      <c r="L95" s="50">
        <f t="shared" si="24"/>
        <v>9.922146369</v>
      </c>
      <c r="M95" s="50">
        <f t="shared" si="24"/>
        <v>11.432877</v>
      </c>
    </row>
    <row r="96" ht="14.25" customHeight="1">
      <c r="A96" s="7" t="s">
        <v>401</v>
      </c>
      <c r="D96" s="16">
        <f>D90/(Supuestos!$B$39*60)+D94*Supuestos!$B$40/60</f>
        <v>0.19148627</v>
      </c>
      <c r="E96" s="16">
        <f>E90/(Supuestos!$B$39*60)+E94*Supuestos!$B$40/60</f>
        <v>0.3684029326</v>
      </c>
      <c r="F96" s="16">
        <f>F90/(Supuestos!$B$39*60)+F94*Supuestos!$B$40/60</f>
        <v>0.7139107676</v>
      </c>
      <c r="G96" s="16">
        <f>G90/(Supuestos!$B$39*60)+G94*Supuestos!$B$40/60</f>
        <v>1.400763693</v>
      </c>
      <c r="H96" s="16">
        <f>H90/(Supuestos!$B$39*60)+H94*Supuestos!$B$40/60</f>
        <v>2.468507785</v>
      </c>
      <c r="I96" s="16">
        <f>I90/(Supuestos!$B$39*60)+I94*Supuestos!$B$40/60</f>
        <v>3.575797956</v>
      </c>
      <c r="J96" s="16">
        <f>J90/(Supuestos!$B$39*60)+J94*Supuestos!$B$40/60</f>
        <v>4.832946946</v>
      </c>
      <c r="K96" s="16">
        <f>K90/(Supuestos!$B$39*60)+K94*Supuestos!$B$40/60</f>
        <v>6.119235151</v>
      </c>
      <c r="L96" s="16">
        <f>L90/(Supuestos!$B$39*60)+L94*Supuestos!$B$40/60</f>
        <v>6.958028269</v>
      </c>
      <c r="M96" s="16">
        <f>M90/(Supuestos!$B$39*60)+M94*Supuestos!$B$40/60</f>
        <v>8.017446871</v>
      </c>
    </row>
    <row r="97" ht="14.25" customHeight="1"/>
    <row r="98" ht="14.25" customHeight="1"/>
    <row r="99" ht="14.25" customHeight="1">
      <c r="A99" s="3" t="s">
        <v>522</v>
      </c>
    </row>
    <row r="100" ht="14.25" customHeight="1">
      <c r="A100" s="7" t="s">
        <v>220</v>
      </c>
      <c r="B100" s="8">
        <v>1500.0</v>
      </c>
      <c r="C100" s="7" t="s">
        <v>86</v>
      </c>
      <c r="D100" s="45">
        <f>Nesting!$E$9</f>
        <v>3.2</v>
      </c>
      <c r="E100" s="7" t="s">
        <v>88</v>
      </c>
      <c r="F100" s="47" t="str">
        <f>Nesting!$F$9</f>
        <v>LAC</v>
      </c>
      <c r="G100" s="7" t="s">
        <v>236</v>
      </c>
      <c r="H100" s="33">
        <f>B100*D100*Supuestos!$B$10/1000</f>
        <v>37.776</v>
      </c>
    </row>
    <row r="101" ht="48.0" customHeight="1">
      <c r="A101" s="4" t="s">
        <v>245</v>
      </c>
      <c r="B101" s="4" t="s">
        <v>246</v>
      </c>
      <c r="C101" s="4" t="s">
        <v>247</v>
      </c>
      <c r="D101" s="4" t="s">
        <v>249</v>
      </c>
      <c r="E101" s="4" t="s">
        <v>251</v>
      </c>
      <c r="F101" s="4" t="s">
        <v>252</v>
      </c>
      <c r="G101" s="4" t="s">
        <v>253</v>
      </c>
      <c r="H101" s="4" t="s">
        <v>254</v>
      </c>
    </row>
    <row r="102" ht="14.25" customHeight="1">
      <c r="A102" s="7" t="s">
        <v>412</v>
      </c>
      <c r="B102" s="21">
        <v>1.0</v>
      </c>
      <c r="C102" s="50">
        <f>IF(B102=1,Nesting!$C$9,Nesting!$D$9)</f>
        <v>490</v>
      </c>
      <c r="D102" s="50">
        <f>IF(B102=1,Nesting!$D$9,Nesting!$C$9)</f>
        <v>858</v>
      </c>
      <c r="E102" s="8">
        <v>0.0</v>
      </c>
      <c r="F102" s="8">
        <v>3.0</v>
      </c>
      <c r="G102" s="8">
        <v>0.0</v>
      </c>
      <c r="H102" s="49">
        <f t="shared" ref="H102:H103" si="25">E102*$E$104+F102*$F$104+G102*$G$104</f>
        <v>0.6216</v>
      </c>
    </row>
    <row r="103" ht="14.25" customHeight="1">
      <c r="A103" s="7" t="s">
        <v>416</v>
      </c>
      <c r="B103" s="21">
        <v>1.0</v>
      </c>
      <c r="C103" s="50">
        <f>IF(B103=1,Nesting!$C$10,Nesting!$D$10)</f>
        <v>640</v>
      </c>
      <c r="D103" s="50">
        <f>IF(B103=1,Nesting!$D$10,Nesting!$C$10)</f>
        <v>994</v>
      </c>
      <c r="E103" s="8">
        <v>2.0</v>
      </c>
      <c r="F103" s="8">
        <v>0.0</v>
      </c>
      <c r="G103" s="8">
        <v>0.0</v>
      </c>
      <c r="H103" s="49">
        <f t="shared" si="25"/>
        <v>1.5856</v>
      </c>
    </row>
    <row r="104" ht="14.25" customHeight="1">
      <c r="A104" s="7" t="s">
        <v>285</v>
      </c>
      <c r="E104" s="14">
        <v>0.7928</v>
      </c>
      <c r="F104" s="14">
        <v>0.2072</v>
      </c>
      <c r="G104" s="14">
        <v>0.0</v>
      </c>
      <c r="H104" s="7" t="str">
        <f>IF(ABS(SUM(E104:G104)-1)&lt;0.001,"Suma 100% OK","REVISAR: no suma 100%")</f>
        <v>Suma 100% OK</v>
      </c>
    </row>
    <row r="105" ht="14.25" customHeight="1">
      <c r="A105" s="7" t="s">
        <v>294</v>
      </c>
      <c r="E105" s="50">
        <f t="shared" ref="E105:G105" si="26">SUMPRODUCT($C$102:$C$103,E102:E103)</f>
        <v>1280</v>
      </c>
      <c r="F105" s="50">
        <f t="shared" si="26"/>
        <v>1470</v>
      </c>
      <c r="G105" s="50">
        <f t="shared" si="26"/>
        <v>0</v>
      </c>
    </row>
    <row r="106" ht="14.25" customHeight="1">
      <c r="A106" s="7" t="s">
        <v>296</v>
      </c>
      <c r="E106" s="50">
        <f t="shared" ref="E106:G106" si="27">IF(E105=0,0,$B$100-E105)</f>
        <v>220</v>
      </c>
      <c r="F106" s="50">
        <f t="shared" si="27"/>
        <v>30</v>
      </c>
      <c r="G106" s="50">
        <f t="shared" si="27"/>
        <v>0</v>
      </c>
    </row>
    <row r="107" ht="14.25" customHeight="1">
      <c r="A107" s="7" t="s">
        <v>298</v>
      </c>
      <c r="E107" s="7" t="str">
        <f>IF(E105=0,"sin uso",IF($B$100-E105&gt;=Supuestos!$B$11,"OK","NO ENTRA"))</f>
        <v>OK</v>
      </c>
      <c r="F107" s="7" t="str">
        <f>IF(F105=0,"sin uso",IF($B$100-F105&gt;=Supuestos!$B$11,"OK","NO ENTRA"))</f>
        <v>OK</v>
      </c>
      <c r="G107" s="7" t="str">
        <f>IF(G105=0,"sin uso",IF($B$100-G105&gt;=Supuestos!$B$11,"OK","NO ENTRA"))</f>
        <v>sin uso</v>
      </c>
    </row>
    <row r="108" ht="14.25" customHeight="1"/>
    <row r="109" ht="14.25" customHeight="1">
      <c r="A109" s="4" t="s">
        <v>301</v>
      </c>
      <c r="B109" s="4"/>
      <c r="C109" s="4"/>
      <c r="D109" s="4">
        <v>2026.0</v>
      </c>
      <c r="E109" s="4">
        <v>2027.0</v>
      </c>
      <c r="F109" s="4">
        <v>2028.0</v>
      </c>
      <c r="G109" s="4">
        <v>2029.0</v>
      </c>
      <c r="H109" s="4">
        <v>2030.0</v>
      </c>
      <c r="I109" s="4">
        <v>2031.0</v>
      </c>
      <c r="J109" s="4">
        <v>2032.0</v>
      </c>
      <c r="K109" s="4">
        <v>2033.0</v>
      </c>
      <c r="L109" s="4">
        <v>2034.0</v>
      </c>
      <c r="M109" s="4">
        <v>2035.0</v>
      </c>
    </row>
    <row r="110" ht="14.25" customHeight="1">
      <c r="A110" s="7" t="s">
        <v>524</v>
      </c>
      <c r="D110" s="16">
        <f>Calculo!D12*$D$102/1000</f>
        <v>29.172</v>
      </c>
      <c r="E110" s="16">
        <f>Calculo!E12*$D$102/1000</f>
        <v>49.764</v>
      </c>
      <c r="F110" s="16">
        <f>Calculo!F12*$D$102/1000</f>
        <v>77.22</v>
      </c>
      <c r="G110" s="16">
        <f>Calculo!G12*$D$102/1000</f>
        <v>128.7</v>
      </c>
      <c r="H110" s="16">
        <f>Calculo!H12*$D$102/1000</f>
        <v>213.642</v>
      </c>
      <c r="I110" s="16">
        <f>Calculo!I12*$D$102/1000</f>
        <v>297.726</v>
      </c>
      <c r="J110" s="16">
        <f>Calculo!J12*$D$102/1000</f>
        <v>398.112</v>
      </c>
      <c r="K110" s="16">
        <f>Calculo!K12*$D$102/1000</f>
        <v>501.93</v>
      </c>
      <c r="L110" s="16">
        <f>Calculo!L12*$D$102/1000</f>
        <v>574.86</v>
      </c>
      <c r="M110" s="16">
        <f>Calculo!M12*$D$102/1000</f>
        <v>664.95</v>
      </c>
    </row>
    <row r="111" ht="14.25" customHeight="1">
      <c r="A111" s="7" t="s">
        <v>526</v>
      </c>
      <c r="D111" s="16">
        <f>Calculo!D13*$D$103/1000</f>
        <v>74.55</v>
      </c>
      <c r="E111" s="16">
        <f>Calculo!E13*$D$103/1000</f>
        <v>127.232</v>
      </c>
      <c r="F111" s="16">
        <f>Calculo!F13*$D$103/1000</f>
        <v>196.812</v>
      </c>
      <c r="G111" s="16">
        <f>Calculo!G13*$D$103/1000</f>
        <v>330.008</v>
      </c>
      <c r="H111" s="16">
        <f>Calculo!H13*$D$103/1000</f>
        <v>544.712</v>
      </c>
      <c r="I111" s="16">
        <f>Calculo!I13*$D$103/1000</f>
        <v>759.416</v>
      </c>
      <c r="J111" s="16">
        <f>Calculo!J13*$D$103/1000</f>
        <v>1013.88</v>
      </c>
      <c r="K111" s="16">
        <f>Calculo!K13*$D$103/1000</f>
        <v>1279.278</v>
      </c>
      <c r="L111" s="16">
        <f>Calculo!L13*$D$103/1000</f>
        <v>1467.144</v>
      </c>
      <c r="M111" s="16">
        <f>Calculo!M13*$D$103/1000</f>
        <v>1694.77</v>
      </c>
    </row>
    <row r="112" ht="14.25" customHeight="1">
      <c r="A112" s="5" t="s">
        <v>331</v>
      </c>
      <c r="D112" s="58">
        <f t="shared" ref="D112:M112" si="28">MAX(IF($H$102=0,IF(D110&gt;0,1000000000000,0),D110/$H$102),IF($H$103=0,IF(D111&gt;0,1000000000000,0),D111/$H$103))</f>
        <v>47.01690212</v>
      </c>
      <c r="E112" s="58">
        <f t="shared" si="28"/>
        <v>80.24217962</v>
      </c>
      <c r="F112" s="58">
        <f t="shared" si="28"/>
        <v>124.2277992</v>
      </c>
      <c r="G112" s="58">
        <f t="shared" si="28"/>
        <v>208.1281534</v>
      </c>
      <c r="H112" s="58">
        <f t="shared" si="28"/>
        <v>343.6969112</v>
      </c>
      <c r="I112" s="58">
        <f t="shared" si="28"/>
        <v>478.9671815</v>
      </c>
      <c r="J112" s="58">
        <f t="shared" si="28"/>
        <v>640.4633205</v>
      </c>
      <c r="K112" s="58">
        <f t="shared" si="28"/>
        <v>807.480695</v>
      </c>
      <c r="L112" s="58">
        <f t="shared" si="28"/>
        <v>925.2926337</v>
      </c>
      <c r="M112" s="58">
        <f t="shared" si="28"/>
        <v>1069.739382</v>
      </c>
    </row>
    <row r="113" ht="14.25" customHeight="1">
      <c r="A113" s="5" t="s">
        <v>341</v>
      </c>
      <c r="D113" s="61">
        <f>D112*$H$100/1000/(1-Supuestos!$B$12)</f>
        <v>1.785035673</v>
      </c>
      <c r="E113" s="61">
        <f>E112*$H$100/1000/(1-Supuestos!$B$12)</f>
        <v>3.046460882</v>
      </c>
      <c r="F113" s="61">
        <f>F112*$H$100/1000/(1-Supuestos!$B$12)</f>
        <v>4.716411401</v>
      </c>
      <c r="G113" s="61">
        <f>G112*$H$100/1000/(1-Supuestos!$B$12)</f>
        <v>7.901757912</v>
      </c>
      <c r="H113" s="61">
        <f>H112*$H$100/1000/(1-Supuestos!$B$12)</f>
        <v>13.04873821</v>
      </c>
      <c r="I113" s="61">
        <f>I112*$H$100/1000/(1-Supuestos!$B$12)</f>
        <v>18.18438618</v>
      </c>
      <c r="J113" s="61">
        <f>J112*$H$100/1000/(1-Supuestos!$B$12)</f>
        <v>24.315721</v>
      </c>
      <c r="K113" s="61">
        <f>K112*$H$100/1000/(1-Supuestos!$B$12)</f>
        <v>30.6566741</v>
      </c>
      <c r="L113" s="61">
        <f>L112*$H$100/1000/(1-Supuestos!$B$12)</f>
        <v>35.12950204</v>
      </c>
      <c r="M113" s="61">
        <f>M112*$H$100/1000/(1-Supuestos!$B$12)</f>
        <v>40.61354262</v>
      </c>
    </row>
    <row r="114" ht="14.25" customHeight="1">
      <c r="A114" s="7" t="s">
        <v>355</v>
      </c>
      <c r="D114" s="65">
        <f>Calculo!D22+Calculo!D23</f>
        <v>1.561566156</v>
      </c>
      <c r="E114" s="65">
        <f>Calculo!E22+Calculo!E23</f>
        <v>2.664790563</v>
      </c>
      <c r="F114" s="65">
        <f>Calculo!F22+Calculo!F23</f>
        <v>4.125075736</v>
      </c>
      <c r="G114" s="65">
        <f>Calculo!G22+Calculo!G23</f>
        <v>6.907168334</v>
      </c>
      <c r="H114" s="65">
        <f>Calculo!H22+Calculo!H23</f>
        <v>11.41591375</v>
      </c>
      <c r="I114" s="65">
        <f>Calculo!I22+Calculo!I23</f>
        <v>15.9140713</v>
      </c>
      <c r="J114" s="65">
        <f>Calculo!J22+Calculo!J23</f>
        <v>21.25424029</v>
      </c>
      <c r="K114" s="65">
        <f>Calculo!K22+Calculo!K23</f>
        <v>26.81299229</v>
      </c>
      <c r="L114" s="65">
        <f>Calculo!L22+Calculo!L23</f>
        <v>30.74093926</v>
      </c>
      <c r="M114" s="65">
        <f>Calculo!M22+Calculo!M23</f>
        <v>35.52148551</v>
      </c>
    </row>
    <row r="115" ht="14.25" customHeight="1">
      <c r="A115" s="7" t="s">
        <v>393</v>
      </c>
      <c r="D115" s="51">
        <f t="shared" ref="D115:M115" si="29">IF(D113=0,0,D114/D113)</f>
        <v>0.874809495</v>
      </c>
      <c r="E115" s="51">
        <f t="shared" si="29"/>
        <v>0.874716816</v>
      </c>
      <c r="F115" s="51">
        <f t="shared" si="29"/>
        <v>0.8746216956</v>
      </c>
      <c r="G115" s="51">
        <f t="shared" si="29"/>
        <v>0.8741305936</v>
      </c>
      <c r="H115" s="51">
        <f t="shared" si="29"/>
        <v>0.8748672527</v>
      </c>
      <c r="I115" s="51">
        <f t="shared" si="29"/>
        <v>0.8751503157</v>
      </c>
      <c r="J115" s="51">
        <f t="shared" si="29"/>
        <v>0.8740945945</v>
      </c>
      <c r="K115" s="51">
        <f t="shared" si="29"/>
        <v>0.8746216956</v>
      </c>
      <c r="L115" s="51">
        <f t="shared" si="29"/>
        <v>0.8750747226</v>
      </c>
      <c r="M115" s="51">
        <f t="shared" si="29"/>
        <v>0.8746216956</v>
      </c>
    </row>
    <row r="116" ht="14.25" customHeight="1">
      <c r="A116" s="7" t="s">
        <v>399</v>
      </c>
      <c r="D116" s="50">
        <f>IF(Bobinas!$K$28=0,0,D113/Bobinas!$K$28)</f>
        <v>0.5100101922</v>
      </c>
      <c r="E116" s="50">
        <f>IF(Bobinas!$K$28=0,0,E113/Bobinas!$K$28)</f>
        <v>0.8704173947</v>
      </c>
      <c r="F116" s="50">
        <f>IF(Bobinas!$K$28=0,0,F113/Bobinas!$K$28)</f>
        <v>1.347546114</v>
      </c>
      <c r="G116" s="50">
        <f>IF(Bobinas!$K$28=0,0,G113/Bobinas!$K$28)</f>
        <v>2.257645118</v>
      </c>
      <c r="H116" s="50">
        <f>IF(Bobinas!$K$28=0,0,H113/Bobinas!$K$28)</f>
        <v>3.728210917</v>
      </c>
      <c r="I116" s="50">
        <f>IF(Bobinas!$K$28=0,0,I113/Bobinas!$K$28)</f>
        <v>5.195538908</v>
      </c>
      <c r="J116" s="50">
        <f>IF(Bobinas!$K$28=0,0,J113/Bobinas!$K$28)</f>
        <v>6.947348857</v>
      </c>
      <c r="K116" s="50">
        <f>IF(Bobinas!$K$28=0,0,K113/Bobinas!$K$28)</f>
        <v>8.759049744</v>
      </c>
      <c r="L116" s="50">
        <f>IF(Bobinas!$K$28=0,0,L113/Bobinas!$K$28)</f>
        <v>10.03700058</v>
      </c>
      <c r="M116" s="50">
        <f>IF(Bobinas!$K$28=0,0,M113/Bobinas!$K$28)</f>
        <v>11.60386932</v>
      </c>
    </row>
    <row r="117" ht="14.25" customHeight="1">
      <c r="A117" s="7" t="s">
        <v>400</v>
      </c>
      <c r="D117" s="50">
        <f t="shared" ref="D117:M117" si="30">0</f>
        <v>0</v>
      </c>
      <c r="E117" s="50">
        <f t="shared" si="30"/>
        <v>0</v>
      </c>
      <c r="F117" s="50">
        <f t="shared" si="30"/>
        <v>0</v>
      </c>
      <c r="G117" s="50">
        <f t="shared" si="30"/>
        <v>0</v>
      </c>
      <c r="H117" s="50">
        <f t="shared" si="30"/>
        <v>0</v>
      </c>
      <c r="I117" s="50">
        <f t="shared" si="30"/>
        <v>0</v>
      </c>
      <c r="J117" s="50">
        <f t="shared" si="30"/>
        <v>0</v>
      </c>
      <c r="K117" s="50">
        <f t="shared" si="30"/>
        <v>0</v>
      </c>
      <c r="L117" s="50">
        <f t="shared" si="30"/>
        <v>0</v>
      </c>
      <c r="M117" s="50">
        <f t="shared" si="30"/>
        <v>0</v>
      </c>
    </row>
    <row r="118" ht="14.25" customHeight="1">
      <c r="A118" s="7" t="s">
        <v>401</v>
      </c>
      <c r="D118" s="16">
        <f>D112/(Supuestos!$B$39*60)+D116*Supuestos!$B$40/60</f>
        <v>0.4020980201</v>
      </c>
      <c r="E118" s="16">
        <f>E112/(Supuestos!$B$39*60)+E116*Supuestos!$B$40/60</f>
        <v>0.6862472876</v>
      </c>
      <c r="F118" s="16">
        <f>F112/(Supuestos!$B$39*60)+F116*Supuestos!$B$40/60</f>
        <v>1.062421169</v>
      </c>
      <c r="G118" s="16">
        <f>G112/(Supuestos!$B$39*60)+G116*Supuestos!$B$40/60</f>
        <v>1.779953902</v>
      </c>
      <c r="H118" s="16">
        <f>H112/(Supuestos!$B$39*60)+H116*Supuestos!$B$40/60</f>
        <v>2.939365234</v>
      </c>
      <c r="I118" s="16">
        <f>I112/(Supuestos!$B$39*60)+I116*Supuestos!$B$40/60</f>
        <v>4.09622384</v>
      </c>
      <c r="J118" s="16">
        <f>J112/(Supuestos!$B$39*60)+J116*Supuestos!$B$40/60</f>
        <v>5.477371359</v>
      </c>
      <c r="K118" s="16">
        <f>K112/(Supuestos!$B$39*60)+K116*Supuestos!$B$40/60</f>
        <v>6.905737598</v>
      </c>
      <c r="L118" s="16">
        <f>L112/(Supuestos!$B$39*60)+L116*Supuestos!$B$40/60</f>
        <v>7.913289035</v>
      </c>
      <c r="M118" s="16">
        <f>M112/(Supuestos!$B$39*60)+M116*Supuestos!$B$40/60</f>
        <v>9.148626732</v>
      </c>
    </row>
    <row r="119" ht="14.25" customHeight="1"/>
    <row r="120" ht="14.25" customHeight="1"/>
    <row r="121" ht="14.25" customHeight="1">
      <c r="A121" s="3" t="s">
        <v>557</v>
      </c>
    </row>
    <row r="122" ht="14.25" customHeight="1">
      <c r="A122" s="7" t="s">
        <v>220</v>
      </c>
      <c r="B122" s="8">
        <v>1245.0</v>
      </c>
      <c r="C122" s="7" t="s">
        <v>86</v>
      </c>
      <c r="D122" s="45">
        <f>Nesting!$E$11</f>
        <v>4.75</v>
      </c>
      <c r="E122" s="7" t="s">
        <v>88</v>
      </c>
      <c r="F122" s="47" t="str">
        <f>Nesting!$F$11</f>
        <v>LAC</v>
      </c>
      <c r="G122" s="7" t="s">
        <v>236</v>
      </c>
      <c r="H122" s="33">
        <f>B122*D122*Supuestos!$B$10/1000</f>
        <v>46.5412125</v>
      </c>
    </row>
    <row r="123" ht="48.0" customHeight="1">
      <c r="A123" s="4" t="s">
        <v>245</v>
      </c>
      <c r="B123" s="4" t="s">
        <v>246</v>
      </c>
      <c r="C123" s="4" t="s">
        <v>247</v>
      </c>
      <c r="D123" s="4" t="s">
        <v>249</v>
      </c>
      <c r="E123" s="4" t="s">
        <v>251</v>
      </c>
      <c r="F123" s="4" t="s">
        <v>252</v>
      </c>
      <c r="G123" s="4" t="s">
        <v>253</v>
      </c>
      <c r="H123" s="4" t="s">
        <v>254</v>
      </c>
    </row>
    <row r="124" ht="14.25" customHeight="1">
      <c r="A124" s="7" t="s">
        <v>559</v>
      </c>
      <c r="B124" s="7" t="s">
        <v>560</v>
      </c>
      <c r="C124" s="50">
        <f>Nesting!$D$11</f>
        <v>1212</v>
      </c>
      <c r="D124" s="7" t="str">
        <f>"alto de cada uno"</f>
        <v>alto de cada uno</v>
      </c>
      <c r="E124" s="8">
        <v>1.0</v>
      </c>
      <c r="F124" s="8">
        <v>0.0</v>
      </c>
      <c r="G124" s="8">
        <v>0.0</v>
      </c>
      <c r="H124" s="49">
        <f>E124*$E$125+F124*$F$125+G124*$G$125</f>
        <v>1</v>
      </c>
    </row>
    <row r="125" ht="14.25" customHeight="1">
      <c r="A125" s="7" t="s">
        <v>285</v>
      </c>
      <c r="E125" s="14">
        <v>1.0</v>
      </c>
      <c r="F125" s="14">
        <v>0.0</v>
      </c>
      <c r="G125" s="14">
        <v>0.0</v>
      </c>
      <c r="H125" s="7" t="str">
        <f>IF(ABS(SUM(E125:G125)-1)&lt;0.001,"Suma 100% OK","REVISAR: no suma 100%")</f>
        <v>Suma 100% OK</v>
      </c>
    </row>
    <row r="126" ht="14.25" customHeight="1">
      <c r="A126" s="7" t="s">
        <v>294</v>
      </c>
      <c r="E126" s="50">
        <f t="shared" ref="E126:G126" si="31">SUMPRODUCT($C$124,E124)</f>
        <v>1212</v>
      </c>
      <c r="F126" s="50">
        <f t="shared" si="31"/>
        <v>0</v>
      </c>
      <c r="G126" s="50">
        <f t="shared" si="31"/>
        <v>0</v>
      </c>
    </row>
    <row r="127" ht="14.25" customHeight="1">
      <c r="A127" s="7" t="s">
        <v>296</v>
      </c>
      <c r="E127" s="50">
        <f t="shared" ref="E127:G127" si="32">IF(E126=0,0,$B$122-E126)</f>
        <v>33</v>
      </c>
      <c r="F127" s="50">
        <f t="shared" si="32"/>
        <v>0</v>
      </c>
      <c r="G127" s="50">
        <f t="shared" si="32"/>
        <v>0</v>
      </c>
    </row>
    <row r="128" ht="14.25" customHeight="1">
      <c r="A128" s="7" t="s">
        <v>298</v>
      </c>
      <c r="E128" s="7" t="str">
        <f>IF(E126=0,"sin uso",IF($B$122-E126&gt;=Supuestos!$B$11,"OK","NO ENTRA"))</f>
        <v>OK</v>
      </c>
      <c r="F128" s="7" t="str">
        <f>IF(F126=0,"sin uso",IF($B$122-F126&gt;=Supuestos!$B$11,"OK","NO ENTRA"))</f>
        <v>sin uso</v>
      </c>
      <c r="G128" s="7" t="str">
        <f>IF(G126=0,"sin uso",IF($B$122-G126&gt;=Supuestos!$B$11,"OK","NO ENTRA"))</f>
        <v>sin uso</v>
      </c>
    </row>
    <row r="129" ht="14.25" customHeight="1"/>
    <row r="130" ht="14.25" customHeight="1">
      <c r="A130" s="4" t="s">
        <v>301</v>
      </c>
      <c r="B130" s="4"/>
      <c r="C130" s="4"/>
      <c r="D130" s="4">
        <v>2026.0</v>
      </c>
      <c r="E130" s="4">
        <v>2027.0</v>
      </c>
      <c r="F130" s="4">
        <v>2028.0</v>
      </c>
      <c r="G130" s="4">
        <v>2029.0</v>
      </c>
      <c r="H130" s="4">
        <v>2030.0</v>
      </c>
      <c r="I130" s="4">
        <v>2031.0</v>
      </c>
      <c r="J130" s="4">
        <v>2032.0</v>
      </c>
      <c r="K130" s="4">
        <v>2033.0</v>
      </c>
      <c r="L130" s="4">
        <v>2034.0</v>
      </c>
      <c r="M130" s="4">
        <v>2035.0</v>
      </c>
    </row>
    <row r="131" ht="14.25" customHeight="1">
      <c r="A131" s="7" t="s">
        <v>576</v>
      </c>
      <c r="D131" s="16">
        <f>(Calculo!D14*Nesting!$C$11+Calculo!D15*Nesting!$C$12)/1000</f>
        <v>20.78</v>
      </c>
      <c r="E131" s="16">
        <f>(Calculo!E14*Nesting!$C$11+Calculo!E15*Nesting!$C$12)/1000</f>
        <v>35.92</v>
      </c>
      <c r="F131" s="16">
        <f>(Calculo!F14*Nesting!$C$11+Calculo!F15*Nesting!$C$12)/1000</f>
        <v>55.34</v>
      </c>
      <c r="G131" s="16">
        <f>(Calculo!G14*Nesting!$C$11+Calculo!G15*Nesting!$C$12)/1000</f>
        <v>93.06</v>
      </c>
      <c r="H131" s="16">
        <f>(Calculo!H14*Nesting!$C$11+Calculo!H15*Nesting!$C$12)/1000</f>
        <v>152.92</v>
      </c>
      <c r="I131" s="16">
        <f>(Calculo!I14*Nesting!$C$11+Calculo!I15*Nesting!$C$12)/1000</f>
        <v>211.88</v>
      </c>
      <c r="J131" s="16">
        <f>(Calculo!J14*Nesting!$C$11+Calculo!J15*Nesting!$C$12)/1000</f>
        <v>283.94</v>
      </c>
      <c r="K131" s="16">
        <f>(Calculo!K14*Nesting!$C$11+Calculo!K15*Nesting!$C$12)/1000</f>
        <v>359.16</v>
      </c>
      <c r="L131" s="16">
        <f>(Calculo!L14*Nesting!$C$11+Calculo!L15*Nesting!$C$12)/1000</f>
        <v>411.56</v>
      </c>
      <c r="M131" s="16">
        <f>(Calculo!M14*Nesting!$C$11+Calculo!M15*Nesting!$C$12)/1000</f>
        <v>475.94</v>
      </c>
    </row>
    <row r="132" ht="14.25" customHeight="1">
      <c r="A132" s="5" t="s">
        <v>331</v>
      </c>
      <c r="D132" s="58">
        <f t="shared" ref="D132:M132" si="33">MAX(IF($H$124=0,IF(D131&gt;0,1000000000000,0),D131/$H$124))</f>
        <v>20.78</v>
      </c>
      <c r="E132" s="58">
        <f t="shared" si="33"/>
        <v>35.92</v>
      </c>
      <c r="F132" s="58">
        <f t="shared" si="33"/>
        <v>55.34</v>
      </c>
      <c r="G132" s="58">
        <f t="shared" si="33"/>
        <v>93.06</v>
      </c>
      <c r="H132" s="58">
        <f t="shared" si="33"/>
        <v>152.92</v>
      </c>
      <c r="I132" s="58">
        <f t="shared" si="33"/>
        <v>211.88</v>
      </c>
      <c r="J132" s="58">
        <f t="shared" si="33"/>
        <v>283.94</v>
      </c>
      <c r="K132" s="58">
        <f t="shared" si="33"/>
        <v>359.16</v>
      </c>
      <c r="L132" s="58">
        <f t="shared" si="33"/>
        <v>411.56</v>
      </c>
      <c r="M132" s="58">
        <f t="shared" si="33"/>
        <v>475.94</v>
      </c>
    </row>
    <row r="133" ht="14.25" customHeight="1">
      <c r="A133" s="5" t="s">
        <v>341</v>
      </c>
      <c r="D133" s="61">
        <f>D132*$H$122/1000/(1-Supuestos!$B$12)</f>
        <v>0.9719863274</v>
      </c>
      <c r="E133" s="61">
        <f>E132*$H$122/1000/(1-Supuestos!$B$12)</f>
        <v>1.680161159</v>
      </c>
      <c r="F133" s="61">
        <f>F132*$H$122/1000/(1-Supuestos!$B$12)</f>
        <v>2.588533367</v>
      </c>
      <c r="G133" s="61">
        <f>G132*$H$122/1000/(1-Supuestos!$B$12)</f>
        <v>4.352889684</v>
      </c>
      <c r="H133" s="61">
        <f>H132*$H$122/1000/(1-Supuestos!$B$12)</f>
        <v>7.152846448</v>
      </c>
      <c r="I133" s="61">
        <f>I132*$H$122/1000/(1-Supuestos!$B$12)</f>
        <v>9.910705633</v>
      </c>
      <c r="J133" s="61">
        <f>J132*$H$122/1000/(1-Supuestos!$B$12)</f>
        <v>13.28131847</v>
      </c>
      <c r="K133" s="61">
        <f>K132*$H$122/1000/(1-Supuestos!$B$12)</f>
        <v>16.79974058</v>
      </c>
      <c r="L133" s="61">
        <f>L132*$H$122/1000/(1-Supuestos!$B$12)</f>
        <v>19.25075519</v>
      </c>
      <c r="M133" s="61">
        <f>M132*$H$122/1000/(1-Supuestos!$B$12)</f>
        <v>22.26213535</v>
      </c>
    </row>
    <row r="134" ht="14.25" customHeight="1">
      <c r="A134" s="7" t="s">
        <v>355</v>
      </c>
      <c r="D134" s="65">
        <f>Calculo!D24+Calculo!D25</f>
        <v>0.9414917202</v>
      </c>
      <c r="E134" s="65">
        <f>Calculo!E24+Calculo!E25</f>
        <v>1.627448633</v>
      </c>
      <c r="F134" s="65">
        <f>Calculo!F24+Calculo!F25</f>
        <v>2.507322031</v>
      </c>
      <c r="G134" s="65">
        <f>Calculo!G24+Calculo!G25</f>
        <v>4.216324325</v>
      </c>
      <c r="H134" s="65">
        <f>Calculo!H24+Calculo!H25</f>
        <v>6.928436663</v>
      </c>
      <c r="I134" s="65">
        <f>Calculo!I24+Calculo!I25</f>
        <v>9.599772169</v>
      </c>
      <c r="J134" s="65">
        <f>Calculo!J24+Calculo!J25</f>
        <v>12.8646371</v>
      </c>
      <c r="K134" s="65">
        <f>Calculo!K24+Calculo!K25</f>
        <v>16.27267402</v>
      </c>
      <c r="L134" s="65">
        <f>Calculo!L24+Calculo!L25</f>
        <v>18.64679174</v>
      </c>
      <c r="M134" s="65">
        <f>Calculo!M24+Calculo!M25</f>
        <v>21.56369438</v>
      </c>
    </row>
    <row r="135" ht="14.25" customHeight="1">
      <c r="A135" s="7" t="s">
        <v>393</v>
      </c>
      <c r="D135" s="51">
        <f t="shared" ref="D135:M135" si="34">IF(D133=0,0,D134/D133)</f>
        <v>0.968626506</v>
      </c>
      <c r="E135" s="51">
        <f t="shared" si="34"/>
        <v>0.968626506</v>
      </c>
      <c r="F135" s="51">
        <f t="shared" si="34"/>
        <v>0.968626506</v>
      </c>
      <c r="G135" s="51">
        <f t="shared" si="34"/>
        <v>0.968626506</v>
      </c>
      <c r="H135" s="51">
        <f t="shared" si="34"/>
        <v>0.968626506</v>
      </c>
      <c r="I135" s="51">
        <f t="shared" si="34"/>
        <v>0.968626506</v>
      </c>
      <c r="J135" s="51">
        <f t="shared" si="34"/>
        <v>0.968626506</v>
      </c>
      <c r="K135" s="51">
        <f t="shared" si="34"/>
        <v>0.968626506</v>
      </c>
      <c r="L135" s="51">
        <f t="shared" si="34"/>
        <v>0.968626506</v>
      </c>
      <c r="M135" s="51">
        <f t="shared" si="34"/>
        <v>0.968626506</v>
      </c>
    </row>
    <row r="136" ht="14.25" customHeight="1">
      <c r="A136" s="7" t="s">
        <v>399</v>
      </c>
      <c r="D136" s="50">
        <f>IF(Bobinas!$K$29=0,0,D133/Bobinas!$K$29)</f>
        <v>0.4859931637</v>
      </c>
      <c r="E136" s="50">
        <f>IF(Bobinas!$K$29=0,0,E133/Bobinas!$K$29)</f>
        <v>0.8400805794</v>
      </c>
      <c r="F136" s="50">
        <f>IF(Bobinas!$K$29=0,0,F133/Bobinas!$K$29)</f>
        <v>1.294266683</v>
      </c>
      <c r="G136" s="50">
        <f>IF(Bobinas!$K$29=0,0,G133/Bobinas!$K$29)</f>
        <v>2.176444842</v>
      </c>
      <c r="H136" s="50">
        <f>IF(Bobinas!$K$29=0,0,H133/Bobinas!$K$29)</f>
        <v>3.576423224</v>
      </c>
      <c r="I136" s="50">
        <f>IF(Bobinas!$K$29=0,0,I133/Bobinas!$K$29)</f>
        <v>4.955352816</v>
      </c>
      <c r="J136" s="50">
        <f>IF(Bobinas!$K$29=0,0,J133/Bobinas!$K$29)</f>
        <v>6.640659235</v>
      </c>
      <c r="K136" s="50">
        <f>IF(Bobinas!$K$29=0,0,K133/Bobinas!$K$29)</f>
        <v>8.399870292</v>
      </c>
      <c r="L136" s="50">
        <f>IF(Bobinas!$K$29=0,0,L133/Bobinas!$K$29)</f>
        <v>9.625377596</v>
      </c>
      <c r="M136" s="50">
        <f>IF(Bobinas!$K$29=0,0,M133/Bobinas!$K$29)</f>
        <v>11.13106768</v>
      </c>
    </row>
    <row r="137" ht="14.25" customHeight="1">
      <c r="A137" s="7" t="s">
        <v>400</v>
      </c>
      <c r="D137" s="50">
        <f t="shared" ref="D137:M137" si="35">0</f>
        <v>0</v>
      </c>
      <c r="E137" s="50">
        <f t="shared" si="35"/>
        <v>0</v>
      </c>
      <c r="F137" s="50">
        <f t="shared" si="35"/>
        <v>0</v>
      </c>
      <c r="G137" s="50">
        <f t="shared" si="35"/>
        <v>0</v>
      </c>
      <c r="H137" s="50">
        <f t="shared" si="35"/>
        <v>0</v>
      </c>
      <c r="I137" s="50">
        <f t="shared" si="35"/>
        <v>0</v>
      </c>
      <c r="J137" s="50">
        <f t="shared" si="35"/>
        <v>0</v>
      </c>
      <c r="K137" s="50">
        <f t="shared" si="35"/>
        <v>0</v>
      </c>
      <c r="L137" s="50">
        <f t="shared" si="35"/>
        <v>0</v>
      </c>
      <c r="M137" s="50">
        <f t="shared" si="35"/>
        <v>0</v>
      </c>
    </row>
    <row r="138" ht="14.25" customHeight="1">
      <c r="A138" s="7" t="s">
        <v>401</v>
      </c>
      <c r="D138" s="16">
        <f>D132/(Supuestos!$B$39*60)+D136*Supuestos!$B$40/60</f>
        <v>0.3731532061</v>
      </c>
      <c r="E138" s="16">
        <f>E132/(Supuestos!$B$39*60)+E136*Supuestos!$B$40/60</f>
        <v>0.6450271012</v>
      </c>
      <c r="F138" s="16">
        <f>F132/(Supuestos!$B$39*60)+F136*Supuestos!$B$40/60</f>
        <v>0.9937583458</v>
      </c>
      <c r="G138" s="16">
        <f>G132/(Supuestos!$B$39*60)+G136*Supuestos!$B$40/60</f>
        <v>1.671108631</v>
      </c>
      <c r="H138" s="16">
        <f>H132/(Supuestos!$B$39*60)+H136*Supuestos!$B$40/60</f>
        <v>2.746034085</v>
      </c>
      <c r="I138" s="16">
        <f>I132/(Supuestos!$B$39*60)+I136*Supuestos!$B$40/60</f>
        <v>3.804797946</v>
      </c>
      <c r="J138" s="16">
        <f>J132/(Supuestos!$B$39*60)+J136*Supuestos!$B$40/60</f>
        <v>5.098802759</v>
      </c>
      <c r="K138" s="16">
        <f>K132/(Supuestos!$B$39*60)+K136*Supuestos!$B$40/60</f>
        <v>6.449552719</v>
      </c>
      <c r="L138" s="16">
        <f>L132/(Supuestos!$B$39*60)+L136*Supuestos!$B$40/60</f>
        <v>7.390516531</v>
      </c>
      <c r="M138" s="16">
        <f>M132/(Supuestos!$B$39*60)+M136*Supuestos!$B$40/60</f>
        <v>8.546609091</v>
      </c>
    </row>
    <row r="139" ht="14.25" customHeight="1"/>
    <row r="140" ht="14.25" customHeight="1"/>
    <row r="141" ht="14.25" customHeight="1">
      <c r="A141" s="3" t="s">
        <v>616</v>
      </c>
    </row>
    <row r="142" ht="14.25" customHeight="1">
      <c r="A142" s="4" t="s">
        <v>7</v>
      </c>
      <c r="B142" s="4"/>
      <c r="C142" s="4"/>
      <c r="D142" s="4">
        <v>2026.0</v>
      </c>
      <c r="E142" s="4">
        <v>2027.0</v>
      </c>
      <c r="F142" s="4">
        <v>2028.0</v>
      </c>
      <c r="G142" s="4">
        <v>2029.0</v>
      </c>
      <c r="H142" s="4">
        <v>2030.0</v>
      </c>
      <c r="I142" s="4">
        <v>2031.0</v>
      </c>
      <c r="J142" s="4">
        <v>2032.0</v>
      </c>
      <c r="K142" s="4">
        <v>2033.0</v>
      </c>
      <c r="L142" s="4">
        <v>2034.0</v>
      </c>
      <c r="M142" s="4">
        <v>2035.0</v>
      </c>
    </row>
    <row r="143" ht="14.25" customHeight="1">
      <c r="A143" s="5" t="s">
        <v>341</v>
      </c>
      <c r="D143" s="73">
        <f t="shared" ref="D143:M143" si="36">D19+D43+D67+D91+D113+D133</f>
        <v>11.5644296</v>
      </c>
      <c r="E143" s="73">
        <f t="shared" si="36"/>
        <v>20.02097612</v>
      </c>
      <c r="F143" s="73">
        <f t="shared" si="36"/>
        <v>34.55022845</v>
      </c>
      <c r="G143" s="73">
        <f t="shared" si="36"/>
        <v>64.0198866</v>
      </c>
      <c r="H143" s="73">
        <f t="shared" si="36"/>
        <v>108.7429294</v>
      </c>
      <c r="I143" s="73">
        <f t="shared" si="36"/>
        <v>152.4640619</v>
      </c>
      <c r="J143" s="73">
        <f t="shared" si="36"/>
        <v>206.1200945</v>
      </c>
      <c r="K143" s="73">
        <f t="shared" si="36"/>
        <v>261.1620613</v>
      </c>
      <c r="L143" s="73">
        <f t="shared" si="36"/>
        <v>297.4699253</v>
      </c>
      <c r="M143" s="73">
        <f t="shared" si="36"/>
        <v>343.4482158</v>
      </c>
    </row>
    <row r="144" ht="14.25" customHeight="1">
      <c r="A144" s="5" t="s">
        <v>618</v>
      </c>
      <c r="D144" s="73">
        <f t="shared" ref="D144:M144" si="37">D20+D44+D68+D92+D114+D134</f>
        <v>10.19509986</v>
      </c>
      <c r="E144" s="73">
        <f t="shared" si="37"/>
        <v>17.68445911</v>
      </c>
      <c r="F144" s="73">
        <f t="shared" si="37"/>
        <v>30.36994075</v>
      </c>
      <c r="G144" s="73">
        <f t="shared" si="37"/>
        <v>55.98430245</v>
      </c>
      <c r="H144" s="73">
        <f t="shared" si="37"/>
        <v>95.01949442</v>
      </c>
      <c r="I144" s="73">
        <f t="shared" si="37"/>
        <v>133.2139327</v>
      </c>
      <c r="J144" s="73">
        <f t="shared" si="37"/>
        <v>179.9528403</v>
      </c>
      <c r="K144" s="73">
        <f t="shared" si="37"/>
        <v>227.9611293</v>
      </c>
      <c r="L144" s="73">
        <f t="shared" si="37"/>
        <v>259.7433583</v>
      </c>
      <c r="M144" s="73">
        <f t="shared" si="37"/>
        <v>299.8606499</v>
      </c>
    </row>
    <row r="145" ht="14.25" customHeight="1">
      <c r="A145" s="5" t="s">
        <v>399</v>
      </c>
      <c r="D145" s="83">
        <f t="shared" ref="D145:M145" si="38">D22+D46+D70+D94+D116+D136</f>
        <v>2.297525222</v>
      </c>
      <c r="E145" s="83">
        <f t="shared" si="38"/>
        <v>4.087080073</v>
      </c>
      <c r="F145" s="83">
        <f t="shared" si="38"/>
        <v>7.111625169</v>
      </c>
      <c r="G145" s="83">
        <f t="shared" si="38"/>
        <v>13.36253121</v>
      </c>
      <c r="H145" s="83">
        <f t="shared" si="38"/>
        <v>22.65655093</v>
      </c>
      <c r="I145" s="83">
        <f t="shared" si="38"/>
        <v>31.88572588</v>
      </c>
      <c r="J145" s="83">
        <f t="shared" si="38"/>
        <v>43.0762334</v>
      </c>
      <c r="K145" s="83">
        <f t="shared" si="38"/>
        <v>54.62214339</v>
      </c>
      <c r="L145" s="83">
        <f t="shared" si="38"/>
        <v>62.38758885</v>
      </c>
      <c r="M145" s="83">
        <f t="shared" si="38"/>
        <v>72.2615643</v>
      </c>
    </row>
    <row r="146" ht="14.25" customHeight="1">
      <c r="A146" s="5" t="s">
        <v>597</v>
      </c>
      <c r="D146" s="83">
        <f t="shared" ref="D146:M146" si="39">D23+D47+D71+D95+D117+D137</f>
        <v>4.309072295</v>
      </c>
      <c r="E146" s="83">
        <f t="shared" si="39"/>
        <v>7.047186393</v>
      </c>
      <c r="F146" s="83">
        <f t="shared" si="39"/>
        <v>14.9296112</v>
      </c>
      <c r="G146" s="83">
        <f t="shared" si="39"/>
        <v>33.07413987</v>
      </c>
      <c r="H146" s="83">
        <f t="shared" si="39"/>
        <v>57.66737496</v>
      </c>
      <c r="I146" s="83">
        <f t="shared" si="39"/>
        <v>81.27155169</v>
      </c>
      <c r="J146" s="83">
        <f t="shared" si="39"/>
        <v>111.930725</v>
      </c>
      <c r="K146" s="83">
        <f t="shared" si="39"/>
        <v>143.0251684</v>
      </c>
      <c r="L146" s="83">
        <f t="shared" si="39"/>
        <v>161.800352</v>
      </c>
      <c r="M146" s="83">
        <f t="shared" si="39"/>
        <v>187.295667</v>
      </c>
    </row>
    <row r="147" ht="14.25" customHeight="1">
      <c r="A147" s="5" t="s">
        <v>401</v>
      </c>
      <c r="D147" s="26">
        <f t="shared" ref="D147:M147" si="40">D24+D48+D72+D96+D118+D138</f>
        <v>2.052755719</v>
      </c>
      <c r="E147" s="26">
        <f t="shared" si="40"/>
        <v>3.636069095</v>
      </c>
      <c r="F147" s="26">
        <f t="shared" si="40"/>
        <v>6.34812567</v>
      </c>
      <c r="G147" s="26">
        <f t="shared" si="40"/>
        <v>11.95272637</v>
      </c>
      <c r="H147" s="26">
        <f t="shared" si="40"/>
        <v>20.28921797</v>
      </c>
      <c r="I147" s="26">
        <f t="shared" si="40"/>
        <v>28.54167189</v>
      </c>
      <c r="J147" s="26">
        <f t="shared" si="40"/>
        <v>38.57934174</v>
      </c>
      <c r="K147" s="26">
        <f t="shared" si="40"/>
        <v>48.9229751</v>
      </c>
      <c r="L147" s="26">
        <f t="shared" si="40"/>
        <v>55.84409209</v>
      </c>
      <c r="M147" s="26">
        <f t="shared" si="40"/>
        <v>64.65225436</v>
      </c>
    </row>
    <row r="148" ht="14.25" customHeight="1">
      <c r="A148" s="7" t="s">
        <v>622</v>
      </c>
      <c r="D148" s="65">
        <f t="shared" ref="D148:M148" si="41">IF($F$6="LAF",D19,0)+IF($F$28="LAF",D43,0)+IF($F$52="LAF",D67,0)+IF($F$76="LAF",D91,0)+IF($F$100="LAF",D113,0)+IF($F$122="LAF",D133,0)</f>
        <v>8.807407604</v>
      </c>
      <c r="E148" s="65">
        <f t="shared" si="41"/>
        <v>15.29435408</v>
      </c>
      <c r="F148" s="65">
        <f t="shared" si="41"/>
        <v>27.24528368</v>
      </c>
      <c r="G148" s="65">
        <f t="shared" si="41"/>
        <v>51.76523901</v>
      </c>
      <c r="H148" s="65">
        <f t="shared" si="41"/>
        <v>88.54134479</v>
      </c>
      <c r="I148" s="65">
        <f t="shared" si="41"/>
        <v>124.3689701</v>
      </c>
      <c r="J148" s="65">
        <f t="shared" si="41"/>
        <v>168.523055</v>
      </c>
      <c r="K148" s="65">
        <f t="shared" si="41"/>
        <v>213.7056467</v>
      </c>
      <c r="L148" s="65">
        <f t="shared" si="41"/>
        <v>243.0896681</v>
      </c>
      <c r="M148" s="65">
        <f t="shared" si="41"/>
        <v>280.5725378</v>
      </c>
    </row>
    <row r="149" ht="14.25" customHeight="1">
      <c r="A149" s="7" t="s">
        <v>626</v>
      </c>
      <c r="D149" s="65">
        <f t="shared" ref="D149:M149" si="42">IF($F$6="LAC",D19,0)+IF($F$28="LAC",D43,0)+IF($F$52="LAC",D67,0)+IF($F$76="LAC",D91,0)+IF($F$100="LAC",D113,0)+IF($F$122="LAC",D133,0)</f>
        <v>2.757022</v>
      </c>
      <c r="E149" s="65">
        <f t="shared" si="42"/>
        <v>4.72662204</v>
      </c>
      <c r="F149" s="65">
        <f t="shared" si="42"/>
        <v>7.304944767</v>
      </c>
      <c r="G149" s="65">
        <f t="shared" si="42"/>
        <v>12.2546476</v>
      </c>
      <c r="H149" s="65">
        <f t="shared" si="42"/>
        <v>20.20158466</v>
      </c>
      <c r="I149" s="65">
        <f t="shared" si="42"/>
        <v>28.09509181</v>
      </c>
      <c r="J149" s="65">
        <f t="shared" si="42"/>
        <v>37.59703947</v>
      </c>
      <c r="K149" s="65">
        <f t="shared" si="42"/>
        <v>47.45641469</v>
      </c>
      <c r="L149" s="65">
        <f t="shared" si="42"/>
        <v>54.38025723</v>
      </c>
      <c r="M149" s="65">
        <f t="shared" si="42"/>
        <v>62.87567797</v>
      </c>
    </row>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4.0"/>
    <col customWidth="1" min="2" max="2" width="18.29"/>
    <col customWidth="1" min="3" max="5" width="10.0"/>
    <col customWidth="1" min="6" max="6" width="13.0"/>
    <col customWidth="1" min="7" max="7" width="11.0"/>
    <col customWidth="1" min="8" max="9" width="12.0"/>
    <col customWidth="1" min="10" max="10" width="21.29"/>
    <col customWidth="1" min="11" max="11" width="12.0"/>
    <col customWidth="1" min="12" max="14" width="11.0"/>
    <col customWidth="1" min="15" max="15" width="10.0"/>
    <col customWidth="1" min="16" max="26" width="8.57"/>
  </cols>
  <sheetData>
    <row r="1" ht="14.25" customHeight="1">
      <c r="A1" s="1" t="s">
        <v>358</v>
      </c>
    </row>
    <row r="2" ht="14.25" customHeight="1">
      <c r="A2" s="2" t="s">
        <v>359</v>
      </c>
    </row>
    <row r="3" ht="14.25" customHeight="1"/>
    <row r="4" ht="14.25" customHeight="1">
      <c r="A4" s="3" t="s">
        <v>360</v>
      </c>
    </row>
    <row r="5" ht="60.0" customHeight="1">
      <c r="A5" s="4" t="s">
        <v>361</v>
      </c>
      <c r="B5" s="4" t="s">
        <v>362</v>
      </c>
      <c r="C5" s="4" t="s">
        <v>86</v>
      </c>
      <c r="D5" s="4" t="s">
        <v>364</v>
      </c>
      <c r="E5" s="4" t="s">
        <v>365</v>
      </c>
      <c r="F5" s="4" t="s">
        <v>366</v>
      </c>
      <c r="G5" s="4" t="s">
        <v>367</v>
      </c>
      <c r="H5" s="4" t="s">
        <v>368</v>
      </c>
      <c r="I5" s="4" t="s">
        <v>369</v>
      </c>
      <c r="J5" s="4" t="s">
        <v>370</v>
      </c>
      <c r="K5" s="4" t="s">
        <v>371</v>
      </c>
      <c r="L5" s="4" t="s">
        <v>372</v>
      </c>
      <c r="M5" s="4" t="s">
        <v>373</v>
      </c>
      <c r="N5" s="66" t="s">
        <v>374</v>
      </c>
      <c r="O5" s="4" t="s">
        <v>376</v>
      </c>
    </row>
    <row r="6" ht="14.25" customHeight="1">
      <c r="A6" s="7" t="s">
        <v>378</v>
      </c>
      <c r="B6" s="7" t="s">
        <v>379</v>
      </c>
      <c r="C6" s="45">
        <f>Nesting!$E$6</f>
        <v>1.25</v>
      </c>
      <c r="D6" s="67">
        <f>Nesting!$P$6</f>
        <v>1220</v>
      </c>
      <c r="E6" s="33">
        <f>D6*C6*Supuestos!$B$10/1000</f>
        <v>12.00175</v>
      </c>
      <c r="F6" s="65">
        <f t="array" ref="F6">INDEX(Calculo!$D$44:$M$44,MATCH(Supuestos!$B$21,Calculo!$D$4:$M$4,0))</f>
        <v>15.27190723</v>
      </c>
      <c r="G6" s="33">
        <f t="shared" ref="G6:G20" si="1">F6/12</f>
        <v>1.272658936</v>
      </c>
      <c r="H6" s="33">
        <f>D6*Supuestos!$B$49</f>
        <v>15.02103386</v>
      </c>
      <c r="I6" s="68">
        <f>Supuestos!$B$26</f>
        <v>10</v>
      </c>
      <c r="J6" s="69">
        <f>MIN(ROUNDDOWN(MIN(H6,I6)*2,0)/2,MAX(Supuestos!$B$23,ROUNDUP(G6*Supuestos!$B$22*2,0)/2))</f>
        <v>1.5</v>
      </c>
      <c r="K6" s="25">
        <v>1.5</v>
      </c>
      <c r="L6" s="16">
        <f t="shared" ref="L6:L20" si="2">K6*1000/E6</f>
        <v>124.9817735</v>
      </c>
      <c r="M6" s="16">
        <f>L6*1000/Nesting!$V$6*Nesting!$U$6</f>
        <v>1391.262785</v>
      </c>
      <c r="N6" s="16">
        <f>IF(F6=0,0,K6/F6*Supuestos!$B$32)</f>
        <v>23.57269427</v>
      </c>
      <c r="O6" s="50">
        <f t="shared" ref="O6:O20" si="3">IF(K6=0,0,F6/K6)</f>
        <v>10.18127149</v>
      </c>
    </row>
    <row r="7" ht="14.25" customHeight="1">
      <c r="A7" s="7" t="s">
        <v>402</v>
      </c>
      <c r="B7" s="7" t="s">
        <v>379</v>
      </c>
      <c r="C7" s="45">
        <f>Nesting!$E$7</f>
        <v>1.6</v>
      </c>
      <c r="D7" s="67">
        <f>Nesting!$P$7</f>
        <v>1000</v>
      </c>
      <c r="E7" s="33">
        <f>D7*C7*Supuestos!$B$10/1000</f>
        <v>12.592</v>
      </c>
      <c r="F7" s="65">
        <f t="array" ref="F7">INDEX(Calculo!$D$45:$M$45,MATCH(Supuestos!$B$21,Calculo!$D$4:$M$4,0))</f>
        <v>127.4365957</v>
      </c>
      <c r="G7" s="33">
        <f t="shared" si="1"/>
        <v>10.61971631</v>
      </c>
      <c r="H7" s="33">
        <f>D7*Supuestos!$B$49</f>
        <v>12.31232283</v>
      </c>
      <c r="I7" s="68">
        <f>Supuestos!$B$26</f>
        <v>10</v>
      </c>
      <c r="J7" s="69">
        <f>MIN(ROUNDDOWN(MIN(H7,I7)*2,0)/2,MAX(Supuestos!$B$23,ROUNDUP(G7*Supuestos!$B$22*2,0)/2))</f>
        <v>10</v>
      </c>
      <c r="K7" s="25">
        <v>10.0</v>
      </c>
      <c r="L7" s="16">
        <f t="shared" si="2"/>
        <v>794.1550191</v>
      </c>
      <c r="M7" s="16">
        <f>L7*1000/Nesting!$V$7*Nesting!$U$7</f>
        <v>5021.001174</v>
      </c>
      <c r="N7" s="16">
        <f>IF(F7=0,0,K7/F7*Supuestos!$B$32)</f>
        <v>18.8328948</v>
      </c>
      <c r="O7" s="50">
        <f t="shared" si="3"/>
        <v>12.74365957</v>
      </c>
    </row>
    <row r="8" ht="14.25" customHeight="1">
      <c r="A8" s="7" t="s">
        <v>406</v>
      </c>
      <c r="B8" s="7" t="s">
        <v>379</v>
      </c>
      <c r="C8" s="45">
        <f>Nesting!$E$8</f>
        <v>2</v>
      </c>
      <c r="D8" s="67">
        <f>Nesting!$P$8</f>
        <v>1000</v>
      </c>
      <c r="E8" s="33">
        <f>D8*C8*Supuestos!$B$10/1000</f>
        <v>15.74</v>
      </c>
      <c r="F8" s="65">
        <f t="array" ref="F8">INDEX(Calculo!$D$46:$M$46,MATCH(Supuestos!$B$21,Calculo!$D$4:$M$4,0))</f>
        <v>17.15324635</v>
      </c>
      <c r="G8" s="33">
        <f t="shared" si="1"/>
        <v>1.429437196</v>
      </c>
      <c r="H8" s="33">
        <f>D8*Supuestos!$B$49</f>
        <v>12.31232283</v>
      </c>
      <c r="I8" s="68">
        <f>Supuestos!$B$26</f>
        <v>10</v>
      </c>
      <c r="J8" s="69">
        <f>MIN(ROUNDDOWN(MIN(H8,I8)*2,0)/2,MAX(Supuestos!$B$23,ROUNDUP(G8*Supuestos!$B$22*2,0)/2))</f>
        <v>1.5</v>
      </c>
      <c r="K8" s="25">
        <v>1.5</v>
      </c>
      <c r="L8" s="16">
        <f t="shared" si="2"/>
        <v>95.29860229</v>
      </c>
      <c r="M8" s="16">
        <f>L8*1000/Nesting!$V$8*Nesting!$U$8</f>
        <v>338.5385516</v>
      </c>
      <c r="N8" s="16">
        <f>IF(F8=0,0,K8/F8*Supuestos!$B$32)</f>
        <v>20.98728093</v>
      </c>
      <c r="O8" s="50">
        <f t="shared" si="3"/>
        <v>11.43549757</v>
      </c>
    </row>
    <row r="9" ht="14.25" customHeight="1">
      <c r="A9" s="7" t="s">
        <v>412</v>
      </c>
      <c r="B9" s="7" t="s">
        <v>379</v>
      </c>
      <c r="C9" s="45">
        <f>Nesting!$E$9</f>
        <v>3.2</v>
      </c>
      <c r="D9" s="67">
        <f>Nesting!$P$9</f>
        <v>1500</v>
      </c>
      <c r="E9" s="33">
        <f>D9*C9*Supuestos!$B$10/1000</f>
        <v>37.776</v>
      </c>
      <c r="F9" s="65">
        <f t="array" ref="F9">INDEX(Calculo!$D$47:$M$47,MATCH(Supuestos!$B$21,Calculo!$D$4:$M$4,0))</f>
        <v>8.41512603</v>
      </c>
      <c r="G9" s="33">
        <f t="shared" si="1"/>
        <v>0.7012605025</v>
      </c>
      <c r="H9" s="33">
        <f>D9*Supuestos!$B$49</f>
        <v>18.46848425</v>
      </c>
      <c r="I9" s="68">
        <f>Supuestos!$B$26</f>
        <v>10</v>
      </c>
      <c r="J9" s="69">
        <f>MIN(ROUNDDOWN(MIN(H9,I9)*2,0)/2,MAX(Supuestos!$B$23,ROUNDUP(G9*Supuestos!$B$22*2,0)/2))</f>
        <v>1</v>
      </c>
      <c r="K9" s="25">
        <v>1.0</v>
      </c>
      <c r="L9" s="16">
        <f t="shared" si="2"/>
        <v>26.47183397</v>
      </c>
      <c r="M9" s="16">
        <f>L9*1000/Nesting!$V$9*Nesting!$U$9</f>
        <v>92.55886003</v>
      </c>
      <c r="N9" s="16">
        <f>IF(F9=0,0,K9/F9*Supuestos!$B$32)</f>
        <v>28.52007197</v>
      </c>
      <c r="O9" s="50">
        <f t="shared" si="3"/>
        <v>8.41512603</v>
      </c>
    </row>
    <row r="10" ht="14.25" customHeight="1">
      <c r="A10" s="7" t="s">
        <v>416</v>
      </c>
      <c r="B10" s="7" t="s">
        <v>379</v>
      </c>
      <c r="C10" s="45">
        <f>Nesting!$E$10</f>
        <v>3.2</v>
      </c>
      <c r="D10" s="67">
        <f>Nesting!$P$10</f>
        <v>1500</v>
      </c>
      <c r="E10" s="33">
        <f>D10*C10*Supuestos!$B$10/1000</f>
        <v>37.776</v>
      </c>
      <c r="F10" s="65">
        <f t="array" ref="F10">INDEX(Calculo!$D$48:$M$48,MATCH(Supuestos!$B$21,Calculo!$D$4:$M$4,0))</f>
        <v>32.17167413</v>
      </c>
      <c r="G10" s="33">
        <f t="shared" si="1"/>
        <v>2.680972844</v>
      </c>
      <c r="H10" s="33">
        <f>D10*Supuestos!$B$49</f>
        <v>18.46848425</v>
      </c>
      <c r="I10" s="68">
        <f>Supuestos!$B$26</f>
        <v>10</v>
      </c>
      <c r="J10" s="69">
        <f>MIN(ROUNDDOWN(MIN(H10,I10)*2,0)/2,MAX(Supuestos!$B$23,ROUNDUP(G10*Supuestos!$B$22*2,0)/2))</f>
        <v>3</v>
      </c>
      <c r="K10" s="25">
        <v>3.0</v>
      </c>
      <c r="L10" s="16">
        <f t="shared" si="2"/>
        <v>79.41550191</v>
      </c>
      <c r="M10" s="16">
        <f>L10*1000/Nesting!$V$10*Nesting!$U$10</f>
        <v>159.7897423</v>
      </c>
      <c r="N10" s="16">
        <f>IF(F10=0,0,K10/F10*Supuestos!$B$32)</f>
        <v>22.37993575</v>
      </c>
      <c r="O10" s="50">
        <f t="shared" si="3"/>
        <v>10.72389138</v>
      </c>
    </row>
    <row r="11" ht="14.25" customHeight="1">
      <c r="A11" s="7" t="s">
        <v>419</v>
      </c>
      <c r="B11" s="7" t="s">
        <v>379</v>
      </c>
      <c r="C11" s="45">
        <f>Nesting!$E$11</f>
        <v>4.75</v>
      </c>
      <c r="D11" s="67">
        <f>Nesting!$P$11</f>
        <v>1245</v>
      </c>
      <c r="E11" s="33">
        <f>D11*C11*Supuestos!$B$10/1000</f>
        <v>46.5412125</v>
      </c>
      <c r="F11" s="65">
        <f t="array" ref="F11">INDEX(Calculo!$D$49:$M$49,MATCH(Supuestos!$B$21,Calculo!$D$4:$M$4,0))</f>
        <v>11.86403331</v>
      </c>
      <c r="G11" s="33">
        <f t="shared" si="1"/>
        <v>0.9886694421</v>
      </c>
      <c r="H11" s="33">
        <f>D11*Supuestos!$B$49</f>
        <v>15.32884193</v>
      </c>
      <c r="I11" s="68">
        <f>Supuestos!$B$26</f>
        <v>10</v>
      </c>
      <c r="J11" s="69">
        <f>MIN(ROUNDDOWN(MIN(H11,I11)*2,0)/2,MAX(Supuestos!$B$23,ROUNDUP(G11*Supuestos!$B$22*2,0)/2))</f>
        <v>1</v>
      </c>
      <c r="K11" s="25">
        <v>1.0</v>
      </c>
      <c r="L11" s="16">
        <f t="shared" si="2"/>
        <v>21.48633321</v>
      </c>
      <c r="M11" s="16">
        <f>L11*1000/Nesting!$V$11*Nesting!$U$11</f>
        <v>31.59754885</v>
      </c>
      <c r="N11" s="16">
        <f>IF(F11=0,0,K11/F11*Supuestos!$B$32)</f>
        <v>20.22920822</v>
      </c>
      <c r="O11" s="50">
        <f t="shared" si="3"/>
        <v>11.86403331</v>
      </c>
    </row>
    <row r="12" ht="14.25" customHeight="1">
      <c r="A12" s="7" t="s">
        <v>421</v>
      </c>
      <c r="B12" s="7" t="s">
        <v>379</v>
      </c>
      <c r="C12" s="45">
        <f>Nesting!$E$12</f>
        <v>4.75</v>
      </c>
      <c r="D12" s="67">
        <f>Nesting!$P$12</f>
        <v>1245</v>
      </c>
      <c r="E12" s="33">
        <f>D12*C12*Supuestos!$B$10/1000</f>
        <v>46.5412125</v>
      </c>
      <c r="F12" s="65">
        <f t="array" ref="F12">INDEX(Calculo!$D$50:$M$50,MATCH(Supuestos!$B$21,Calculo!$D$4:$M$4,0))</f>
        <v>10.39810205</v>
      </c>
      <c r="G12" s="33">
        <f t="shared" si="1"/>
        <v>0.8665085041</v>
      </c>
      <c r="H12" s="33">
        <f>D12*Supuestos!$B$49</f>
        <v>15.32884193</v>
      </c>
      <c r="I12" s="68">
        <f>Supuestos!$B$26</f>
        <v>10</v>
      </c>
      <c r="J12" s="69">
        <f>MIN(ROUNDDOWN(MIN(H12,I12)*2,0)/2,MAX(Supuestos!$B$23,ROUNDUP(G12*Supuestos!$B$22*2,0)/2))</f>
        <v>1</v>
      </c>
      <c r="K12" s="25">
        <v>1.0</v>
      </c>
      <c r="L12" s="16">
        <f t="shared" si="2"/>
        <v>21.48633321</v>
      </c>
      <c r="M12" s="16">
        <f>L12*1000/Nesting!$V$12*Nesting!$U$12</f>
        <v>23.87370357</v>
      </c>
      <c r="N12" s="16">
        <f>IF(F12=0,0,K12/F12*Supuestos!$B$32)</f>
        <v>23.08113528</v>
      </c>
      <c r="O12" s="50">
        <f t="shared" si="3"/>
        <v>10.39810205</v>
      </c>
    </row>
    <row r="13" ht="14.25" customHeight="1">
      <c r="A13" s="7" t="s">
        <v>423</v>
      </c>
      <c r="B13" s="7" t="s">
        <v>424</v>
      </c>
      <c r="C13" s="45">
        <f>Nesting!$D$26</f>
        <v>0.9</v>
      </c>
      <c r="D13" s="67">
        <f>Nesting!$W$26</f>
        <v>114</v>
      </c>
      <c r="E13" s="33">
        <f>D13*C13*Supuestos!$B$10/1000</f>
        <v>0.807462</v>
      </c>
      <c r="F13" s="65">
        <f t="array" ref="F13">INDEX(Calculo!$D$66:$M$66,MATCH(Supuestos!$B$21,Calculo!$D$4:$M$4,0))</f>
        <v>18.25183128</v>
      </c>
      <c r="G13" s="33">
        <f t="shared" si="1"/>
        <v>1.52098594</v>
      </c>
      <c r="H13" s="33">
        <f>D13*Supuestos!$B$49</f>
        <v>1.403604803</v>
      </c>
      <c r="I13" s="68">
        <f>Supuestos!$B$27</f>
        <v>3</v>
      </c>
      <c r="J13" s="69">
        <f>MIN(ROUNDDOWN(MIN(H13,I13)*2,0)/2,MAX(Supuestos!$B$23,ROUNDUP(G13*Supuestos!$B$22*2,0)/2))</f>
        <v>1</v>
      </c>
      <c r="K13" s="25">
        <v>1.0</v>
      </c>
      <c r="L13" s="16">
        <f t="shared" si="2"/>
        <v>1238.448373</v>
      </c>
      <c r="M13" s="16">
        <f>L13*1000/Nesting!$H$26</f>
        <v>11157.19255</v>
      </c>
      <c r="N13" s="16">
        <f>IF(F13=0,0,K13/F13*Supuestos!$B$32)</f>
        <v>13.14936547</v>
      </c>
      <c r="O13" s="50">
        <f t="shared" si="3"/>
        <v>18.25183128</v>
      </c>
    </row>
    <row r="14" ht="14.25" customHeight="1">
      <c r="A14" s="7" t="s">
        <v>427</v>
      </c>
      <c r="B14" s="7" t="s">
        <v>424</v>
      </c>
      <c r="C14" s="45">
        <f>Nesting!$D$27</f>
        <v>0.9</v>
      </c>
      <c r="D14" s="67">
        <f>Nesting!$W$27</f>
        <v>106</v>
      </c>
      <c r="E14" s="33">
        <f>D14*C14*Supuestos!$B$10/1000</f>
        <v>0.750798</v>
      </c>
      <c r="F14" s="65">
        <f t="array" ref="F14">INDEX(Calculo!$D$67:$M$67,MATCH(Supuestos!$B$21,Calculo!$D$4:$M$4,0))</f>
        <v>15.74786581</v>
      </c>
      <c r="G14" s="33">
        <f t="shared" si="1"/>
        <v>1.312322151</v>
      </c>
      <c r="H14" s="33">
        <f>D14*Supuestos!$B$49</f>
        <v>1.30510622</v>
      </c>
      <c r="I14" s="68">
        <f>Supuestos!$B$27</f>
        <v>3</v>
      </c>
      <c r="J14" s="69">
        <f>MIN(ROUNDDOWN(MIN(H14,I14)*2,0)/2,MAX(Supuestos!$B$23,ROUNDUP(G14*Supuestos!$B$22*2,0)/2))</f>
        <v>1</v>
      </c>
      <c r="K14" s="25">
        <v>1.0</v>
      </c>
      <c r="L14" s="16">
        <f t="shared" si="2"/>
        <v>1331.916175</v>
      </c>
      <c r="M14" s="16">
        <f>L14*1000/Nesting!$H$27</f>
        <v>12931.225</v>
      </c>
      <c r="N14" s="16">
        <f>IF(F14=0,0,K14/F14*Supuestos!$B$32)</f>
        <v>15.24016034</v>
      </c>
      <c r="O14" s="50">
        <f t="shared" si="3"/>
        <v>15.74786581</v>
      </c>
    </row>
    <row r="15" ht="14.25" customHeight="1">
      <c r="A15" s="7" t="s">
        <v>431</v>
      </c>
      <c r="B15" s="7" t="s">
        <v>424</v>
      </c>
      <c r="C15" s="45">
        <f>Nesting!$D$28</f>
        <v>1.25</v>
      </c>
      <c r="D15" s="67">
        <f>Nesting!$W$28</f>
        <v>200</v>
      </c>
      <c r="E15" s="33">
        <f>D15*C15*Supuestos!$B$10/1000</f>
        <v>1.9675</v>
      </c>
      <c r="F15" s="65">
        <f t="array" ref="F15">INDEX(Calculo!$D$68:$M$68,MATCH(Supuestos!$B$21,Calculo!$D$4:$M$4,0))</f>
        <v>5.072211045</v>
      </c>
      <c r="G15" s="33">
        <f t="shared" si="1"/>
        <v>0.4226842538</v>
      </c>
      <c r="H15" s="33">
        <f>D15*Supuestos!$B$49</f>
        <v>2.462464567</v>
      </c>
      <c r="I15" s="68">
        <f>Supuestos!$B$27</f>
        <v>3</v>
      </c>
      <c r="J15" s="69">
        <f>MIN(ROUNDDOWN(MIN(H15,I15)*2,0)/2,MAX(Supuestos!$B$23,ROUNDUP(G15*Supuestos!$B$22*2,0)/2))</f>
        <v>0.5</v>
      </c>
      <c r="K15" s="25">
        <v>0.5</v>
      </c>
      <c r="L15" s="16">
        <f t="shared" si="2"/>
        <v>254.1296061</v>
      </c>
      <c r="M15" s="16">
        <f>L15*1000/Nesting!$H$28</f>
        <v>1396.316517</v>
      </c>
      <c r="N15" s="16">
        <f>IF(F15=0,0,K15/F15*Supuestos!$B$32)</f>
        <v>23.65832157</v>
      </c>
      <c r="O15" s="50">
        <f t="shared" si="3"/>
        <v>10.14442209</v>
      </c>
    </row>
    <row r="16" ht="14.25" customHeight="1">
      <c r="A16" s="7" t="s">
        <v>432</v>
      </c>
      <c r="B16" s="7" t="s">
        <v>424</v>
      </c>
      <c r="C16" s="45">
        <f>Nesting!$D$29</f>
        <v>1.25</v>
      </c>
      <c r="D16" s="67">
        <f>Nesting!$W$29</f>
        <v>200</v>
      </c>
      <c r="E16" s="33">
        <f>D16*C16*Supuestos!$B$10/1000</f>
        <v>1.9675</v>
      </c>
      <c r="F16" s="65">
        <f t="array" ref="F16">INDEX(Calculo!$D$69:$M$69,MATCH(Supuestos!$B$21,Calculo!$D$4:$M$4,0))</f>
        <v>4.20826301</v>
      </c>
      <c r="G16" s="33">
        <f t="shared" si="1"/>
        <v>0.3506885842</v>
      </c>
      <c r="H16" s="33">
        <f>D16*Supuestos!$B$49</f>
        <v>2.462464567</v>
      </c>
      <c r="I16" s="68">
        <f>Supuestos!$B$27</f>
        <v>3</v>
      </c>
      <c r="J16" s="69">
        <f>MIN(ROUNDDOWN(MIN(H16,I16)*2,0)/2,MAX(Supuestos!$B$23,ROUNDUP(G16*Supuestos!$B$22*2,0)/2))</f>
        <v>0.5</v>
      </c>
      <c r="K16" s="25">
        <v>0.5</v>
      </c>
      <c r="L16" s="16">
        <f t="shared" si="2"/>
        <v>254.1296061</v>
      </c>
      <c r="M16" s="16">
        <f>L16*1000/Nesting!$H$29</f>
        <v>1682.977524</v>
      </c>
      <c r="N16" s="16">
        <f>IF(F16=0,0,K16/F16*Supuestos!$B$32)</f>
        <v>28.51532799</v>
      </c>
      <c r="O16" s="50">
        <f t="shared" si="3"/>
        <v>8.41652602</v>
      </c>
    </row>
    <row r="17" ht="14.25" customHeight="1">
      <c r="A17" s="7" t="s">
        <v>433</v>
      </c>
      <c r="B17" s="7" t="s">
        <v>424</v>
      </c>
      <c r="C17" s="45">
        <f>Nesting!$D$30</f>
        <v>1.6</v>
      </c>
      <c r="D17" s="67">
        <f>Nesting!$W$30</f>
        <v>250</v>
      </c>
      <c r="E17" s="33">
        <f>D17*C17*Supuestos!$B$10/1000</f>
        <v>3.148</v>
      </c>
      <c r="F17" s="65">
        <f t="array" ref="F17">INDEX(Calculo!$D$70:$M$70,MATCH(Supuestos!$B$21,Calculo!$D$4:$M$4,0))</f>
        <v>45.11980626</v>
      </c>
      <c r="G17" s="33">
        <f t="shared" si="1"/>
        <v>3.759983855</v>
      </c>
      <c r="H17" s="33">
        <f>D17*Supuestos!$B$49</f>
        <v>3.078080709</v>
      </c>
      <c r="I17" s="68">
        <f>Supuestos!$B$27</f>
        <v>3</v>
      </c>
      <c r="J17" s="69">
        <f>MIN(ROUNDDOWN(MIN(H17,I17)*2,0)/2,MAX(Supuestos!$B$23,ROUNDUP(G17*Supuestos!$B$22*2,0)/2))</f>
        <v>3</v>
      </c>
      <c r="K17" s="25">
        <v>0.6</v>
      </c>
      <c r="L17" s="16">
        <f t="shared" si="2"/>
        <v>190.5972046</v>
      </c>
      <c r="M17" s="16">
        <f>L17*1000/Nesting!$H$30</f>
        <v>850.8803776</v>
      </c>
      <c r="N17" s="16">
        <f>IF(F17=0,0,K17/F17*Supuestos!$B$32)</f>
        <v>3.191503065</v>
      </c>
      <c r="O17" s="50">
        <f t="shared" si="3"/>
        <v>75.19967711</v>
      </c>
    </row>
    <row r="18" ht="14.25" customHeight="1">
      <c r="A18" s="7" t="s">
        <v>434</v>
      </c>
      <c r="B18" s="7" t="s">
        <v>424</v>
      </c>
      <c r="C18" s="45">
        <f>Nesting!$D$31</f>
        <v>1.6</v>
      </c>
      <c r="D18" s="67">
        <f>Nesting!$W$31</f>
        <v>200</v>
      </c>
      <c r="E18" s="33">
        <f>D18*C18*Supuestos!$B$10/1000</f>
        <v>2.5184</v>
      </c>
      <c r="F18" s="65">
        <f t="array" ref="F18">INDEX(Calculo!$D$71:$M$71,MATCH(Supuestos!$B$21,Calculo!$D$4:$M$4,0))</f>
        <v>29.00558974</v>
      </c>
      <c r="G18" s="33">
        <f t="shared" si="1"/>
        <v>2.417132478</v>
      </c>
      <c r="H18" s="33">
        <f>D18*Supuestos!$B$49</f>
        <v>2.462464567</v>
      </c>
      <c r="I18" s="68">
        <f>Supuestos!$B$27</f>
        <v>3</v>
      </c>
      <c r="J18" s="69">
        <f>MIN(ROUNDDOWN(MIN(H18,I18)*2,0)/2,MAX(Supuestos!$B$23,ROUNDUP(G18*Supuestos!$B$22*2,0)/2))</f>
        <v>2</v>
      </c>
      <c r="K18" s="25">
        <v>0.5</v>
      </c>
      <c r="L18" s="16">
        <f t="shared" si="2"/>
        <v>198.5387548</v>
      </c>
      <c r="M18" s="16">
        <f>L18*1000/Nesting!$H$31</f>
        <v>1102.993082</v>
      </c>
      <c r="N18" s="16">
        <f>IF(F18=0,0,K18/F18*Supuestos!$B$32)</f>
        <v>4.137133603</v>
      </c>
      <c r="O18" s="50">
        <f t="shared" si="3"/>
        <v>58.01117948</v>
      </c>
    </row>
    <row r="19" ht="14.25" customHeight="1">
      <c r="A19" s="7" t="s">
        <v>437</v>
      </c>
      <c r="B19" s="7" t="s">
        <v>424</v>
      </c>
      <c r="C19" s="45">
        <f>Nesting!$D$32</f>
        <v>2</v>
      </c>
      <c r="D19" s="67">
        <f>Nesting!$W$32</f>
        <v>300</v>
      </c>
      <c r="E19" s="33">
        <f>D19*C19*Supuestos!$B$10/1000</f>
        <v>4.722</v>
      </c>
      <c r="F19" s="65">
        <f t="array" ref="F19">INDEX(Calculo!$D$72:$M$72,MATCH(Supuestos!$B$21,Calculo!$D$4:$M$4,0))</f>
        <v>4.771222697</v>
      </c>
      <c r="G19" s="33">
        <f t="shared" si="1"/>
        <v>0.3976018915</v>
      </c>
      <c r="H19" s="33">
        <f>D19*Supuestos!$B$49</f>
        <v>3.69369685</v>
      </c>
      <c r="I19" s="68">
        <f>Supuestos!$B$27</f>
        <v>3</v>
      </c>
      <c r="J19" s="69">
        <f>MIN(ROUNDDOWN(MIN(H19,I19)*2,0)/2,MAX(Supuestos!$B$23,ROUNDUP(G19*Supuestos!$B$22*2,0)/2))</f>
        <v>0.5</v>
      </c>
      <c r="K19" s="25">
        <v>0.75</v>
      </c>
      <c r="L19" s="16">
        <f t="shared" si="2"/>
        <v>158.8310038</v>
      </c>
      <c r="M19" s="16">
        <f>L19*1000/Nesting!$H$32</f>
        <v>608.5479073</v>
      </c>
      <c r="N19" s="16">
        <f>IF(F19=0,0,K19/F19*Supuestos!$B$32)</f>
        <v>37.72617868</v>
      </c>
      <c r="O19" s="50">
        <f t="shared" si="3"/>
        <v>6.361630263</v>
      </c>
    </row>
    <row r="20" ht="14.25" customHeight="1">
      <c r="A20" s="7" t="s">
        <v>439</v>
      </c>
      <c r="B20" s="7" t="s">
        <v>424</v>
      </c>
      <c r="C20" s="45">
        <f>Nesting!$D$33</f>
        <v>2</v>
      </c>
      <c r="D20" s="67">
        <f>Nesting!$W$33</f>
        <v>249</v>
      </c>
      <c r="E20" s="33">
        <f>D20*C20*Supuestos!$B$10/1000</f>
        <v>3.91926</v>
      </c>
      <c r="F20" s="65">
        <f t="array" ref="F20">INDEX(Calculo!$D$73:$M$73,MATCH(Supuestos!$B$21,Calculo!$D$4:$M$4,0))</f>
        <v>3.155953588</v>
      </c>
      <c r="G20" s="33">
        <f t="shared" si="1"/>
        <v>0.2629961323</v>
      </c>
      <c r="H20" s="33">
        <f>D20*Supuestos!$B$49</f>
        <v>3.065768386</v>
      </c>
      <c r="I20" s="68">
        <f>Supuestos!$B$27</f>
        <v>3</v>
      </c>
      <c r="J20" s="69">
        <f>MIN(ROUNDDOWN(MIN(H20,I20)*2,0)/2,MAX(Supuestos!$B$23,ROUNDUP(G20*Supuestos!$B$22*2,0)/2))</f>
        <v>0.5</v>
      </c>
      <c r="K20" s="25">
        <v>0.5</v>
      </c>
      <c r="L20" s="16">
        <f t="shared" si="2"/>
        <v>127.5751035</v>
      </c>
      <c r="M20" s="16">
        <f>L20*1000/Nesting!$H$33</f>
        <v>613.3418436</v>
      </c>
      <c r="N20" s="16">
        <f>IF(F20=0,0,K20/F20*Supuestos!$B$32)</f>
        <v>38.02337286</v>
      </c>
      <c r="O20" s="50">
        <f t="shared" si="3"/>
        <v>6.311907176</v>
      </c>
    </row>
    <row r="21" ht="14.25" customHeight="1"/>
    <row r="22" ht="14.25" customHeight="1">
      <c r="A22" s="3" t="s">
        <v>441</v>
      </c>
    </row>
    <row r="23" ht="60.0" customHeight="1">
      <c r="A23" s="4" t="s">
        <v>361</v>
      </c>
      <c r="B23" s="4" t="s">
        <v>362</v>
      </c>
      <c r="C23" s="4" t="s">
        <v>86</v>
      </c>
      <c r="D23" s="4" t="s">
        <v>364</v>
      </c>
      <c r="E23" s="4" t="s">
        <v>365</v>
      </c>
      <c r="F23" s="4" t="s">
        <v>366</v>
      </c>
      <c r="G23" s="4" t="s">
        <v>367</v>
      </c>
      <c r="H23" s="4" t="s">
        <v>368</v>
      </c>
      <c r="I23" s="4" t="s">
        <v>369</v>
      </c>
      <c r="J23" s="4" t="s">
        <v>370</v>
      </c>
      <c r="K23" s="4" t="s">
        <v>371</v>
      </c>
      <c r="L23" s="4" t="s">
        <v>372</v>
      </c>
      <c r="M23" s="4" t="s">
        <v>373</v>
      </c>
      <c r="N23" s="4" t="s">
        <v>443</v>
      </c>
      <c r="O23" s="4" t="s">
        <v>376</v>
      </c>
    </row>
    <row r="24" ht="14.25" customHeight="1">
      <c r="A24" s="7" t="s">
        <v>444</v>
      </c>
      <c r="B24" s="7" t="s">
        <v>445</v>
      </c>
      <c r="C24" s="45">
        <f>BobinaMadre!$D$6</f>
        <v>0.9</v>
      </c>
      <c r="D24" s="67">
        <f>BobinaMadre!$B$6</f>
        <v>1220</v>
      </c>
      <c r="E24" s="33">
        <f>D24*C24*Supuestos!$B$10/1000</f>
        <v>8.64126</v>
      </c>
      <c r="F24" s="65">
        <f t="array" ref="F24">INDEX(BobinaMadre!$D$19:$M$19,MATCH(Supuestos!$B$21,Calculo!$D$4:$M$4,0))</f>
        <v>34.63842479</v>
      </c>
      <c r="G24" s="33">
        <f t="shared" ref="G24:G29" si="4">F24/12</f>
        <v>2.8865354</v>
      </c>
      <c r="H24" s="33">
        <f>D24*Supuestos!$B$49</f>
        <v>15.02103386</v>
      </c>
      <c r="I24" s="68">
        <f>Supuestos!$B$28</f>
        <v>14</v>
      </c>
      <c r="J24" s="69">
        <f>MIN(ROUNDDOWN(MIN(H24,I24)*2,0)/2,MAX(Supuestos!$B$23,ROUNDUP(G24*Supuestos!$B$22*2,0)/2))</f>
        <v>3</v>
      </c>
      <c r="K24" s="25">
        <v>3.0</v>
      </c>
      <c r="L24" s="16">
        <f t="shared" ref="L24:L29" si="5">K24*1000/E24</f>
        <v>347.171593</v>
      </c>
      <c r="M24" s="16" t="s">
        <v>447</v>
      </c>
      <c r="N24" s="16">
        <f>IF(F24=0,0,K24/F24*Supuestos!$B$32)</f>
        <v>20.78616462</v>
      </c>
      <c r="O24" s="50">
        <f t="shared" ref="O24:O29" si="6">IF(K24=0,0,F24/K24)</f>
        <v>11.5461416</v>
      </c>
    </row>
    <row r="25" ht="14.25" customHeight="1">
      <c r="A25" s="7" t="s">
        <v>450</v>
      </c>
      <c r="B25" s="7" t="s">
        <v>445</v>
      </c>
      <c r="C25" s="45">
        <f>BobinaMadre!$D$28</f>
        <v>1.25</v>
      </c>
      <c r="D25" s="67">
        <f>BobinaMadre!$B$28</f>
        <v>1000</v>
      </c>
      <c r="E25" s="33">
        <f>D25*C25*Supuestos!$B$10/1000</f>
        <v>9.8375</v>
      </c>
      <c r="F25" s="65">
        <f t="array" ref="F25">INDEX(BobinaMadre!$D$43:$M$43,MATCH(Supuestos!$B$21,Calculo!$D$4:$M$4,0))</f>
        <v>23.29480594</v>
      </c>
      <c r="G25" s="33">
        <f t="shared" si="4"/>
        <v>1.941233828</v>
      </c>
      <c r="H25" s="33">
        <f>D25*Supuestos!$B$49</f>
        <v>12.31232283</v>
      </c>
      <c r="I25" s="68">
        <f>Supuestos!$B$28</f>
        <v>14</v>
      </c>
      <c r="J25" s="69">
        <f>MIN(ROUNDDOWN(MIN(H25,I25)*2,0)/2,MAX(Supuestos!$B$23,ROUNDUP(G25*Supuestos!$B$22*2,0)/2))</f>
        <v>2</v>
      </c>
      <c r="K25" s="25">
        <v>2.0</v>
      </c>
      <c r="L25" s="16">
        <f t="shared" si="5"/>
        <v>203.3036849</v>
      </c>
      <c r="M25" s="16" t="s">
        <v>447</v>
      </c>
      <c r="N25" s="16">
        <f>IF(F25=0,0,K25/F25*Supuestos!$B$32)</f>
        <v>20.60545176</v>
      </c>
      <c r="O25" s="50">
        <f t="shared" si="6"/>
        <v>11.64740297</v>
      </c>
    </row>
    <row r="26" ht="14.25" customHeight="1">
      <c r="A26" s="7" t="s">
        <v>470</v>
      </c>
      <c r="B26" s="7" t="s">
        <v>445</v>
      </c>
      <c r="C26" s="45">
        <f>BobinaMadre!$D$52</f>
        <v>1.6</v>
      </c>
      <c r="D26" s="67">
        <f>BobinaMadre!$B$52</f>
        <v>1000</v>
      </c>
      <c r="E26" s="33">
        <f>D26*C26*Supuestos!$B$10/1000</f>
        <v>12.592</v>
      </c>
      <c r="F26" s="65">
        <f t="array" ref="F26">INDEX(BobinaMadre!$D$67:$M$67,MATCH(Supuestos!$B$21,Calculo!$D$4:$M$4,0))</f>
        <v>198.0714951</v>
      </c>
      <c r="G26" s="33">
        <f t="shared" si="4"/>
        <v>16.50595792</v>
      </c>
      <c r="H26" s="33">
        <f>D26*Supuestos!$B$49</f>
        <v>12.31232283</v>
      </c>
      <c r="I26" s="68">
        <f>Supuestos!$B$28</f>
        <v>14</v>
      </c>
      <c r="J26" s="69">
        <f>MIN(ROUNDDOWN(MIN(H26,I26)*2,0)/2,MAX(Supuestos!$B$23,ROUNDUP(G26*Supuestos!$B$22*2,0)/2))</f>
        <v>12</v>
      </c>
      <c r="K26" s="25">
        <v>12.0</v>
      </c>
      <c r="L26" s="16">
        <f t="shared" si="5"/>
        <v>952.9860229</v>
      </c>
      <c r="M26" s="16" t="s">
        <v>447</v>
      </c>
      <c r="N26" s="16">
        <f>IF(F26=0,0,K26/F26*Supuestos!$B$32)</f>
        <v>14.54020428</v>
      </c>
      <c r="O26" s="50">
        <f t="shared" si="6"/>
        <v>16.50595792</v>
      </c>
    </row>
    <row r="27" ht="14.25" customHeight="1">
      <c r="A27" s="7" t="s">
        <v>473</v>
      </c>
      <c r="B27" s="7" t="s">
        <v>445</v>
      </c>
      <c r="C27" s="45">
        <f>BobinaMadre!$D$76</f>
        <v>2</v>
      </c>
      <c r="D27" s="67">
        <f>BobinaMadre!$B$76</f>
        <v>1000</v>
      </c>
      <c r="E27" s="33">
        <f>D27*C27*Supuestos!$B$10/1000</f>
        <v>15.74</v>
      </c>
      <c r="F27" s="65">
        <f t="array" ref="F27">INDEX(BobinaMadre!$D$91:$M$91,MATCH(Supuestos!$B$21,Calculo!$D$4:$M$4,0))</f>
        <v>24.56781202</v>
      </c>
      <c r="G27" s="33">
        <f t="shared" si="4"/>
        <v>2.047317668</v>
      </c>
      <c r="H27" s="33">
        <f>D27*Supuestos!$B$49</f>
        <v>12.31232283</v>
      </c>
      <c r="I27" s="68">
        <f>Supuestos!$B$28</f>
        <v>14</v>
      </c>
      <c r="J27" s="69">
        <f>MIN(ROUNDDOWN(MIN(H27,I27)*2,0)/2,MAX(Supuestos!$B$23,ROUNDUP(G27*Supuestos!$B$22*2,0)/2))</f>
        <v>2.5</v>
      </c>
      <c r="K27" s="25">
        <v>2.5</v>
      </c>
      <c r="L27" s="16">
        <f t="shared" si="5"/>
        <v>158.8310038</v>
      </c>
      <c r="M27" s="16" t="s">
        <v>447</v>
      </c>
      <c r="N27" s="16">
        <f>IF(F27=0,0,K27/F27*Supuestos!$B$32)</f>
        <v>24.42219924</v>
      </c>
      <c r="O27" s="50">
        <f t="shared" si="6"/>
        <v>9.827124808</v>
      </c>
    </row>
    <row r="28" ht="14.25" customHeight="1">
      <c r="A28" s="7" t="s">
        <v>474</v>
      </c>
      <c r="B28" s="7" t="s">
        <v>445</v>
      </c>
      <c r="C28" s="45">
        <f>BobinaMadre!$D$100</f>
        <v>3.2</v>
      </c>
      <c r="D28" s="67">
        <f>BobinaMadre!$B$100</f>
        <v>1500</v>
      </c>
      <c r="E28" s="33">
        <f>D28*C28*Supuestos!$B$10/1000</f>
        <v>37.776</v>
      </c>
      <c r="F28" s="65">
        <f t="array" ref="F28">INDEX(BobinaMadre!$D$113:$M$113,MATCH(Supuestos!$B$21,Calculo!$D$4:$M$4,0))</f>
        <v>40.61354262</v>
      </c>
      <c r="G28" s="33">
        <f t="shared" si="4"/>
        <v>3.384461885</v>
      </c>
      <c r="H28" s="33">
        <f>D28*Supuestos!$B$49</f>
        <v>18.46848425</v>
      </c>
      <c r="I28" s="68">
        <f>Supuestos!$B$28</f>
        <v>14</v>
      </c>
      <c r="J28" s="69">
        <f>MIN(ROUNDDOWN(MIN(H28,I28)*2,0)/2,MAX(Supuestos!$B$23,ROUNDUP(G28*Supuestos!$B$22*2,0)/2))</f>
        <v>3.5</v>
      </c>
      <c r="K28" s="25">
        <v>3.5</v>
      </c>
      <c r="L28" s="16">
        <f t="shared" si="5"/>
        <v>92.65141889</v>
      </c>
      <c r="M28" s="16" t="s">
        <v>447</v>
      </c>
      <c r="N28" s="16">
        <f>IF(F28=0,0,K28/F28*Supuestos!$B$32)</f>
        <v>20.68275619</v>
      </c>
      <c r="O28" s="50">
        <f t="shared" si="6"/>
        <v>11.60386932</v>
      </c>
    </row>
    <row r="29" ht="14.25" customHeight="1">
      <c r="A29" s="7" t="s">
        <v>476</v>
      </c>
      <c r="B29" s="7" t="s">
        <v>445</v>
      </c>
      <c r="C29" s="45">
        <f>BobinaMadre!$D$122</f>
        <v>4.75</v>
      </c>
      <c r="D29" s="67">
        <f>BobinaMadre!$B$122</f>
        <v>1245</v>
      </c>
      <c r="E29" s="33">
        <f>D29*C29*Supuestos!$B$10/1000</f>
        <v>46.5412125</v>
      </c>
      <c r="F29" s="65">
        <f t="array" ref="F29">INDEX(BobinaMadre!$D$133:$M$133,MATCH(Supuestos!$B$21,Calculo!$D$4:$M$4,0))</f>
        <v>22.26213535</v>
      </c>
      <c r="G29" s="33">
        <f t="shared" si="4"/>
        <v>1.855177946</v>
      </c>
      <c r="H29" s="33">
        <f>D29*Supuestos!$B$49</f>
        <v>15.32884193</v>
      </c>
      <c r="I29" s="68">
        <f>Supuestos!$B$28</f>
        <v>14</v>
      </c>
      <c r="J29" s="69">
        <f>MIN(ROUNDDOWN(MIN(H29,I29)*2,0)/2,MAX(Supuestos!$B$23,ROUNDUP(G29*Supuestos!$B$22*2,0)/2))</f>
        <v>2</v>
      </c>
      <c r="K29" s="25">
        <v>2.0</v>
      </c>
      <c r="L29" s="16">
        <f t="shared" si="5"/>
        <v>42.97266643</v>
      </c>
      <c r="M29" s="16" t="s">
        <v>447</v>
      </c>
      <c r="N29" s="16">
        <f>IF(F29=0,0,K29/F29*Supuestos!$B$32)</f>
        <v>21.56127399</v>
      </c>
      <c r="O29" s="50">
        <f t="shared" si="6"/>
        <v>11.13106768</v>
      </c>
    </row>
    <row r="30" ht="14.25" customHeight="1"/>
    <row r="31" ht="14.25" customHeight="1">
      <c r="A31" s="2" t="s">
        <v>481</v>
      </c>
    </row>
    <row r="32" ht="14.25" customHeight="1">
      <c r="A32" s="2" t="s">
        <v>482</v>
      </c>
    </row>
    <row r="33" ht="14.25" customHeight="1">
      <c r="A33" s="2" t="s">
        <v>483</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60.0"/>
    <col customWidth="1" min="2" max="2" width="9.0"/>
    <col customWidth="1" min="3" max="3" width="7.0"/>
    <col customWidth="1" min="4" max="13" width="12.0"/>
    <col customWidth="1" min="14" max="14" width="10.0"/>
    <col customWidth="1" min="15" max="26" width="8.57"/>
  </cols>
  <sheetData>
    <row r="1" ht="14.25" customHeight="1">
      <c r="A1" s="1" t="s">
        <v>409</v>
      </c>
    </row>
    <row r="2" ht="14.25" customHeight="1">
      <c r="A2" s="2" t="s">
        <v>410</v>
      </c>
    </row>
    <row r="3" ht="14.25" customHeight="1"/>
    <row r="4" ht="14.25" customHeight="1">
      <c r="A4" s="4" t="s">
        <v>7</v>
      </c>
      <c r="B4" s="4" t="s">
        <v>86</v>
      </c>
      <c r="C4" s="4" t="s">
        <v>88</v>
      </c>
      <c r="D4" s="70">
        <v>2026.0</v>
      </c>
      <c r="E4" s="70">
        <v>2027.0</v>
      </c>
      <c r="F4" s="70">
        <v>2028.0</v>
      </c>
      <c r="G4" s="70">
        <v>2029.0</v>
      </c>
      <c r="H4" s="70">
        <v>2030.0</v>
      </c>
      <c r="I4" s="70">
        <v>2031.0</v>
      </c>
      <c r="J4" s="70">
        <v>2032.0</v>
      </c>
      <c r="K4" s="70">
        <v>2033.0</v>
      </c>
      <c r="L4" s="70">
        <v>2034.0</v>
      </c>
      <c r="M4" s="70">
        <v>2035.0</v>
      </c>
    </row>
    <row r="5" ht="14.25" customHeight="1">
      <c r="A5" s="7" t="s">
        <v>414</v>
      </c>
      <c r="D5" s="16">
        <v>1.0</v>
      </c>
      <c r="E5" s="16">
        <v>2.0</v>
      </c>
      <c r="F5" s="16">
        <v>3.0</v>
      </c>
      <c r="G5" s="16">
        <v>4.0</v>
      </c>
      <c r="H5" s="16">
        <v>5.0</v>
      </c>
      <c r="I5" s="16">
        <v>6.0</v>
      </c>
      <c r="J5" s="16">
        <v>7.0</v>
      </c>
      <c r="K5" s="16">
        <v>8.0</v>
      </c>
      <c r="L5" s="16">
        <v>9.0</v>
      </c>
      <c r="M5" s="16">
        <v>10.0</v>
      </c>
    </row>
    <row r="6" ht="14.25" customHeight="1"/>
    <row r="7" ht="14.25" customHeight="1">
      <c r="A7" s="3" t="s">
        <v>415</v>
      </c>
    </row>
    <row r="8" ht="14.25" customHeight="1">
      <c r="A8" s="7" t="s">
        <v>33</v>
      </c>
      <c r="B8" s="71"/>
      <c r="C8" s="7"/>
      <c r="D8" s="16">
        <f>Demanda!D30</f>
        <v>4179</v>
      </c>
      <c r="E8" s="16">
        <f>Demanda!E30</f>
        <v>5997</v>
      </c>
      <c r="F8" s="16">
        <f>Demanda!F30</f>
        <v>14514</v>
      </c>
      <c r="G8" s="16">
        <f>Demanda!G30</f>
        <v>35162</v>
      </c>
      <c r="H8" s="16">
        <f>Demanda!H30</f>
        <v>62116</v>
      </c>
      <c r="I8" s="16">
        <f>Demanda!I30</f>
        <v>87300</v>
      </c>
      <c r="J8" s="16">
        <f>Demanda!J30</f>
        <v>121674</v>
      </c>
      <c r="K8" s="16">
        <f>Demanda!K30</f>
        <v>156133</v>
      </c>
      <c r="L8" s="16">
        <f>Demanda!L30</f>
        <v>175393</v>
      </c>
      <c r="M8" s="16">
        <f>Demanda!M30</f>
        <v>202621</v>
      </c>
    </row>
    <row r="9" ht="14.25" customHeight="1">
      <c r="A9" s="7" t="s">
        <v>52</v>
      </c>
      <c r="B9" s="71"/>
      <c r="C9" s="7"/>
      <c r="D9" s="16">
        <f>Demanda!D31</f>
        <v>295</v>
      </c>
      <c r="E9" s="16">
        <f>Demanda!E31</f>
        <v>709</v>
      </c>
      <c r="F9" s="16">
        <f>Demanda!F31</f>
        <v>1287</v>
      </c>
      <c r="G9" s="16">
        <f>Demanda!G31</f>
        <v>2545</v>
      </c>
      <c r="H9" s="16">
        <f>Demanda!H31</f>
        <v>4245</v>
      </c>
      <c r="I9" s="16">
        <f>Demanda!I31</f>
        <v>6055</v>
      </c>
      <c r="J9" s="16">
        <f>Demanda!J31</f>
        <v>8066</v>
      </c>
      <c r="K9" s="16">
        <f>Demanda!K31</f>
        <v>10228</v>
      </c>
      <c r="L9" s="16">
        <f>Demanda!L31</f>
        <v>11936</v>
      </c>
      <c r="M9" s="16">
        <f>Demanda!M31</f>
        <v>14094</v>
      </c>
    </row>
    <row r="10" ht="14.25" customHeight="1">
      <c r="A10" s="7" t="s">
        <v>60</v>
      </c>
      <c r="B10" s="71"/>
      <c r="C10" s="7"/>
      <c r="D10" s="16">
        <f>Demanda!D32</f>
        <v>2256</v>
      </c>
      <c r="E10" s="16">
        <f>Demanda!E32</f>
        <v>3847</v>
      </c>
      <c r="F10" s="16">
        <f>Demanda!F32</f>
        <v>6573</v>
      </c>
      <c r="G10" s="16">
        <f>Demanda!G32</f>
        <v>11975</v>
      </c>
      <c r="H10" s="16">
        <f>Demanda!H32</f>
        <v>20360</v>
      </c>
      <c r="I10" s="16">
        <f>Demanda!I32</f>
        <v>28440</v>
      </c>
      <c r="J10" s="16">
        <f>Demanda!J32</f>
        <v>38437</v>
      </c>
      <c r="K10" s="16">
        <f>Demanda!K32</f>
        <v>48651</v>
      </c>
      <c r="L10" s="16">
        <f>Demanda!L32</f>
        <v>55304</v>
      </c>
      <c r="M10" s="16">
        <f>Demanda!M32</f>
        <v>63666</v>
      </c>
    </row>
    <row r="11" ht="14.25" customHeight="1">
      <c r="A11" s="7" t="s">
        <v>68</v>
      </c>
      <c r="B11" s="71"/>
      <c r="C11" s="7"/>
      <c r="D11" s="16">
        <f>Demanda!D33</f>
        <v>92</v>
      </c>
      <c r="E11" s="16">
        <f>Demanda!E33</f>
        <v>177</v>
      </c>
      <c r="F11" s="16">
        <f>Demanda!F33</f>
        <v>343</v>
      </c>
      <c r="G11" s="16">
        <f>Demanda!G33</f>
        <v>673</v>
      </c>
      <c r="H11" s="16">
        <f>Demanda!H33</f>
        <v>1186</v>
      </c>
      <c r="I11" s="16">
        <f>Demanda!I33</f>
        <v>1718</v>
      </c>
      <c r="J11" s="16">
        <f>Demanda!J33</f>
        <v>2322</v>
      </c>
      <c r="K11" s="16">
        <f>Demanda!K33</f>
        <v>2940</v>
      </c>
      <c r="L11" s="16">
        <f>Demanda!L33</f>
        <v>3343</v>
      </c>
      <c r="M11" s="16">
        <f>Demanda!M33</f>
        <v>3852</v>
      </c>
    </row>
    <row r="12" ht="14.25" customHeight="1">
      <c r="A12" s="7" t="s">
        <v>69</v>
      </c>
      <c r="B12" s="71"/>
      <c r="C12" s="7"/>
      <c r="D12" s="16">
        <f>Demanda!D34</f>
        <v>34</v>
      </c>
      <c r="E12" s="16">
        <f>Demanda!E34</f>
        <v>58</v>
      </c>
      <c r="F12" s="16">
        <f>Demanda!F34</f>
        <v>90</v>
      </c>
      <c r="G12" s="16">
        <f>Demanda!G34</f>
        <v>150</v>
      </c>
      <c r="H12" s="16">
        <f>Demanda!H34</f>
        <v>249</v>
      </c>
      <c r="I12" s="16">
        <f>Demanda!I34</f>
        <v>347</v>
      </c>
      <c r="J12" s="16">
        <f>Demanda!J34</f>
        <v>464</v>
      </c>
      <c r="K12" s="16">
        <f>Demanda!K34</f>
        <v>585</v>
      </c>
      <c r="L12" s="16">
        <f>Demanda!L34</f>
        <v>670</v>
      </c>
      <c r="M12" s="16">
        <f>Demanda!M34</f>
        <v>775</v>
      </c>
    </row>
    <row r="13" ht="14.25" customHeight="1">
      <c r="A13" s="7" t="s">
        <v>71</v>
      </c>
      <c r="B13" s="71"/>
      <c r="C13" s="7"/>
      <c r="D13" s="16">
        <f>Demanda!D35</f>
        <v>75</v>
      </c>
      <c r="E13" s="16">
        <f>Demanda!E35</f>
        <v>128</v>
      </c>
      <c r="F13" s="16">
        <f>Demanda!F35</f>
        <v>198</v>
      </c>
      <c r="G13" s="16">
        <f>Demanda!G35</f>
        <v>332</v>
      </c>
      <c r="H13" s="16">
        <f>Demanda!H35</f>
        <v>548</v>
      </c>
      <c r="I13" s="16">
        <f>Demanda!I35</f>
        <v>764</v>
      </c>
      <c r="J13" s="16">
        <f>Demanda!J35</f>
        <v>1020</v>
      </c>
      <c r="K13" s="16">
        <f>Demanda!K35</f>
        <v>1287</v>
      </c>
      <c r="L13" s="16">
        <f>Demanda!L35</f>
        <v>1476</v>
      </c>
      <c r="M13" s="16">
        <f>Demanda!M35</f>
        <v>1705</v>
      </c>
    </row>
    <row r="14" ht="14.25" customHeight="1">
      <c r="A14" s="7" t="s">
        <v>76</v>
      </c>
      <c r="B14" s="71"/>
      <c r="C14" s="7"/>
      <c r="D14" s="16">
        <f>Demanda!D36</f>
        <v>16</v>
      </c>
      <c r="E14" s="16">
        <f>Demanda!E36</f>
        <v>29</v>
      </c>
      <c r="F14" s="16">
        <f>Demanda!F36</f>
        <v>43</v>
      </c>
      <c r="G14" s="16">
        <f>Demanda!G36</f>
        <v>72</v>
      </c>
      <c r="H14" s="16">
        <f>Demanda!H36</f>
        <v>119</v>
      </c>
      <c r="I14" s="16">
        <f>Demanda!I36</f>
        <v>166</v>
      </c>
      <c r="J14" s="16">
        <f>Demanda!J36</f>
        <v>223</v>
      </c>
      <c r="K14" s="16">
        <f>Demanda!K36</f>
        <v>282</v>
      </c>
      <c r="L14" s="16">
        <f>Demanda!L36</f>
        <v>322</v>
      </c>
      <c r="M14" s="16">
        <f>Demanda!M36</f>
        <v>373</v>
      </c>
    </row>
    <row r="15" ht="14.25" customHeight="1">
      <c r="A15" s="7" t="s">
        <v>83</v>
      </c>
      <c r="B15" s="71"/>
      <c r="C15" s="7"/>
      <c r="D15" s="16">
        <f>Demanda!D37</f>
        <v>11</v>
      </c>
      <c r="E15" s="16">
        <f>Demanda!E37</f>
        <v>18</v>
      </c>
      <c r="F15" s="16">
        <f>Demanda!F37</f>
        <v>29</v>
      </c>
      <c r="G15" s="16">
        <f>Demanda!G37</f>
        <v>49</v>
      </c>
      <c r="H15" s="16">
        <f>Demanda!H37</f>
        <v>80</v>
      </c>
      <c r="I15" s="16">
        <f>Demanda!I37</f>
        <v>110</v>
      </c>
      <c r="J15" s="16">
        <f>Demanda!J37</f>
        <v>147</v>
      </c>
      <c r="K15" s="16">
        <f>Demanda!K37</f>
        <v>186</v>
      </c>
      <c r="L15" s="16">
        <f>Demanda!L37</f>
        <v>214</v>
      </c>
      <c r="M15" s="16">
        <f>Demanda!M37</f>
        <v>247</v>
      </c>
    </row>
    <row r="16" ht="14.25" customHeight="1">
      <c r="A16" s="5" t="s">
        <v>425</v>
      </c>
      <c r="D16" s="26">
        <f t="shared" ref="D16:M16" si="1">SUM(D8:D15)</f>
        <v>6958</v>
      </c>
      <c r="E16" s="26">
        <f t="shared" si="1"/>
        <v>10963</v>
      </c>
      <c r="F16" s="26">
        <f t="shared" si="1"/>
        <v>23077</v>
      </c>
      <c r="G16" s="26">
        <f t="shared" si="1"/>
        <v>50958</v>
      </c>
      <c r="H16" s="26">
        <f t="shared" si="1"/>
        <v>88903</v>
      </c>
      <c r="I16" s="26">
        <f t="shared" si="1"/>
        <v>124900</v>
      </c>
      <c r="J16" s="26">
        <f t="shared" si="1"/>
        <v>172353</v>
      </c>
      <c r="K16" s="26">
        <f t="shared" si="1"/>
        <v>220292</v>
      </c>
      <c r="L16" s="26">
        <f t="shared" si="1"/>
        <v>248658</v>
      </c>
      <c r="M16" s="26">
        <f t="shared" si="1"/>
        <v>287333</v>
      </c>
    </row>
    <row r="17" ht="14.25" customHeight="1"/>
    <row r="18" ht="14.25" customHeight="1">
      <c r="A18" s="3" t="s">
        <v>429</v>
      </c>
      <c r="N18" s="72" t="s">
        <v>430</v>
      </c>
    </row>
    <row r="19" ht="14.25" customHeight="1">
      <c r="A19" s="7" t="s">
        <v>52</v>
      </c>
      <c r="B19" s="71">
        <f>Nesting!$E$6</f>
        <v>1.25</v>
      </c>
      <c r="C19" s="7" t="str">
        <f>Nesting!$F$6</f>
        <v>LAF</v>
      </c>
      <c r="D19" s="65">
        <f>D9*Nesting!$G$6/1000</f>
        <v>0.3015018028</v>
      </c>
      <c r="E19" s="65">
        <f>E9*Nesting!$G$6/1000</f>
        <v>0.7246263666</v>
      </c>
      <c r="F19" s="65">
        <f>F9*Nesting!$G$6/1000</f>
        <v>1.315365492</v>
      </c>
      <c r="G19" s="65">
        <f>G9*Nesting!$G$6/1000</f>
        <v>2.601091824</v>
      </c>
      <c r="H19" s="65">
        <f>H9*Nesting!$G$6/1000</f>
        <v>4.33855984</v>
      </c>
      <c r="I19" s="65">
        <f>I9*Nesting!$G$6/1000</f>
        <v>6.188452257</v>
      </c>
      <c r="J19" s="65">
        <f>J9*Nesting!$G$6/1000</f>
        <v>8.243774716</v>
      </c>
      <c r="K19" s="65">
        <f>K9*Nesting!$G$6/1000</f>
        <v>10.45342522</v>
      </c>
      <c r="L19" s="65">
        <f>L9*Nesting!$G$6/1000</f>
        <v>12.19906955</v>
      </c>
      <c r="M19" s="65">
        <f>M9*Nesting!$G$6/1000</f>
        <v>14.40463189</v>
      </c>
      <c r="N19" s="20">
        <f t="array" ref="N19">INDEX(Supuestos!$F$84:$F$89,MATCH($B19,Supuestos!$A$84:$A$89,0))</f>
        <v>1.426</v>
      </c>
    </row>
    <row r="20" ht="14.25" customHeight="1">
      <c r="A20" s="7" t="s">
        <v>60</v>
      </c>
      <c r="B20" s="71">
        <f>Nesting!$E$7</f>
        <v>1.6</v>
      </c>
      <c r="C20" s="7" t="str">
        <f>Nesting!$F$7</f>
        <v>LAF</v>
      </c>
      <c r="D20" s="65">
        <f>D10*Nesting!$G$7/1000</f>
        <v>4.44819653</v>
      </c>
      <c r="E20" s="65">
        <f>E10*Nesting!$G$7/1000</f>
        <v>7.585200377</v>
      </c>
      <c r="F20" s="65">
        <f>F10*Nesting!$G$7/1000</f>
        <v>12.96010452</v>
      </c>
      <c r="G20" s="65">
        <f>G10*Nesting!$G$7/1000</f>
        <v>23.61132688</v>
      </c>
      <c r="H20" s="65">
        <f>H10*Nesting!$G$7/1000</f>
        <v>40.144185</v>
      </c>
      <c r="I20" s="65">
        <f>I10*Nesting!$G$7/1000</f>
        <v>56.07566902</v>
      </c>
      <c r="J20" s="65">
        <f>J10*Nesting!$G$7/1000</f>
        <v>75.78693707</v>
      </c>
      <c r="K20" s="65">
        <f>K10*Nesting!$G$7/1000</f>
        <v>95.92606799</v>
      </c>
      <c r="L20" s="65">
        <f>L10*Nesting!$G$7/1000</f>
        <v>109.04391</v>
      </c>
      <c r="M20" s="65">
        <f>M10*Nesting!$G$7/1000</f>
        <v>125.5314186</v>
      </c>
      <c r="N20" s="20">
        <f t="array" ref="N20">INDEX(Supuestos!$F$84:$F$89,MATCH($B20,Supuestos!$A$84:$A$89,0))</f>
        <v>1.453</v>
      </c>
    </row>
    <row r="21" ht="14.25" customHeight="1">
      <c r="A21" s="7" t="s">
        <v>68</v>
      </c>
      <c r="B21" s="71">
        <f>Nesting!$E$8</f>
        <v>2</v>
      </c>
      <c r="C21" s="7" t="str">
        <f>Nesting!$F$8</f>
        <v>LAF</v>
      </c>
      <c r="D21" s="65">
        <f>D11*Nesting!$G$8/1000</f>
        <v>0.4035581748</v>
      </c>
      <c r="E21" s="65">
        <f>E11*Nesting!$G$8/1000</f>
        <v>0.7764108363</v>
      </c>
      <c r="F21" s="65">
        <f>F11*Nesting!$G$8/1000</f>
        <v>1.504570152</v>
      </c>
      <c r="G21" s="65">
        <f>G11*Nesting!$G$8/1000</f>
        <v>2.952115779</v>
      </c>
      <c r="H21" s="65">
        <f>H11*Nesting!$G$8/1000</f>
        <v>5.202391253</v>
      </c>
      <c r="I21" s="65">
        <f>I11*Nesting!$G$8/1000</f>
        <v>7.536010264</v>
      </c>
      <c r="J21" s="65">
        <f>J11*Nesting!$G$8/1000</f>
        <v>10.18545741</v>
      </c>
      <c r="K21" s="65">
        <f>K11*Nesting!$G$8/1000</f>
        <v>12.89631559</v>
      </c>
      <c r="L21" s="65">
        <f>L11*Nesting!$G$8/1000</f>
        <v>14.66407585</v>
      </c>
      <c r="M21" s="65">
        <f>M11*Nesting!$G$8/1000</f>
        <v>16.89680532</v>
      </c>
      <c r="N21" s="20">
        <f t="array" ref="N21">INDEX(Supuestos!$F$84:$F$89,MATCH($B21,Supuestos!$A$84:$A$89,0))</f>
        <v>1.429</v>
      </c>
    </row>
    <row r="22" ht="14.25" customHeight="1">
      <c r="A22" s="7" t="s">
        <v>69</v>
      </c>
      <c r="B22" s="71">
        <f>Nesting!$E$9</f>
        <v>3.2</v>
      </c>
      <c r="C22" s="7" t="str">
        <f>Nesting!$F$9</f>
        <v>LAC</v>
      </c>
      <c r="D22" s="65">
        <f>D12*Nesting!$G$9/1000</f>
        <v>0.3599871475</v>
      </c>
      <c r="E22" s="65">
        <f>E12*Nesting!$G$9/1000</f>
        <v>0.6140957222</v>
      </c>
      <c r="F22" s="65">
        <f>F12*Nesting!$G$9/1000</f>
        <v>0.9529071552</v>
      </c>
      <c r="G22" s="65">
        <f>G12*Nesting!$G$9/1000</f>
        <v>1.588178592</v>
      </c>
      <c r="H22" s="65">
        <f>H12*Nesting!$G$9/1000</f>
        <v>2.636376463</v>
      </c>
      <c r="I22" s="65">
        <f>I12*Nesting!$G$9/1000</f>
        <v>3.673986476</v>
      </c>
      <c r="J22" s="65">
        <f>J12*Nesting!$G$9/1000</f>
        <v>4.912765778</v>
      </c>
      <c r="K22" s="65">
        <f>K12*Nesting!$G$9/1000</f>
        <v>6.193896509</v>
      </c>
      <c r="L22" s="65">
        <f>L12*Nesting!$G$9/1000</f>
        <v>7.093864378</v>
      </c>
      <c r="M22" s="65">
        <f>M12*Nesting!$G$9/1000</f>
        <v>8.205589392</v>
      </c>
      <c r="N22" s="20">
        <f t="array" ref="N22">INDEX(Supuestos!$F$84:$F$89,MATCH($B22,Supuestos!$A$84:$A$89,0))</f>
        <v>1.256</v>
      </c>
    </row>
    <row r="23" ht="14.25" customHeight="1">
      <c r="A23" s="7" t="s">
        <v>71</v>
      </c>
      <c r="B23" s="71">
        <f>Nesting!$E$10</f>
        <v>3.2</v>
      </c>
      <c r="C23" s="7" t="str">
        <f>Nesting!$F$10</f>
        <v>LAC</v>
      </c>
      <c r="D23" s="65">
        <f>D13*Nesting!$G$10/1000</f>
        <v>1.201579008</v>
      </c>
      <c r="E23" s="65">
        <f>E13*Nesting!$G$10/1000</f>
        <v>2.05069484</v>
      </c>
      <c r="F23" s="65">
        <f>F13*Nesting!$G$10/1000</f>
        <v>3.172168581</v>
      </c>
      <c r="G23" s="65">
        <f>G13*Nesting!$G$10/1000</f>
        <v>5.318989742</v>
      </c>
      <c r="H23" s="65">
        <f>H13*Nesting!$G$10/1000</f>
        <v>8.779537285</v>
      </c>
      <c r="I23" s="65">
        <f>I13*Nesting!$G$10/1000</f>
        <v>12.24008483</v>
      </c>
      <c r="J23" s="65">
        <f>J13*Nesting!$G$10/1000</f>
        <v>16.34147451</v>
      </c>
      <c r="K23" s="65">
        <f>K13*Nesting!$G$10/1000</f>
        <v>20.61909578</v>
      </c>
      <c r="L23" s="65">
        <f>L13*Nesting!$G$10/1000</f>
        <v>23.64707488</v>
      </c>
      <c r="M23" s="65">
        <f>M13*Nesting!$G$10/1000</f>
        <v>27.31589612</v>
      </c>
      <c r="N23" s="20">
        <f t="array" ref="N23">INDEX(Supuestos!$F$84:$F$89,MATCH($B23,Supuestos!$A$84:$A$89,0))</f>
        <v>1.256</v>
      </c>
    </row>
    <row r="24" ht="14.25" customHeight="1">
      <c r="A24" s="7" t="s">
        <v>76</v>
      </c>
      <c r="B24" s="71">
        <f>Nesting!$E$11</f>
        <v>4.75</v>
      </c>
      <c r="C24" s="7" t="str">
        <f>Nesting!$F$11</f>
        <v>LAC</v>
      </c>
      <c r="D24" s="65">
        <f>D14*Nesting!$G$11/1000</f>
        <v>0.4929465792</v>
      </c>
      <c r="E24" s="65">
        <f>E14*Nesting!$G$11/1000</f>
        <v>0.8934656748</v>
      </c>
      <c r="F24" s="65">
        <f>F14*Nesting!$G$11/1000</f>
        <v>1.324793932</v>
      </c>
      <c r="G24" s="65">
        <f>G14*Nesting!$G$11/1000</f>
        <v>2.218259606</v>
      </c>
      <c r="H24" s="65">
        <f>H14*Nesting!$G$11/1000</f>
        <v>3.666290183</v>
      </c>
      <c r="I24" s="65">
        <f>I14*Nesting!$G$11/1000</f>
        <v>5.114320759</v>
      </c>
      <c r="J24" s="65">
        <f>J14*Nesting!$G$11/1000</f>
        <v>6.870442948</v>
      </c>
      <c r="K24" s="65">
        <f>K14*Nesting!$G$11/1000</f>
        <v>8.688183458</v>
      </c>
      <c r="L24" s="65">
        <f>L14*Nesting!$G$11/1000</f>
        <v>9.920549906</v>
      </c>
      <c r="M24" s="65">
        <f>M14*Nesting!$G$11/1000</f>
        <v>11.49181713</v>
      </c>
      <c r="N24" s="20">
        <f t="array" ref="N24">INDEX(Supuestos!$F$84:$F$89,MATCH($B24,Supuestos!$A$84:$A$89,0))</f>
        <v>1.236</v>
      </c>
    </row>
    <row r="25" ht="14.25" customHeight="1">
      <c r="A25" s="7" t="s">
        <v>83</v>
      </c>
      <c r="B25" s="71">
        <f>Nesting!$E$12</f>
        <v>4.75</v>
      </c>
      <c r="C25" s="7" t="str">
        <f>Nesting!$F$12</f>
        <v>LAC</v>
      </c>
      <c r="D25" s="65">
        <f>D15*Nesting!$G$12/1000</f>
        <v>0.448545141</v>
      </c>
      <c r="E25" s="65">
        <f>E15*Nesting!$G$12/1000</f>
        <v>0.733982958</v>
      </c>
      <c r="F25" s="65">
        <f>F15*Nesting!$G$12/1000</f>
        <v>1.182528099</v>
      </c>
      <c r="G25" s="65">
        <f>G15*Nesting!$G$12/1000</f>
        <v>1.998064719</v>
      </c>
      <c r="H25" s="65">
        <f>H15*Nesting!$G$12/1000</f>
        <v>3.26214648</v>
      </c>
      <c r="I25" s="65">
        <f>I15*Nesting!$G$12/1000</f>
        <v>4.48545141</v>
      </c>
      <c r="J25" s="65">
        <f>J15*Nesting!$G$12/1000</f>
        <v>5.994194157</v>
      </c>
      <c r="K25" s="65">
        <f>K15*Nesting!$G$12/1000</f>
        <v>7.584490566</v>
      </c>
      <c r="L25" s="65">
        <f>L15*Nesting!$G$12/1000</f>
        <v>8.726241834</v>
      </c>
      <c r="M25" s="65">
        <f>M15*Nesting!$G$12/1000</f>
        <v>10.07187726</v>
      </c>
      <c r="N25" s="20">
        <f t="array" ref="N25">INDEX(Supuestos!$F$84:$F$89,MATCH($B25,Supuestos!$A$84:$A$89,0))</f>
        <v>1.236</v>
      </c>
    </row>
    <row r="26" ht="14.25" customHeight="1">
      <c r="A26" s="5" t="s">
        <v>425</v>
      </c>
      <c r="D26" s="73">
        <f t="shared" ref="D26:M26" si="2">SUM(D19:D25)</f>
        <v>7.656314383</v>
      </c>
      <c r="E26" s="73">
        <f t="shared" si="2"/>
        <v>13.37847678</v>
      </c>
      <c r="F26" s="73">
        <f t="shared" si="2"/>
        <v>22.41243793</v>
      </c>
      <c r="G26" s="73">
        <f t="shared" si="2"/>
        <v>40.28802714</v>
      </c>
      <c r="H26" s="73">
        <f t="shared" si="2"/>
        <v>68.0294865</v>
      </c>
      <c r="I26" s="73">
        <f t="shared" si="2"/>
        <v>95.31397502</v>
      </c>
      <c r="J26" s="73">
        <f t="shared" si="2"/>
        <v>128.3350466</v>
      </c>
      <c r="K26" s="73">
        <f t="shared" si="2"/>
        <v>162.3614751</v>
      </c>
      <c r="L26" s="73">
        <f t="shared" si="2"/>
        <v>185.2947864</v>
      </c>
      <c r="M26" s="73">
        <f t="shared" si="2"/>
        <v>213.9180357</v>
      </c>
    </row>
    <row r="27" ht="14.25" customHeight="1">
      <c r="A27" s="7" t="s">
        <v>454</v>
      </c>
      <c r="D27" s="65">
        <f t="shared" ref="D27:M27" si="3">SUMIF($C$19:$C$25,"LAF",D19:D25)</f>
        <v>5.153256507</v>
      </c>
      <c r="E27" s="65">
        <f t="shared" si="3"/>
        <v>9.08623758</v>
      </c>
      <c r="F27" s="65">
        <f t="shared" si="3"/>
        <v>15.78004016</v>
      </c>
      <c r="G27" s="65">
        <f t="shared" si="3"/>
        <v>29.16453448</v>
      </c>
      <c r="H27" s="65">
        <f t="shared" si="3"/>
        <v>49.68513609</v>
      </c>
      <c r="I27" s="65">
        <f t="shared" si="3"/>
        <v>69.80013154</v>
      </c>
      <c r="J27" s="65">
        <f t="shared" si="3"/>
        <v>94.21616919</v>
      </c>
      <c r="K27" s="65">
        <f t="shared" si="3"/>
        <v>119.2758088</v>
      </c>
      <c r="L27" s="65">
        <f t="shared" si="3"/>
        <v>135.9070554</v>
      </c>
      <c r="M27" s="65">
        <f t="shared" si="3"/>
        <v>156.8328558</v>
      </c>
    </row>
    <row r="28" ht="14.25" customHeight="1">
      <c r="A28" s="7" t="s">
        <v>466</v>
      </c>
      <c r="D28" s="65">
        <f t="shared" ref="D28:M28" si="4">SUMIF($C$19:$C$25,"LAC",D19:D25)</f>
        <v>2.503057876</v>
      </c>
      <c r="E28" s="65">
        <f t="shared" si="4"/>
        <v>4.292239195</v>
      </c>
      <c r="F28" s="65">
        <f t="shared" si="4"/>
        <v>6.632397767</v>
      </c>
      <c r="G28" s="65">
        <f t="shared" si="4"/>
        <v>11.12349266</v>
      </c>
      <c r="H28" s="65">
        <f t="shared" si="4"/>
        <v>18.34435041</v>
      </c>
      <c r="I28" s="65">
        <f t="shared" si="4"/>
        <v>25.51384347</v>
      </c>
      <c r="J28" s="65">
        <f t="shared" si="4"/>
        <v>34.11887739</v>
      </c>
      <c r="K28" s="65">
        <f t="shared" si="4"/>
        <v>43.08566631</v>
      </c>
      <c r="L28" s="65">
        <f t="shared" si="4"/>
        <v>49.387731</v>
      </c>
      <c r="M28" s="65">
        <f t="shared" si="4"/>
        <v>57.08517989</v>
      </c>
    </row>
    <row r="29" ht="14.25" customHeight="1"/>
    <row r="30" ht="14.25" customHeight="1">
      <c r="A30" s="3" t="s">
        <v>472</v>
      </c>
    </row>
    <row r="31" ht="14.25" customHeight="1">
      <c r="A31" s="7" t="s">
        <v>255</v>
      </c>
      <c r="B31" s="71">
        <f>Nesting!$D$26</f>
        <v>0.9</v>
      </c>
      <c r="C31" s="7" t="str">
        <f>Nesting!$E$26</f>
        <v>LAF</v>
      </c>
      <c r="D31" s="65">
        <f>D8*Nesting!$F$26/1000</f>
        <v>0.2711608617</v>
      </c>
      <c r="E31" s="65">
        <f>E8*Nesting!$F$26/1000</f>
        <v>0.3891245962</v>
      </c>
      <c r="F31" s="65">
        <f>F8*Nesting!$F$26/1000</f>
        <v>0.9417632798</v>
      </c>
      <c r="G31" s="65">
        <f>G8*Nesting!$F$26/1000</f>
        <v>2.281540612</v>
      </c>
      <c r="H31" s="65">
        <f>H8*Nesting!$F$26/1000</f>
        <v>4.030492482</v>
      </c>
      <c r="I31" s="65">
        <f>I8*Nesting!$F$26/1000</f>
        <v>5.664595172</v>
      </c>
      <c r="J31" s="65">
        <f>J8*Nesting!$F$26/1000</f>
        <v>7.895005188</v>
      </c>
      <c r="K31" s="65">
        <f>K8*Nesting!$F$26/1000</f>
        <v>10.13093056</v>
      </c>
      <c r="L31" s="65">
        <f>L8*Nesting!$F$26/1000</f>
        <v>11.38064537</v>
      </c>
      <c r="M31" s="65">
        <f>M8*Nesting!$F$26/1000</f>
        <v>13.14737615</v>
      </c>
    </row>
    <row r="32" ht="14.25" customHeight="1">
      <c r="A32" s="7" t="s">
        <v>277</v>
      </c>
      <c r="B32" s="71">
        <f>Nesting!$D$27</f>
        <v>0.9</v>
      </c>
      <c r="C32" s="7" t="str">
        <f>Nesting!$E$27</f>
        <v>LAF</v>
      </c>
      <c r="D32" s="65">
        <f>D8*Nesting!$F$27/1000</f>
        <v>0.2324767332</v>
      </c>
      <c r="E32" s="65">
        <f>E8*Nesting!$F$27/1000</f>
        <v>0.3336116222</v>
      </c>
      <c r="F32" s="65">
        <f>F8*Nesting!$F$27/1000</f>
        <v>0.8074102193</v>
      </c>
      <c r="G32" s="65">
        <f>G8*Nesting!$F$27/1000</f>
        <v>1.956053337</v>
      </c>
      <c r="H32" s="65">
        <f>H8*Nesting!$F$27/1000</f>
        <v>3.45549767</v>
      </c>
      <c r="I32" s="65">
        <f>I8*Nesting!$F$27/1000</f>
        <v>4.856477342</v>
      </c>
      <c r="J32" s="65">
        <f>J8*Nesting!$F$27/1000</f>
        <v>6.768694434</v>
      </c>
      <c r="K32" s="65">
        <f>K8*Nesting!$F$27/1000</f>
        <v>8.685640056</v>
      </c>
      <c r="L32" s="65">
        <f>L8*Nesting!$F$27/1000</f>
        <v>9.757069077</v>
      </c>
      <c r="M32" s="65">
        <f>M8*Nesting!$F$27/1000</f>
        <v>11.27175596</v>
      </c>
    </row>
    <row r="33" ht="14.25" customHeight="1">
      <c r="A33" s="7" t="s">
        <v>408</v>
      </c>
      <c r="B33" s="71">
        <f>Nesting!$D$28</f>
        <v>1.25</v>
      </c>
      <c r="C33" s="7" t="str">
        <f>Nesting!$E$28</f>
        <v>LAF</v>
      </c>
      <c r="D33" s="65">
        <f>D9*Nesting!$F$28/1000</f>
        <v>0.0730302361</v>
      </c>
      <c r="E33" s="65">
        <f>E9*Nesting!$F$28/1000</f>
        <v>0.1755201268</v>
      </c>
      <c r="F33" s="65">
        <f>F9*Nesting!$F$28/1000</f>
        <v>0.3186098775</v>
      </c>
      <c r="G33" s="65">
        <f>G9*Nesting!$F$28/1000</f>
        <v>0.6300405114</v>
      </c>
      <c r="H33" s="65">
        <f>H9*Nesting!$F$28/1000</f>
        <v>1.050892719</v>
      </c>
      <c r="I33" s="65">
        <f>I9*Nesting!$F$28/1000</f>
        <v>1.498976541</v>
      </c>
      <c r="J33" s="65">
        <f>J9*Nesting!$F$28/1000</f>
        <v>1.996819947</v>
      </c>
      <c r="K33" s="65">
        <f>K9*Nesting!$F$28/1000</f>
        <v>2.532044932</v>
      </c>
      <c r="L33" s="65">
        <f>L9*Nesting!$F$28/1000</f>
        <v>2.954877621</v>
      </c>
      <c r="M33" s="65">
        <f>M9*Nesting!$F$28/1000</f>
        <v>3.489112365</v>
      </c>
    </row>
    <row r="34" ht="14.25" customHeight="1">
      <c r="A34" s="7" t="s">
        <v>411</v>
      </c>
      <c r="B34" s="71">
        <f>Nesting!$D$29</f>
        <v>1.25</v>
      </c>
      <c r="C34" s="7" t="str">
        <f>Nesting!$E$29</f>
        <v>LAF</v>
      </c>
      <c r="D34" s="65">
        <f>D9*Nesting!$F$29/1000</f>
        <v>0.04992522991</v>
      </c>
      <c r="E34" s="65">
        <f>E9*Nesting!$F$29/1000</f>
        <v>0.1199897898</v>
      </c>
      <c r="F34" s="65">
        <f>F9*Nesting!$F$29/1000</f>
        <v>0.2178093929</v>
      </c>
      <c r="G34" s="65">
        <f>G9*Nesting!$F$29/1000</f>
        <v>0.4307108818</v>
      </c>
      <c r="H34" s="65">
        <f>H9*Nesting!$F$29/1000</f>
        <v>0.7184155965</v>
      </c>
      <c r="I34" s="65">
        <f>I9*Nesting!$F$29/1000</f>
        <v>1.024736499</v>
      </c>
      <c r="J34" s="65">
        <f>J9*Nesting!$F$29/1000</f>
        <v>1.365074252</v>
      </c>
      <c r="K34" s="65">
        <f>K9*Nesting!$F$29/1000</f>
        <v>1.730966954</v>
      </c>
      <c r="L34" s="65">
        <f>L9*Nesting!$F$29/1000</f>
        <v>2.020025574</v>
      </c>
      <c r="M34" s="65">
        <f>M9*Nesting!$F$29/1000</f>
        <v>2.385241323</v>
      </c>
    </row>
    <row r="35" ht="14.25" customHeight="1">
      <c r="A35" s="7" t="s">
        <v>436</v>
      </c>
      <c r="B35" s="71">
        <f>Nesting!$D$30</f>
        <v>1.6</v>
      </c>
      <c r="C35" s="7" t="str">
        <f>Nesting!$E$30</f>
        <v>LAF</v>
      </c>
      <c r="D35" s="65">
        <f>D10*Nesting!$F$30/1000</f>
        <v>1.089703232</v>
      </c>
      <c r="E35" s="65">
        <f>E10*Nesting!$F$30/1000</f>
        <v>1.858195184</v>
      </c>
      <c r="F35" s="65">
        <f>F10*Nesting!$F$30/1000</f>
        <v>3.174919922</v>
      </c>
      <c r="G35" s="65">
        <f>G10*Nesting!$F$30/1000</f>
        <v>5.784218176</v>
      </c>
      <c r="H35" s="65">
        <f>H10*Nesting!$F$30/1000</f>
        <v>9.834378461</v>
      </c>
      <c r="I35" s="65">
        <f>I10*Nesting!$F$30/1000</f>
        <v>13.73721628</v>
      </c>
      <c r="J35" s="65">
        <f>J10*Nesting!$F$30/1000</f>
        <v>18.56601203</v>
      </c>
      <c r="K35" s="65">
        <f>K10*Nesting!$F$30/1000</f>
        <v>23.49962409</v>
      </c>
      <c r="L35" s="65">
        <f>L10*Nesting!$F$30/1000</f>
        <v>26.71318597</v>
      </c>
      <c r="M35" s="65">
        <f>M10*Nesting!$F$30/1000</f>
        <v>30.75223669</v>
      </c>
    </row>
    <row r="36" ht="14.25" customHeight="1">
      <c r="A36" s="7" t="s">
        <v>438</v>
      </c>
      <c r="B36" s="71">
        <f>Nesting!$D$31</f>
        <v>1.6</v>
      </c>
      <c r="C36" s="7" t="str">
        <f>Nesting!$E$31</f>
        <v>LAF</v>
      </c>
      <c r="D36" s="65">
        <f>D10*Nesting!$F$31/1000</f>
        <v>0.6989888119</v>
      </c>
      <c r="E36" s="65">
        <f>E10*Nesting!$F$31/1000</f>
        <v>1.191937039</v>
      </c>
      <c r="F36" s="65">
        <f>F10*Nesting!$F$31/1000</f>
        <v>2.03654852</v>
      </c>
      <c r="G36" s="65">
        <f>G10*Nesting!$F$31/1000</f>
        <v>3.710279708</v>
      </c>
      <c r="H36" s="65">
        <f>H10*Nesting!$F$31/1000</f>
        <v>6.308250093</v>
      </c>
      <c r="I36" s="65">
        <f>I10*Nesting!$F$31/1000</f>
        <v>8.81172066</v>
      </c>
      <c r="J36" s="65">
        <f>J10*Nesting!$F$31/1000</f>
        <v>11.90914582</v>
      </c>
      <c r="K36" s="65">
        <f>K10*Nesting!$F$31/1000</f>
        <v>15.07380527</v>
      </c>
      <c r="L36" s="65">
        <f>L10*Nesting!$F$31/1000</f>
        <v>17.13514063</v>
      </c>
      <c r="M36" s="65">
        <f>M10*Nesting!$F$31/1000</f>
        <v>19.72598479</v>
      </c>
    </row>
    <row r="37" ht="14.25" customHeight="1">
      <c r="A37" s="7" t="s">
        <v>485</v>
      </c>
      <c r="B37" s="71">
        <f>Nesting!$D$32</f>
        <v>2</v>
      </c>
      <c r="C37" s="7" t="str">
        <f>Nesting!$E$32</f>
        <v>LAF</v>
      </c>
      <c r="D37" s="65">
        <f>D11*Nesting!$F$32/1000</f>
        <v>0.07570452671</v>
      </c>
      <c r="E37" s="65">
        <f>E11*Nesting!$F$32/1000</f>
        <v>0.1456489264</v>
      </c>
      <c r="F37" s="65">
        <f>F11*Nesting!$F$32/1000</f>
        <v>0.2822462246</v>
      </c>
      <c r="G37" s="65">
        <f>G11*Nesting!$F$32/1000</f>
        <v>0.5537950704</v>
      </c>
      <c r="H37" s="65">
        <f>H11*Nesting!$F$32/1000</f>
        <v>0.9759300943</v>
      </c>
      <c r="I37" s="65">
        <f>I11*Nesting!$F$32/1000</f>
        <v>1.413699749</v>
      </c>
      <c r="J37" s="65">
        <f>J11*Nesting!$F$32/1000</f>
        <v>1.910716424</v>
      </c>
      <c r="K37" s="65">
        <f>K11*Nesting!$F$32/1000</f>
        <v>2.419253353</v>
      </c>
      <c r="L37" s="65">
        <f>L11*Nesting!$F$32/1000</f>
        <v>2.750872095</v>
      </c>
      <c r="M37" s="65">
        <f>M11*Nesting!$F$32/1000</f>
        <v>3.169715618</v>
      </c>
    </row>
    <row r="38" ht="14.25" customHeight="1">
      <c r="A38" s="7" t="s">
        <v>486</v>
      </c>
      <c r="B38" s="71">
        <f>Nesting!$D$33</f>
        <v>2</v>
      </c>
      <c r="C38" s="7" t="str">
        <f>Nesting!$E$33</f>
        <v>LAF</v>
      </c>
      <c r="D38" s="65">
        <f>D11*Nesting!$F$33/1000</f>
        <v>0.04779584663</v>
      </c>
      <c r="E38" s="65">
        <f>E11*Nesting!$F$33/1000</f>
        <v>0.09195505275</v>
      </c>
      <c r="F38" s="65">
        <f>F11*Nesting!$F$33/1000</f>
        <v>0.1781953847</v>
      </c>
      <c r="G38" s="65">
        <f>G11*Nesting!$F$33/1000</f>
        <v>0.3496370085</v>
      </c>
      <c r="H38" s="65">
        <f>H11*Nesting!$F$33/1000</f>
        <v>0.6161508054</v>
      </c>
      <c r="I38" s="65">
        <f>I11*Nesting!$F$33/1000</f>
        <v>0.8925354838</v>
      </c>
      <c r="J38" s="65">
        <f>J11*Nesting!$F$33/1000</f>
        <v>1.206325607</v>
      </c>
      <c r="K38" s="65">
        <f>K11*Nesting!$F$33/1000</f>
        <v>1.527389012</v>
      </c>
      <c r="L38" s="65">
        <f>L11*Nesting!$F$33/1000</f>
        <v>1.736755601</v>
      </c>
      <c r="M38" s="65">
        <f>M11*Nesting!$F$33/1000</f>
        <v>2.001191317</v>
      </c>
    </row>
    <row r="39" ht="14.25" customHeight="1">
      <c r="A39" s="5" t="s">
        <v>425</v>
      </c>
      <c r="D39" s="73">
        <f t="shared" ref="D39:M39" si="5">SUM(D31:D38)</f>
        <v>2.538785478</v>
      </c>
      <c r="E39" s="73">
        <f t="shared" si="5"/>
        <v>4.305982336</v>
      </c>
      <c r="F39" s="73">
        <f t="shared" si="5"/>
        <v>7.957502821</v>
      </c>
      <c r="G39" s="73">
        <f t="shared" si="5"/>
        <v>15.69627531</v>
      </c>
      <c r="H39" s="73">
        <f t="shared" si="5"/>
        <v>26.99000792</v>
      </c>
      <c r="I39" s="73">
        <f t="shared" si="5"/>
        <v>37.89995772</v>
      </c>
      <c r="J39" s="73">
        <f t="shared" si="5"/>
        <v>51.6177937</v>
      </c>
      <c r="K39" s="73">
        <f t="shared" si="5"/>
        <v>65.59965423</v>
      </c>
      <c r="L39" s="73">
        <f t="shared" si="5"/>
        <v>74.44857194</v>
      </c>
      <c r="M39" s="73">
        <f t="shared" si="5"/>
        <v>85.94261423</v>
      </c>
    </row>
    <row r="40" ht="14.25" customHeight="1"/>
    <row r="41" ht="14.25" customHeight="1">
      <c r="A41" s="5" t="s">
        <v>487</v>
      </c>
      <c r="D41" s="61">
        <f t="shared" ref="D41:M41" si="6">D26+D39</f>
        <v>10.19509986</v>
      </c>
      <c r="E41" s="61">
        <f t="shared" si="6"/>
        <v>17.68445911</v>
      </c>
      <c r="F41" s="61">
        <f t="shared" si="6"/>
        <v>30.36994075</v>
      </c>
      <c r="G41" s="61">
        <f t="shared" si="6"/>
        <v>55.98430245</v>
      </c>
      <c r="H41" s="61">
        <f t="shared" si="6"/>
        <v>95.01949442</v>
      </c>
      <c r="I41" s="61">
        <f t="shared" si="6"/>
        <v>133.2139327</v>
      </c>
      <c r="J41" s="61">
        <f t="shared" si="6"/>
        <v>179.9528403</v>
      </c>
      <c r="K41" s="61">
        <f t="shared" si="6"/>
        <v>227.9611293</v>
      </c>
      <c r="L41" s="61">
        <f t="shared" si="6"/>
        <v>259.7433583</v>
      </c>
      <c r="M41" s="61">
        <f t="shared" si="6"/>
        <v>299.8606499</v>
      </c>
    </row>
    <row r="42" ht="14.25" customHeight="1"/>
    <row r="43" ht="14.25" customHeight="1">
      <c r="A43" s="3" t="s">
        <v>489</v>
      </c>
      <c r="N43" s="72" t="s">
        <v>430</v>
      </c>
    </row>
    <row r="44" ht="14.25" customHeight="1">
      <c r="A44" s="7" t="s">
        <v>490</v>
      </c>
      <c r="B44" s="71">
        <f>Nesting!$E$6</f>
        <v>1.25</v>
      </c>
      <c r="C44" s="7" t="str">
        <f>Nesting!$F$6</f>
        <v>LAF</v>
      </c>
      <c r="D44" s="65">
        <f>D19/Nesting!$W$6</f>
        <v>0.3196546497</v>
      </c>
      <c r="E44" s="65">
        <f>E19/Nesting!$W$6</f>
        <v>0.7682547344</v>
      </c>
      <c r="F44" s="65">
        <f>F19/Nesting!$W$6</f>
        <v>1.394561133</v>
      </c>
      <c r="G44" s="65">
        <f>G19/Nesting!$W$6</f>
        <v>2.757698588</v>
      </c>
      <c r="H44" s="65">
        <f>H19/Nesting!$W$6</f>
        <v>4.599776231</v>
      </c>
      <c r="I44" s="65">
        <f>I19/Nesting!$W$6</f>
        <v>6.561047132</v>
      </c>
      <c r="J44" s="65">
        <f>J19/Nesting!$W$6</f>
        <v>8.740116626</v>
      </c>
      <c r="K44" s="65">
        <f>K19/Nesting!$W$6</f>
        <v>11.08280596</v>
      </c>
      <c r="L44" s="65">
        <f>L19/Nesting!$W$6</f>
        <v>12.9335522</v>
      </c>
      <c r="M44" s="65">
        <f>M19/Nesting!$W$6</f>
        <v>15.27190723</v>
      </c>
      <c r="N44" s="20">
        <f t="array" ref="N44">INDEX(Supuestos!$B$84:$B$89,MATCH($B44,Supuestos!$A$84:$A$89,0))</f>
        <v>1.25056</v>
      </c>
    </row>
    <row r="45" ht="14.25" customHeight="1">
      <c r="A45" s="7" t="s">
        <v>492</v>
      </c>
      <c r="B45" s="71">
        <f>Nesting!$E$7</f>
        <v>1.6</v>
      </c>
      <c r="C45" s="7" t="str">
        <f>Nesting!$F$7</f>
        <v>LAF</v>
      </c>
      <c r="D45" s="65">
        <f>D20/Nesting!$W$7</f>
        <v>4.51570634</v>
      </c>
      <c r="E45" s="65">
        <f>E20/Nesting!$W$7</f>
        <v>7.700320163</v>
      </c>
      <c r="F45" s="65">
        <f>F20/Nesting!$W$7</f>
        <v>13.15679866</v>
      </c>
      <c r="G45" s="65">
        <f>G20/Nesting!$W$7</f>
        <v>23.9696735</v>
      </c>
      <c r="H45" s="65">
        <f>H20/Nesting!$W$7</f>
        <v>40.75344906</v>
      </c>
      <c r="I45" s="65">
        <f>I20/Nesting!$W$7</f>
        <v>56.92672354</v>
      </c>
      <c r="J45" s="65">
        <f>J20/Nesting!$W$7</f>
        <v>76.93714742</v>
      </c>
      <c r="K45" s="65">
        <f>K20/Nesting!$W$7</f>
        <v>97.38192781</v>
      </c>
      <c r="L45" s="65">
        <f>L20/Nesting!$W$7</f>
        <v>110.6988579</v>
      </c>
      <c r="M45" s="65">
        <f>M20/Nesting!$W$7</f>
        <v>127.4365957</v>
      </c>
      <c r="N45" s="20">
        <f t="array" ref="N45">INDEX(Supuestos!$B$84:$B$89,MATCH($B45,Supuestos!$A$84:$A$89,0))</f>
        <v>1.25056</v>
      </c>
    </row>
    <row r="46" ht="14.25" customHeight="1">
      <c r="A46" s="7" t="s">
        <v>497</v>
      </c>
      <c r="B46" s="71">
        <f>Nesting!$E$8</f>
        <v>2</v>
      </c>
      <c r="C46" s="7" t="str">
        <f>Nesting!$F$8</f>
        <v>LAF</v>
      </c>
      <c r="D46" s="65">
        <f>D21/Nesting!$W$8</f>
        <v>0.4096829347</v>
      </c>
      <c r="E46" s="65">
        <f>E21/Nesting!$W$8</f>
        <v>0.7881943417</v>
      </c>
      <c r="F46" s="65">
        <f>F21/Nesting!$W$8</f>
        <v>1.527404854</v>
      </c>
      <c r="G46" s="65">
        <f>G21/Nesting!$W$8</f>
        <v>2.996919729</v>
      </c>
      <c r="H46" s="65">
        <f>H21/Nesting!$W$8</f>
        <v>5.281347397</v>
      </c>
      <c r="I46" s="65">
        <f>I21/Nesting!$W$8</f>
        <v>7.650383497</v>
      </c>
      <c r="J46" s="65">
        <f>J21/Nesting!$W$8</f>
        <v>10.34004103</v>
      </c>
      <c r="K46" s="65">
        <f>K21/Nesting!$W$8</f>
        <v>13.09204161</v>
      </c>
      <c r="L46" s="65">
        <f>L21/Nesting!$W$8</f>
        <v>14.88663098</v>
      </c>
      <c r="M46" s="65">
        <f>M21/Nesting!$W$8</f>
        <v>17.15324635</v>
      </c>
      <c r="N46" s="20">
        <f t="array" ref="N46">INDEX(Supuestos!$B$84:$B$89,MATCH($B46,Supuestos!$A$84:$A$89,0))</f>
        <v>1.26285</v>
      </c>
    </row>
    <row r="47" ht="14.25" customHeight="1">
      <c r="A47" s="7" t="s">
        <v>502</v>
      </c>
      <c r="B47" s="71">
        <f>Nesting!$E$9</f>
        <v>3.2</v>
      </c>
      <c r="C47" s="7" t="str">
        <f>Nesting!$F$9</f>
        <v>LAC</v>
      </c>
      <c r="D47" s="65">
        <f>D22/Nesting!$W$9</f>
        <v>0.3691797226</v>
      </c>
      <c r="E47" s="65">
        <f>E22/Nesting!$W$9</f>
        <v>0.6297771739</v>
      </c>
      <c r="F47" s="65">
        <f>F22/Nesting!$W$9</f>
        <v>0.9772404422</v>
      </c>
      <c r="G47" s="65">
        <f>G22/Nesting!$W$9</f>
        <v>1.62873407</v>
      </c>
      <c r="H47" s="65">
        <f>H22/Nesting!$W$9</f>
        <v>2.703698557</v>
      </c>
      <c r="I47" s="65">
        <f>I22/Nesting!$W$9</f>
        <v>3.767804816</v>
      </c>
      <c r="J47" s="65">
        <f>J22/Nesting!$W$9</f>
        <v>5.038217391</v>
      </c>
      <c r="K47" s="65">
        <f>K22/Nesting!$W$9</f>
        <v>6.352062874</v>
      </c>
      <c r="L47" s="65">
        <f>L22/Nesting!$W$9</f>
        <v>7.275012181</v>
      </c>
      <c r="M47" s="65">
        <f>M22/Nesting!$W$9</f>
        <v>8.41512603</v>
      </c>
      <c r="N47" s="20">
        <f t="array" ref="N47">INDEX(Supuestos!$B$84:$B$89,MATCH($B47,Supuestos!$A$84:$A$89,0))</f>
        <v>1.11373</v>
      </c>
    </row>
    <row r="48" ht="14.25" customHeight="1">
      <c r="A48" s="7" t="s">
        <v>512</v>
      </c>
      <c r="B48" s="71">
        <f>Nesting!$E$10</f>
        <v>3.2</v>
      </c>
      <c r="C48" s="7" t="str">
        <f>Nesting!$F$10</f>
        <v>LAC</v>
      </c>
      <c r="D48" s="65">
        <f>D23/Nesting!$W$10</f>
        <v>1.415176281</v>
      </c>
      <c r="E48" s="65">
        <f>E23/Nesting!$W$10</f>
        <v>2.415234187</v>
      </c>
      <c r="F48" s="65">
        <f>F23/Nesting!$W$10</f>
        <v>3.736065383</v>
      </c>
      <c r="G48" s="65">
        <f>G23/Nesting!$W$10</f>
        <v>6.264513672</v>
      </c>
      <c r="H48" s="65">
        <f>H23/Nesting!$W$10</f>
        <v>10.34022136</v>
      </c>
      <c r="I48" s="65">
        <f>I23/Nesting!$W$10</f>
        <v>14.41592905</v>
      </c>
      <c r="J48" s="65">
        <f>J23/Nesting!$W$10</f>
        <v>19.24639743</v>
      </c>
      <c r="K48" s="65">
        <f>K23/Nesting!$W$10</f>
        <v>24.28442499</v>
      </c>
      <c r="L48" s="65">
        <f>L23/Nesting!$W$10</f>
        <v>27.85066922</v>
      </c>
      <c r="M48" s="65">
        <f>M23/Nesting!$W$10</f>
        <v>32.17167413</v>
      </c>
      <c r="N48" s="20">
        <f t="array" ref="N48">INDEX(Supuestos!$B$84:$B$89,MATCH($B48,Supuestos!$A$84:$A$89,0))</f>
        <v>1.11373</v>
      </c>
    </row>
    <row r="49" ht="14.25" customHeight="1">
      <c r="A49" s="7" t="s">
        <v>513</v>
      </c>
      <c r="B49" s="71">
        <f>Nesting!$E$11</f>
        <v>4.75</v>
      </c>
      <c r="C49" s="7" t="str">
        <f>Nesting!$F$11</f>
        <v>LAC</v>
      </c>
      <c r="D49" s="65">
        <f>D24/Nesting!$W$11</f>
        <v>0.5089129568</v>
      </c>
      <c r="E49" s="65">
        <f>E24/Nesting!$W$11</f>
        <v>0.9224047342</v>
      </c>
      <c r="F49" s="65">
        <f>F24/Nesting!$W$11</f>
        <v>1.367703571</v>
      </c>
      <c r="G49" s="65">
        <f>G24/Nesting!$W$11</f>
        <v>2.290108306</v>
      </c>
      <c r="H49" s="65">
        <f>H24/Nesting!$W$11</f>
        <v>3.785040116</v>
      </c>
      <c r="I49" s="65">
        <f>I24/Nesting!$W$11</f>
        <v>5.279971927</v>
      </c>
      <c r="J49" s="65">
        <f>J24/Nesting!$W$11</f>
        <v>7.092974335</v>
      </c>
      <c r="K49" s="65">
        <f>K24/Nesting!$W$11</f>
        <v>8.969590863</v>
      </c>
      <c r="L49" s="65">
        <f>L24/Nesting!$W$11</f>
        <v>10.24187326</v>
      </c>
      <c r="M49" s="65">
        <f>M24/Nesting!$W$11</f>
        <v>11.86403331</v>
      </c>
      <c r="N49" s="20">
        <f t="array" ref="N49">INDEX(Supuestos!$B$84:$B$89,MATCH($B49,Supuestos!$A$84:$A$89,0))</f>
        <v>1.11373</v>
      </c>
    </row>
    <row r="50" ht="14.25" customHeight="1">
      <c r="A50" s="7" t="s">
        <v>514</v>
      </c>
      <c r="B50" s="71">
        <f>Nesting!$E$12</f>
        <v>4.75</v>
      </c>
      <c r="C50" s="7" t="str">
        <f>Nesting!$F$12</f>
        <v>LAC</v>
      </c>
      <c r="D50" s="65">
        <f>D25/Nesting!$W$12</f>
        <v>0.4630733706</v>
      </c>
      <c r="E50" s="65">
        <f>E25/Nesting!$W$12</f>
        <v>0.7577564246</v>
      </c>
      <c r="F50" s="65">
        <f>F25/Nesting!$W$12</f>
        <v>1.220829795</v>
      </c>
      <c r="G50" s="65">
        <f>G25/Nesting!$W$12</f>
        <v>2.062781378</v>
      </c>
      <c r="H50" s="65">
        <f>H25/Nesting!$W$12</f>
        <v>3.367806332</v>
      </c>
      <c r="I50" s="65">
        <f>I25/Nesting!$W$12</f>
        <v>4.630733706</v>
      </c>
      <c r="J50" s="65">
        <f>J25/Nesting!$W$12</f>
        <v>6.188344134</v>
      </c>
      <c r="K50" s="65">
        <f>K25/Nesting!$W$12</f>
        <v>7.830149721</v>
      </c>
      <c r="L50" s="65">
        <f>L25/Nesting!$W$12</f>
        <v>9.008881937</v>
      </c>
      <c r="M50" s="65">
        <f>M25/Nesting!$W$12</f>
        <v>10.39810205</v>
      </c>
      <c r="N50" s="20">
        <f t="array" ref="N50">INDEX(Supuestos!$B$84:$B$89,MATCH($B50,Supuestos!$A$84:$A$89,0))</f>
        <v>1.11373</v>
      </c>
    </row>
    <row r="51" ht="14.25" customHeight="1">
      <c r="A51" s="5" t="s">
        <v>425</v>
      </c>
      <c r="D51" s="73">
        <f t="shared" ref="D51:M51" si="7">SUM(D44:D50)</f>
        <v>8.001386255</v>
      </c>
      <c r="E51" s="73">
        <f t="shared" si="7"/>
        <v>13.98194176</v>
      </c>
      <c r="F51" s="73">
        <f t="shared" si="7"/>
        <v>23.38060384</v>
      </c>
      <c r="G51" s="73">
        <f t="shared" si="7"/>
        <v>41.97042924</v>
      </c>
      <c r="H51" s="73">
        <f t="shared" si="7"/>
        <v>70.83133905</v>
      </c>
      <c r="I51" s="73">
        <f t="shared" si="7"/>
        <v>99.23259367</v>
      </c>
      <c r="J51" s="73">
        <f t="shared" si="7"/>
        <v>133.5832384</v>
      </c>
      <c r="K51" s="73">
        <f t="shared" si="7"/>
        <v>168.9930038</v>
      </c>
      <c r="L51" s="73">
        <f t="shared" si="7"/>
        <v>192.8954777</v>
      </c>
      <c r="M51" s="73">
        <f t="shared" si="7"/>
        <v>222.7106848</v>
      </c>
    </row>
    <row r="52" ht="14.25" customHeight="1">
      <c r="A52" s="7" t="s">
        <v>454</v>
      </c>
      <c r="D52" s="65">
        <f t="shared" ref="D52:M52" si="8">SUMIF($C$44:$C$50,"LAF",D44:D50)</f>
        <v>5.245043924</v>
      </c>
      <c r="E52" s="65">
        <f t="shared" si="8"/>
        <v>9.25676924</v>
      </c>
      <c r="F52" s="65">
        <f t="shared" si="8"/>
        <v>16.07876464</v>
      </c>
      <c r="G52" s="65">
        <f t="shared" si="8"/>
        <v>29.72429182</v>
      </c>
      <c r="H52" s="65">
        <f t="shared" si="8"/>
        <v>50.63457269</v>
      </c>
      <c r="I52" s="65">
        <f t="shared" si="8"/>
        <v>71.13815417</v>
      </c>
      <c r="J52" s="65">
        <f t="shared" si="8"/>
        <v>96.01730507</v>
      </c>
      <c r="K52" s="65">
        <f t="shared" si="8"/>
        <v>121.5567754</v>
      </c>
      <c r="L52" s="65">
        <f t="shared" si="8"/>
        <v>138.5190411</v>
      </c>
      <c r="M52" s="65">
        <f t="shared" si="8"/>
        <v>159.8617492</v>
      </c>
    </row>
    <row r="53" ht="14.25" customHeight="1">
      <c r="A53" s="7" t="s">
        <v>466</v>
      </c>
      <c r="D53" s="65">
        <f t="shared" ref="D53:M53" si="9">SUMIF($C$44:$C$50,"LAC",D44:D50)</f>
        <v>2.756342331</v>
      </c>
      <c r="E53" s="65">
        <f t="shared" si="9"/>
        <v>4.72517252</v>
      </c>
      <c r="F53" s="65">
        <f t="shared" si="9"/>
        <v>7.301839192</v>
      </c>
      <c r="G53" s="65">
        <f t="shared" si="9"/>
        <v>12.24613743</v>
      </c>
      <c r="H53" s="65">
        <f t="shared" si="9"/>
        <v>20.19676637</v>
      </c>
      <c r="I53" s="65">
        <f t="shared" si="9"/>
        <v>28.0944395</v>
      </c>
      <c r="J53" s="65">
        <f t="shared" si="9"/>
        <v>37.56593329</v>
      </c>
      <c r="K53" s="65">
        <f t="shared" si="9"/>
        <v>47.43622845</v>
      </c>
      <c r="L53" s="65">
        <f t="shared" si="9"/>
        <v>54.37643659</v>
      </c>
      <c r="M53" s="65">
        <f t="shared" si="9"/>
        <v>62.84893551</v>
      </c>
    </row>
    <row r="54" ht="14.25" customHeight="1"/>
    <row r="55" ht="14.25" customHeight="1">
      <c r="A55" s="3" t="s">
        <v>523</v>
      </c>
    </row>
    <row r="56" ht="14.25" customHeight="1">
      <c r="A56" s="7" t="s">
        <v>52</v>
      </c>
      <c r="B56" s="71">
        <f>Nesting!$E$6</f>
        <v>1.25</v>
      </c>
      <c r="C56" s="7" t="str">
        <f>Nesting!$F$6</f>
        <v>LAF</v>
      </c>
      <c r="D56" s="16">
        <f>D9/Nesting!$U$6</f>
        <v>98.33333333</v>
      </c>
      <c r="E56" s="16">
        <f>E9/Nesting!$U$6</f>
        <v>236.3333333</v>
      </c>
      <c r="F56" s="16">
        <f>F9/Nesting!$U$6</f>
        <v>429</v>
      </c>
      <c r="G56" s="16">
        <f>G9/Nesting!$U$6</f>
        <v>848.3333333</v>
      </c>
      <c r="H56" s="16">
        <f>H9/Nesting!$U$6</f>
        <v>1415</v>
      </c>
      <c r="I56" s="16">
        <f>I9/Nesting!$U$6</f>
        <v>2018.333333</v>
      </c>
      <c r="J56" s="16">
        <f>J9/Nesting!$U$6</f>
        <v>2688.666667</v>
      </c>
      <c r="K56" s="16">
        <f>K9/Nesting!$U$6</f>
        <v>3409.333333</v>
      </c>
      <c r="L56" s="16">
        <f>L9/Nesting!$U$6</f>
        <v>3978.666667</v>
      </c>
      <c r="M56" s="16">
        <f>M9/Nesting!$U$6</f>
        <v>4698</v>
      </c>
    </row>
    <row r="57" ht="14.25" customHeight="1">
      <c r="A57" s="7" t="s">
        <v>60</v>
      </c>
      <c r="B57" s="71">
        <f>Nesting!$E$7</f>
        <v>1.6</v>
      </c>
      <c r="C57" s="7" t="str">
        <f>Nesting!$F$7</f>
        <v>LAF</v>
      </c>
      <c r="D57" s="16">
        <f>D10/Nesting!$U$7</f>
        <v>752</v>
      </c>
      <c r="E57" s="16">
        <f>E10/Nesting!$U$7</f>
        <v>1282.333333</v>
      </c>
      <c r="F57" s="16">
        <f>F10/Nesting!$U$7</f>
        <v>2191</v>
      </c>
      <c r="G57" s="16">
        <f>G10/Nesting!$U$7</f>
        <v>3991.666667</v>
      </c>
      <c r="H57" s="16">
        <f>H10/Nesting!$U$7</f>
        <v>6786.666667</v>
      </c>
      <c r="I57" s="16">
        <f>I10/Nesting!$U$7</f>
        <v>9480</v>
      </c>
      <c r="J57" s="16">
        <f>J10/Nesting!$U$7</f>
        <v>12812.33333</v>
      </c>
      <c r="K57" s="16">
        <f>K10/Nesting!$U$7</f>
        <v>16217</v>
      </c>
      <c r="L57" s="16">
        <f>L10/Nesting!$U$7</f>
        <v>18434.66667</v>
      </c>
      <c r="M57" s="16">
        <f>M10/Nesting!$U$7</f>
        <v>21222</v>
      </c>
    </row>
    <row r="58" ht="14.25" customHeight="1">
      <c r="A58" s="7" t="s">
        <v>68</v>
      </c>
      <c r="B58" s="71">
        <f>Nesting!$E$8</f>
        <v>2</v>
      </c>
      <c r="C58" s="7" t="str">
        <f>Nesting!$F$8</f>
        <v>LAF</v>
      </c>
      <c r="D58" s="16">
        <f>D11/Nesting!$U$8</f>
        <v>46</v>
      </c>
      <c r="E58" s="16">
        <f>E11/Nesting!$U$8</f>
        <v>88.5</v>
      </c>
      <c r="F58" s="16">
        <f>F11/Nesting!$U$8</f>
        <v>171.5</v>
      </c>
      <c r="G58" s="16">
        <f>G11/Nesting!$U$8</f>
        <v>336.5</v>
      </c>
      <c r="H58" s="16">
        <f>H11/Nesting!$U$8</f>
        <v>593</v>
      </c>
      <c r="I58" s="16">
        <f>I11/Nesting!$U$8</f>
        <v>859</v>
      </c>
      <c r="J58" s="16">
        <f>J11/Nesting!$U$8</f>
        <v>1161</v>
      </c>
      <c r="K58" s="16">
        <f>K11/Nesting!$U$8</f>
        <v>1470</v>
      </c>
      <c r="L58" s="16">
        <f>L11/Nesting!$U$8</f>
        <v>1671.5</v>
      </c>
      <c r="M58" s="16">
        <f>M11/Nesting!$U$8</f>
        <v>1926</v>
      </c>
    </row>
    <row r="59" ht="14.25" customHeight="1">
      <c r="A59" s="7" t="s">
        <v>69</v>
      </c>
      <c r="B59" s="71">
        <f>Nesting!$E$9</f>
        <v>3.2</v>
      </c>
      <c r="C59" s="7" t="str">
        <f>Nesting!$F$9</f>
        <v>LAC</v>
      </c>
      <c r="D59" s="16">
        <f>D12/Nesting!$U$9</f>
        <v>11.33333333</v>
      </c>
      <c r="E59" s="16">
        <f>E12/Nesting!$U$9</f>
        <v>19.33333333</v>
      </c>
      <c r="F59" s="16">
        <f>F12/Nesting!$U$9</f>
        <v>30</v>
      </c>
      <c r="G59" s="16">
        <f>G12/Nesting!$U$9</f>
        <v>50</v>
      </c>
      <c r="H59" s="16">
        <f>H12/Nesting!$U$9</f>
        <v>83</v>
      </c>
      <c r="I59" s="16">
        <f>I12/Nesting!$U$9</f>
        <v>115.6666667</v>
      </c>
      <c r="J59" s="16">
        <f>J12/Nesting!$U$9</f>
        <v>154.6666667</v>
      </c>
      <c r="K59" s="16">
        <f>K12/Nesting!$U$9</f>
        <v>195</v>
      </c>
      <c r="L59" s="16">
        <f>L12/Nesting!$U$9</f>
        <v>223.3333333</v>
      </c>
      <c r="M59" s="16">
        <f>M12/Nesting!$U$9</f>
        <v>258.3333333</v>
      </c>
    </row>
    <row r="60" ht="14.25" customHeight="1">
      <c r="A60" s="7" t="s">
        <v>71</v>
      </c>
      <c r="B60" s="71">
        <f>Nesting!$E$10</f>
        <v>3.2</v>
      </c>
      <c r="C60" s="7" t="str">
        <f>Nesting!$F$10</f>
        <v>LAC</v>
      </c>
      <c r="D60" s="16">
        <f>D13/Nesting!$U$10</f>
        <v>37.5</v>
      </c>
      <c r="E60" s="16">
        <f>E13/Nesting!$U$10</f>
        <v>64</v>
      </c>
      <c r="F60" s="16">
        <f>F13/Nesting!$U$10</f>
        <v>99</v>
      </c>
      <c r="G60" s="16">
        <f>G13/Nesting!$U$10</f>
        <v>166</v>
      </c>
      <c r="H60" s="16">
        <f>H13/Nesting!$U$10</f>
        <v>274</v>
      </c>
      <c r="I60" s="16">
        <f>I13/Nesting!$U$10</f>
        <v>382</v>
      </c>
      <c r="J60" s="16">
        <f>J13/Nesting!$U$10</f>
        <v>510</v>
      </c>
      <c r="K60" s="16">
        <f>K13/Nesting!$U$10</f>
        <v>643.5</v>
      </c>
      <c r="L60" s="16">
        <f>L13/Nesting!$U$10</f>
        <v>738</v>
      </c>
      <c r="M60" s="16">
        <f>M13/Nesting!$U$10</f>
        <v>852.5</v>
      </c>
    </row>
    <row r="61" ht="14.25" customHeight="1">
      <c r="A61" s="7" t="s">
        <v>76</v>
      </c>
      <c r="B61" s="71">
        <f>Nesting!$E$11</f>
        <v>4.75</v>
      </c>
      <c r="C61" s="7" t="str">
        <f>Nesting!$F$11</f>
        <v>LAC</v>
      </c>
      <c r="D61" s="16">
        <f>D14/Nesting!$U$11</f>
        <v>16</v>
      </c>
      <c r="E61" s="16">
        <f>E14/Nesting!$U$11</f>
        <v>29</v>
      </c>
      <c r="F61" s="16">
        <f>F14/Nesting!$U$11</f>
        <v>43</v>
      </c>
      <c r="G61" s="16">
        <f>G14/Nesting!$U$11</f>
        <v>72</v>
      </c>
      <c r="H61" s="16">
        <f>H14/Nesting!$U$11</f>
        <v>119</v>
      </c>
      <c r="I61" s="16">
        <f>I14/Nesting!$U$11</f>
        <v>166</v>
      </c>
      <c r="J61" s="16">
        <f>J14/Nesting!$U$11</f>
        <v>223</v>
      </c>
      <c r="K61" s="16">
        <f>K14/Nesting!$U$11</f>
        <v>282</v>
      </c>
      <c r="L61" s="16">
        <f>L14/Nesting!$U$11</f>
        <v>322</v>
      </c>
      <c r="M61" s="16">
        <f>M14/Nesting!$U$11</f>
        <v>373</v>
      </c>
    </row>
    <row r="62" ht="14.25" customHeight="1">
      <c r="A62" s="7" t="s">
        <v>83</v>
      </c>
      <c r="B62" s="71">
        <f>Nesting!$E$12</f>
        <v>4.75</v>
      </c>
      <c r="C62" s="7" t="str">
        <f>Nesting!$F$12</f>
        <v>LAC</v>
      </c>
      <c r="D62" s="16">
        <f>D15/Nesting!$U$12</f>
        <v>11</v>
      </c>
      <c r="E62" s="16">
        <f>E15/Nesting!$U$12</f>
        <v>18</v>
      </c>
      <c r="F62" s="16">
        <f>F15/Nesting!$U$12</f>
        <v>29</v>
      </c>
      <c r="G62" s="16">
        <f>G15/Nesting!$U$12</f>
        <v>49</v>
      </c>
      <c r="H62" s="16">
        <f>H15/Nesting!$U$12</f>
        <v>80</v>
      </c>
      <c r="I62" s="16">
        <f>I15/Nesting!$U$12</f>
        <v>110</v>
      </c>
      <c r="J62" s="16">
        <f>J15/Nesting!$U$12</f>
        <v>147</v>
      </c>
      <c r="K62" s="16">
        <f>K15/Nesting!$U$12</f>
        <v>186</v>
      </c>
      <c r="L62" s="16">
        <f>L15/Nesting!$U$12</f>
        <v>214</v>
      </c>
      <c r="M62" s="16">
        <f>M15/Nesting!$U$12</f>
        <v>247</v>
      </c>
    </row>
    <row r="63" ht="14.25" customHeight="1">
      <c r="A63" s="5" t="s">
        <v>425</v>
      </c>
      <c r="D63" s="26">
        <f t="shared" ref="D63:M63" si="10">SUM(D56:D62)</f>
        <v>972.1666667</v>
      </c>
      <c r="E63" s="26">
        <f t="shared" si="10"/>
        <v>1737.5</v>
      </c>
      <c r="F63" s="26">
        <f t="shared" si="10"/>
        <v>2992.5</v>
      </c>
      <c r="G63" s="26">
        <f t="shared" si="10"/>
        <v>5513.5</v>
      </c>
      <c r="H63" s="26">
        <f t="shared" si="10"/>
        <v>9350.666667</v>
      </c>
      <c r="I63" s="26">
        <f t="shared" si="10"/>
        <v>13131</v>
      </c>
      <c r="J63" s="26">
        <f t="shared" si="10"/>
        <v>17696.66667</v>
      </c>
      <c r="K63" s="26">
        <f t="shared" si="10"/>
        <v>22402.83333</v>
      </c>
      <c r="L63" s="26">
        <f t="shared" si="10"/>
        <v>25582.16667</v>
      </c>
      <c r="M63" s="26">
        <f t="shared" si="10"/>
        <v>29576.83333</v>
      </c>
    </row>
    <row r="64" ht="14.25" customHeight="1"/>
    <row r="65" ht="14.25" customHeight="1">
      <c r="A65" s="3" t="s">
        <v>540</v>
      </c>
      <c r="N65" s="72" t="s">
        <v>430</v>
      </c>
    </row>
    <row r="66" ht="14.25" customHeight="1">
      <c r="A66" s="7" t="s">
        <v>542</v>
      </c>
      <c r="B66" s="71">
        <f>Nesting!$D$26</f>
        <v>0.9</v>
      </c>
      <c r="C66" s="7" t="str">
        <f>Nesting!$E$26</f>
        <v>LAF</v>
      </c>
      <c r="D66" s="65">
        <f>D31/Nesting!$X$26</f>
        <v>0.3764387844</v>
      </c>
      <c r="E66" s="65">
        <f>E31/Nesting!$X$26</f>
        <v>0.5402018162</v>
      </c>
      <c r="F66" s="65">
        <f>F31/Nesting!$X$26</f>
        <v>1.307401894</v>
      </c>
      <c r="G66" s="65">
        <f>G31/Nesting!$X$26</f>
        <v>3.167346384</v>
      </c>
      <c r="H66" s="65">
        <f>H31/Nesting!$X$26</f>
        <v>5.595327</v>
      </c>
      <c r="I66" s="65">
        <f>I31/Nesting!$X$26</f>
        <v>7.86386836</v>
      </c>
      <c r="J66" s="65">
        <f>J31/Nesting!$X$26</f>
        <v>10.96023275</v>
      </c>
      <c r="K66" s="65">
        <f>K31/Nesting!$X$26</f>
        <v>14.06425382</v>
      </c>
      <c r="L66" s="65">
        <f>L31/Nesting!$X$26</f>
        <v>15.79916911</v>
      </c>
      <c r="M66" s="65">
        <f>M31/Nesting!$X$26</f>
        <v>18.25183128</v>
      </c>
      <c r="N66" s="20">
        <f t="array" ref="N66">INDEX(Supuestos!$D$84:$D$89,MATCH($B66,Supuestos!$A$84:$A$89,0))</f>
        <v>1.26285</v>
      </c>
    </row>
    <row r="67" ht="14.25" customHeight="1">
      <c r="A67" s="7" t="s">
        <v>547</v>
      </c>
      <c r="B67" s="71">
        <f>Nesting!$D$27</f>
        <v>0.9</v>
      </c>
      <c r="C67" s="7" t="str">
        <f>Nesting!$E$27</f>
        <v>LAF</v>
      </c>
      <c r="D67" s="65">
        <f>D32/Nesting!$X$27</f>
        <v>0.3247952148</v>
      </c>
      <c r="E67" s="65">
        <f>E32/Nesting!$X$27</f>
        <v>0.4660916255</v>
      </c>
      <c r="F67" s="65">
        <f>F32/Nesting!$X$27</f>
        <v>1.128039662</v>
      </c>
      <c r="G67" s="65">
        <f>G32/Nesting!$X$27</f>
        <v>2.732818699</v>
      </c>
      <c r="H67" s="65">
        <f>H32/Nesting!$X$27</f>
        <v>4.827705088</v>
      </c>
      <c r="I67" s="65">
        <f>I32/Nesting!$X$27</f>
        <v>6.785025665</v>
      </c>
      <c r="J67" s="65">
        <f>J32/Nesting!$X$27</f>
        <v>9.456600375</v>
      </c>
      <c r="K67" s="65">
        <f>K32/Nesting!$X$27</f>
        <v>12.13478135</v>
      </c>
      <c r="L67" s="65">
        <f>L32/Nesting!$X$27</f>
        <v>13.63168392</v>
      </c>
      <c r="M67" s="65">
        <f>M32/Nesting!$X$27</f>
        <v>15.74786581</v>
      </c>
      <c r="N67" s="20">
        <f t="array" ref="N67">INDEX(Supuestos!$D$84:$D$89,MATCH($B67,Supuestos!$A$84:$A$89,0))</f>
        <v>1.26285</v>
      </c>
    </row>
    <row r="68" ht="14.25" customHeight="1">
      <c r="A68" s="7" t="s">
        <v>550</v>
      </c>
      <c r="B68" s="71">
        <f>Nesting!$D$28</f>
        <v>1.25</v>
      </c>
      <c r="C68" s="7" t="str">
        <f>Nesting!$E$28</f>
        <v>LAF</v>
      </c>
      <c r="D68" s="65">
        <f>D33/Nesting!$X$28</f>
        <v>0.1061659045</v>
      </c>
      <c r="E68" s="65">
        <f>E33/Nesting!$X$28</f>
        <v>0.2551580553</v>
      </c>
      <c r="F68" s="65">
        <f>F33/Nesting!$X$28</f>
        <v>0.4631712513</v>
      </c>
      <c r="G68" s="65">
        <f>G33/Nesting!$X$28</f>
        <v>0.9159058543</v>
      </c>
      <c r="H68" s="65">
        <f>H33/Nesting!$X$28</f>
        <v>1.527709372</v>
      </c>
      <c r="I68" s="65">
        <f>I33/Nesting!$X$28</f>
        <v>2.179100176</v>
      </c>
      <c r="J68" s="65">
        <f>J33/Nesting!$X$28</f>
        <v>2.902827749</v>
      </c>
      <c r="K68" s="65">
        <f>K33/Nesting!$X$28</f>
        <v>3.680897869</v>
      </c>
      <c r="L68" s="65">
        <f>L33/Nesting!$X$28</f>
        <v>4.295580462</v>
      </c>
      <c r="M68" s="65">
        <f>M33/Nesting!$X$28</f>
        <v>5.072211045</v>
      </c>
      <c r="N68" s="20">
        <f t="array" ref="N68">INDEX(Supuestos!$D$84:$D$89,MATCH($B68,Supuestos!$A$84:$A$89,0))</f>
        <v>1.186</v>
      </c>
    </row>
    <row r="69" ht="14.25" customHeight="1">
      <c r="A69" s="7" t="s">
        <v>558</v>
      </c>
      <c r="B69" s="71">
        <f>Nesting!$D$29</f>
        <v>1.25</v>
      </c>
      <c r="C69" s="7" t="str">
        <f>Nesting!$E$29</f>
        <v>LAF</v>
      </c>
      <c r="D69" s="65">
        <f>D34/Nesting!$X$29</f>
        <v>0.08808270101</v>
      </c>
      <c r="E69" s="65">
        <f>E34/Nesting!$X$29</f>
        <v>0.2116970678</v>
      </c>
      <c r="F69" s="65">
        <f>F34/Nesting!$X$29</f>
        <v>0.3842794447</v>
      </c>
      <c r="G69" s="65">
        <f>G34/Nesting!$X$29</f>
        <v>0.7598999121</v>
      </c>
      <c r="H69" s="65">
        <f>H34/Nesting!$X$29</f>
        <v>1.267495138</v>
      </c>
      <c r="I69" s="65">
        <f>I34/Nesting!$X$29</f>
        <v>1.807934761</v>
      </c>
      <c r="J69" s="65">
        <f>J34/Nesting!$X$29</f>
        <v>2.408390055</v>
      </c>
      <c r="K69" s="65">
        <f>K34/Nesting!$X$29</f>
        <v>3.053931749</v>
      </c>
      <c r="L69" s="65">
        <f>L34/Nesting!$X$29</f>
        <v>3.563915658</v>
      </c>
      <c r="M69" s="65">
        <f>M34/Nesting!$X$29</f>
        <v>4.20826301</v>
      </c>
      <c r="N69" s="20">
        <f t="array" ref="N69">INDEX(Supuestos!$D$84:$D$89,MATCH($B69,Supuestos!$A$84:$A$89,0))</f>
        <v>1.186</v>
      </c>
    </row>
    <row r="70" ht="14.25" customHeight="1">
      <c r="A70" s="7" t="s">
        <v>562</v>
      </c>
      <c r="B70" s="71">
        <f>Nesting!$D$30</f>
        <v>1.6</v>
      </c>
      <c r="C70" s="7" t="str">
        <f>Nesting!$E$30</f>
        <v>LAF</v>
      </c>
      <c r="D70" s="65">
        <f>D35/Nesting!$X$30</f>
        <v>1.598816997</v>
      </c>
      <c r="E70" s="65">
        <f>E35/Nesting!$X$30</f>
        <v>2.726351502</v>
      </c>
      <c r="F70" s="65">
        <f>F35/Nesting!$X$30</f>
        <v>4.658255373</v>
      </c>
      <c r="G70" s="65">
        <f>G35/Nesting!$X$30</f>
        <v>8.486628342</v>
      </c>
      <c r="H70" s="65">
        <f>H35/Nesting!$X$30</f>
        <v>14.42903992</v>
      </c>
      <c r="I70" s="65">
        <f>I35/Nesting!$X$30</f>
        <v>20.15529938</v>
      </c>
      <c r="J70" s="65">
        <f>J35/Nesting!$X$30</f>
        <v>27.24012806</v>
      </c>
      <c r="K70" s="65">
        <f>K35/Nesting!$X$30</f>
        <v>34.47874367</v>
      </c>
      <c r="L70" s="65">
        <f>L35/Nesting!$X$30</f>
        <v>39.19369468</v>
      </c>
      <c r="M70" s="65">
        <f>M35/Nesting!$X$30</f>
        <v>45.11980626</v>
      </c>
      <c r="N70" s="20">
        <f t="array" ref="N70">INDEX(Supuestos!$D$84:$D$89,MATCH($B70,Supuestos!$A$84:$A$89,0))</f>
        <v>1.186</v>
      </c>
    </row>
    <row r="71" ht="14.25" customHeight="1">
      <c r="A71" s="7" t="s">
        <v>577</v>
      </c>
      <c r="B71" s="71">
        <f>Nesting!$D$31</f>
        <v>1.6</v>
      </c>
      <c r="C71" s="7" t="str">
        <f>Nesting!$E$31</f>
        <v>LAF</v>
      </c>
      <c r="D71" s="65">
        <f>D36/Nesting!$X$31</f>
        <v>1.027810927</v>
      </c>
      <c r="E71" s="65">
        <f>E36/Nesting!$X$31</f>
        <v>1.752654537</v>
      </c>
      <c r="F71" s="65">
        <f>F36/Nesting!$X$31</f>
        <v>2.99459274</v>
      </c>
      <c r="G71" s="65">
        <f>G36/Nesting!$X$31</f>
        <v>5.455689648</v>
      </c>
      <c r="H71" s="65">
        <f>H36/Nesting!$X$31</f>
        <v>9.275811377</v>
      </c>
      <c r="I71" s="65">
        <f>I36/Nesting!$X$31</f>
        <v>12.95697817</v>
      </c>
      <c r="J71" s="65">
        <f>J36/Nesting!$X$31</f>
        <v>17.5115109</v>
      </c>
      <c r="K71" s="65">
        <f>K36/Nesting!$X$31</f>
        <v>22.16490665</v>
      </c>
      <c r="L71" s="65">
        <f>L36/Nesting!$X$31</f>
        <v>25.19594658</v>
      </c>
      <c r="M71" s="65">
        <f>M36/Nesting!$X$31</f>
        <v>29.00558974</v>
      </c>
      <c r="N71" s="20">
        <f t="array" ref="N71">INDEX(Supuestos!$D$84:$D$89,MATCH($B71,Supuestos!$A$84:$A$89,0))</f>
        <v>1.186</v>
      </c>
    </row>
    <row r="72" ht="14.25" customHeight="1">
      <c r="A72" s="7" t="s">
        <v>586</v>
      </c>
      <c r="B72" s="71">
        <f>Nesting!$D$32</f>
        <v>2</v>
      </c>
      <c r="C72" s="7" t="str">
        <f>Nesting!$E$32</f>
        <v>LAF</v>
      </c>
      <c r="D72" s="65">
        <f>D37/Nesting!$X$32</f>
        <v>0.1139544362</v>
      </c>
      <c r="E72" s="65">
        <f>E37/Nesting!$X$32</f>
        <v>0.2192384261</v>
      </c>
      <c r="F72" s="65">
        <f>F37/Nesting!$X$32</f>
        <v>0.4248518653</v>
      </c>
      <c r="G72" s="65">
        <f>G37/Nesting!$X$32</f>
        <v>0.8336014734</v>
      </c>
      <c r="H72" s="65">
        <f>H37/Nesting!$X$32</f>
        <v>1.469021319</v>
      </c>
      <c r="I72" s="65">
        <f>I37/Nesting!$X$32</f>
        <v>2.127975232</v>
      </c>
      <c r="J72" s="65">
        <f>J37/Nesting!$X$32</f>
        <v>2.876110878</v>
      </c>
      <c r="K72" s="65">
        <f>K37/Nesting!$X$32</f>
        <v>3.641587417</v>
      </c>
      <c r="L72" s="65">
        <f>L37/Nesting!$X$32</f>
        <v>4.140757393</v>
      </c>
      <c r="M72" s="65">
        <f>M37/Nesting!$X$32</f>
        <v>4.771222697</v>
      </c>
      <c r="N72" s="20">
        <f t="array" ref="N72">INDEX(Supuestos!$D$84:$D$89,MATCH($B72,Supuestos!$A$84:$A$89,0))</f>
        <v>1.198</v>
      </c>
    </row>
    <row r="73" ht="14.25" customHeight="1">
      <c r="A73" s="7" t="s">
        <v>588</v>
      </c>
      <c r="B73" s="71">
        <f>Nesting!$D$33</f>
        <v>2</v>
      </c>
      <c r="C73" s="7" t="str">
        <f>Nesting!$E$33</f>
        <v>LAF</v>
      </c>
      <c r="D73" s="65">
        <f>D38/Nesting!$X$33</f>
        <v>0.07537583855</v>
      </c>
      <c r="E73" s="65">
        <f>E38/Nesting!$X$33</f>
        <v>0.145016559</v>
      </c>
      <c r="F73" s="65">
        <f>F38/Nesting!$X$33</f>
        <v>0.2810207894</v>
      </c>
      <c r="G73" s="65">
        <f>G38/Nesting!$X$33</f>
        <v>0.5513906451</v>
      </c>
      <c r="H73" s="65">
        <f>H38/Nesting!$X$33</f>
        <v>0.9716928753</v>
      </c>
      <c r="I73" s="65">
        <f>I38/Nesting!$X$33</f>
        <v>1.407561855</v>
      </c>
      <c r="J73" s="65">
        <f>J38/Nesting!$X$33</f>
        <v>1.902420621</v>
      </c>
      <c r="K73" s="65">
        <f>K38/Nesting!$X$33</f>
        <v>2.408749623</v>
      </c>
      <c r="L73" s="65">
        <f>L38/Nesting!$X$33</f>
        <v>2.738928568</v>
      </c>
      <c r="M73" s="65">
        <f>M38/Nesting!$X$33</f>
        <v>3.155953588</v>
      </c>
      <c r="N73" s="20">
        <f t="array" ref="N73">INDEX(Supuestos!$D$84:$D$89,MATCH($B73,Supuestos!$A$84:$A$89,0))</f>
        <v>1.198</v>
      </c>
    </row>
    <row r="74" ht="14.25" customHeight="1">
      <c r="A74" s="5" t="s">
        <v>425</v>
      </c>
      <c r="D74" s="73">
        <f t="shared" ref="D74:M74" si="11">SUM(D66:D73)</f>
        <v>3.711440803</v>
      </c>
      <c r="E74" s="73">
        <f t="shared" si="11"/>
        <v>6.316409588</v>
      </c>
      <c r="F74" s="73">
        <f t="shared" si="11"/>
        <v>11.64161302</v>
      </c>
      <c r="G74" s="73">
        <f t="shared" si="11"/>
        <v>22.90328096</v>
      </c>
      <c r="H74" s="73">
        <f t="shared" si="11"/>
        <v>39.36380209</v>
      </c>
      <c r="I74" s="73">
        <f t="shared" si="11"/>
        <v>55.2837436</v>
      </c>
      <c r="J74" s="73">
        <f t="shared" si="11"/>
        <v>75.25822139</v>
      </c>
      <c r="K74" s="73">
        <f t="shared" si="11"/>
        <v>95.62785215</v>
      </c>
      <c r="L74" s="73">
        <f t="shared" si="11"/>
        <v>108.5596764</v>
      </c>
      <c r="M74" s="73">
        <f t="shared" si="11"/>
        <v>125.3327434</v>
      </c>
    </row>
    <row r="75" ht="14.25" customHeight="1"/>
    <row r="76" ht="14.25" customHeight="1">
      <c r="A76" s="3" t="s">
        <v>608</v>
      </c>
    </row>
    <row r="77" ht="14.25" customHeight="1">
      <c r="A77" s="7" t="s">
        <v>609</v>
      </c>
      <c r="B77" s="71">
        <f>Nesting!$E$11</f>
        <v>4.75</v>
      </c>
      <c r="C77" s="7" t="str">
        <f>Nesting!$F$11</f>
        <v>LAC</v>
      </c>
      <c r="D77" s="65">
        <f>IF(Nesting!$G$22="SI",MIN(D15/Nesting!$G$15,D14/Nesting!$G$16),0)</f>
        <v>5.333333333</v>
      </c>
      <c r="E77" s="65">
        <f>IF(Nesting!$G$22="SI",MIN(E15/Nesting!$G$15,E14/Nesting!$G$16),0)</f>
        <v>9.666666667</v>
      </c>
      <c r="F77" s="65">
        <f>IF(Nesting!$G$22="SI",MIN(F15/Nesting!$G$15,F14/Nesting!$G$16),0)</f>
        <v>14.33333333</v>
      </c>
      <c r="G77" s="65">
        <f>IF(Nesting!$G$22="SI",MIN(G15/Nesting!$G$15,G14/Nesting!$G$16),0)</f>
        <v>24</v>
      </c>
      <c r="H77" s="65">
        <f>IF(Nesting!$G$22="SI",MIN(H15/Nesting!$G$15,H14/Nesting!$G$16),0)</f>
        <v>39.66666667</v>
      </c>
      <c r="I77" s="65">
        <f>IF(Nesting!$G$22="SI",MIN(I15/Nesting!$G$15,I14/Nesting!$G$16),0)</f>
        <v>55.33333333</v>
      </c>
      <c r="J77" s="65">
        <f>IF(Nesting!$G$22="SI",MIN(J15/Nesting!$G$15,J14/Nesting!$G$16),0)</f>
        <v>74.33333333</v>
      </c>
      <c r="K77" s="65">
        <f>IF(Nesting!$G$22="SI",MIN(K15/Nesting!$G$15,K14/Nesting!$G$16),0)</f>
        <v>94</v>
      </c>
      <c r="L77" s="65">
        <f>IF(Nesting!$G$22="SI",MIN(L15/Nesting!$G$15,L14/Nesting!$G$16),0)</f>
        <v>107.3333333</v>
      </c>
      <c r="M77" s="65">
        <f>IF(Nesting!$G$22="SI",MIN(M15/Nesting!$G$15,M14/Nesting!$G$16),0)</f>
        <v>124.3333333</v>
      </c>
    </row>
    <row r="78" ht="14.25" customHeight="1"/>
    <row r="79" ht="14.25" customHeight="1">
      <c r="A79" s="3" t="s">
        <v>612</v>
      </c>
    </row>
    <row r="80" ht="14.25" customHeight="1">
      <c r="A80" s="7" t="s">
        <v>490</v>
      </c>
      <c r="B80" s="71">
        <f>Nesting!$E$6</f>
        <v>1.25</v>
      </c>
      <c r="C80" s="7" t="str">
        <f>Nesting!$F$6</f>
        <v>LAF</v>
      </c>
      <c r="D80" s="65">
        <f>D9/Nesting!$L$6</f>
        <v>10.92592593</v>
      </c>
      <c r="E80" s="65">
        <f>E9/Nesting!$L$6</f>
        <v>26.25925926</v>
      </c>
      <c r="F80" s="65">
        <f>F9/Nesting!$L$6</f>
        <v>47.66666667</v>
      </c>
      <c r="G80" s="65">
        <f>G9/Nesting!$L$6</f>
        <v>94.25925926</v>
      </c>
      <c r="H80" s="65">
        <f>H9/Nesting!$L$6</f>
        <v>157.2222222</v>
      </c>
      <c r="I80" s="65">
        <f>I9/Nesting!$L$6</f>
        <v>224.2592593</v>
      </c>
      <c r="J80" s="65">
        <f>J9/Nesting!$L$6</f>
        <v>298.7407407</v>
      </c>
      <c r="K80" s="65">
        <f>K9/Nesting!$L$6</f>
        <v>378.8148148</v>
      </c>
      <c r="L80" s="65">
        <f>L9/Nesting!$L$6</f>
        <v>442.0740741</v>
      </c>
      <c r="M80" s="65">
        <f>M9/Nesting!$L$6</f>
        <v>522</v>
      </c>
    </row>
    <row r="81" ht="14.25" customHeight="1">
      <c r="A81" s="7" t="s">
        <v>492</v>
      </c>
      <c r="B81" s="71">
        <f>Nesting!$E$7</f>
        <v>1.6</v>
      </c>
      <c r="C81" s="7" t="str">
        <f>Nesting!$F$7</f>
        <v>LAF</v>
      </c>
      <c r="D81" s="65">
        <f>D10/Nesting!$L$7</f>
        <v>188</v>
      </c>
      <c r="E81" s="65">
        <f>E10/Nesting!$L$7</f>
        <v>320.5833333</v>
      </c>
      <c r="F81" s="65">
        <f>F10/Nesting!$L$7</f>
        <v>547.75</v>
      </c>
      <c r="G81" s="65">
        <f>G10/Nesting!$L$7</f>
        <v>997.9166667</v>
      </c>
      <c r="H81" s="65">
        <f>H10/Nesting!$L$7</f>
        <v>1696.666667</v>
      </c>
      <c r="I81" s="65">
        <f>I10/Nesting!$L$7</f>
        <v>2370</v>
      </c>
      <c r="J81" s="65">
        <f>J10/Nesting!$L$7</f>
        <v>3203.083333</v>
      </c>
      <c r="K81" s="65">
        <f>K10/Nesting!$L$7</f>
        <v>4054.25</v>
      </c>
      <c r="L81" s="65">
        <f>L10/Nesting!$L$7</f>
        <v>4608.666667</v>
      </c>
      <c r="M81" s="65">
        <f>M10/Nesting!$L$7</f>
        <v>5305.5</v>
      </c>
    </row>
    <row r="82" ht="14.25" customHeight="1">
      <c r="A82" s="7" t="s">
        <v>497</v>
      </c>
      <c r="B82" s="71">
        <f>Nesting!$E$8</f>
        <v>2</v>
      </c>
      <c r="C82" s="7" t="str">
        <f>Nesting!$F$8</f>
        <v>LAF</v>
      </c>
      <c r="D82" s="65">
        <f>D11/Nesting!$L$8</f>
        <v>6.133333333</v>
      </c>
      <c r="E82" s="65">
        <f>E11/Nesting!$L$8</f>
        <v>11.8</v>
      </c>
      <c r="F82" s="65">
        <f>F11/Nesting!$L$8</f>
        <v>22.86666667</v>
      </c>
      <c r="G82" s="65">
        <f>G11/Nesting!$L$8</f>
        <v>44.86666667</v>
      </c>
      <c r="H82" s="65">
        <f>H11/Nesting!$L$8</f>
        <v>79.06666667</v>
      </c>
      <c r="I82" s="65">
        <f>I11/Nesting!$L$8</f>
        <v>114.5333333</v>
      </c>
      <c r="J82" s="65">
        <f>J11/Nesting!$L$8</f>
        <v>154.8</v>
      </c>
      <c r="K82" s="65">
        <f>K11/Nesting!$L$8</f>
        <v>196</v>
      </c>
      <c r="L82" s="65">
        <f>L11/Nesting!$L$8</f>
        <v>222.8666667</v>
      </c>
      <c r="M82" s="65">
        <f>M11/Nesting!$L$8</f>
        <v>256.8</v>
      </c>
    </row>
    <row r="83" ht="14.25" customHeight="1">
      <c r="A83" s="7" t="s">
        <v>502</v>
      </c>
      <c r="B83" s="71">
        <f>Nesting!$E$9</f>
        <v>3.2</v>
      </c>
      <c r="C83" s="7" t="str">
        <f>Nesting!$F$9</f>
        <v>LAC</v>
      </c>
      <c r="D83" s="65">
        <f>D12/Nesting!$L$9</f>
        <v>3.777777778</v>
      </c>
      <c r="E83" s="65">
        <f>E12/Nesting!$L$9</f>
        <v>6.444444444</v>
      </c>
      <c r="F83" s="65">
        <f>F12/Nesting!$L$9</f>
        <v>10</v>
      </c>
      <c r="G83" s="65">
        <f>G12/Nesting!$L$9</f>
        <v>16.66666667</v>
      </c>
      <c r="H83" s="65">
        <f>H12/Nesting!$L$9</f>
        <v>27.66666667</v>
      </c>
      <c r="I83" s="65">
        <f>I12/Nesting!$L$9</f>
        <v>38.55555556</v>
      </c>
      <c r="J83" s="65">
        <f>J12/Nesting!$L$9</f>
        <v>51.55555556</v>
      </c>
      <c r="K83" s="65">
        <f>K12/Nesting!$L$9</f>
        <v>65</v>
      </c>
      <c r="L83" s="65">
        <f>L12/Nesting!$L$9</f>
        <v>74.44444444</v>
      </c>
      <c r="M83" s="65">
        <f>M12/Nesting!$L$9</f>
        <v>86.11111111</v>
      </c>
    </row>
    <row r="84" ht="14.25" customHeight="1">
      <c r="A84" s="7" t="s">
        <v>512</v>
      </c>
      <c r="B84" s="71">
        <f>Nesting!$E$10</f>
        <v>3.2</v>
      </c>
      <c r="C84" s="7" t="str">
        <f>Nesting!$F$10</f>
        <v>LAC</v>
      </c>
      <c r="D84" s="65">
        <f>D13/Nesting!$L$10</f>
        <v>12.5</v>
      </c>
      <c r="E84" s="65">
        <f>E13/Nesting!$L$10</f>
        <v>21.33333333</v>
      </c>
      <c r="F84" s="65">
        <f>F13/Nesting!$L$10</f>
        <v>33</v>
      </c>
      <c r="G84" s="65">
        <f>G13/Nesting!$L$10</f>
        <v>55.33333333</v>
      </c>
      <c r="H84" s="65">
        <f>H13/Nesting!$L$10</f>
        <v>91.33333333</v>
      </c>
      <c r="I84" s="65">
        <f>I13/Nesting!$L$10</f>
        <v>127.3333333</v>
      </c>
      <c r="J84" s="65">
        <f>J13/Nesting!$L$10</f>
        <v>170</v>
      </c>
      <c r="K84" s="65">
        <f>K13/Nesting!$L$10</f>
        <v>214.5</v>
      </c>
      <c r="L84" s="65">
        <f>L13/Nesting!$L$10</f>
        <v>246</v>
      </c>
      <c r="M84" s="65">
        <f>M13/Nesting!$L$10</f>
        <v>284.1666667</v>
      </c>
    </row>
    <row r="85" ht="14.25" customHeight="1">
      <c r="A85" s="7" t="s">
        <v>513</v>
      </c>
      <c r="B85" s="71">
        <f>Nesting!$E$11</f>
        <v>4.75</v>
      </c>
      <c r="C85" s="7" t="str">
        <f>Nesting!$F$11</f>
        <v>LAC</v>
      </c>
      <c r="D85" s="65">
        <f>(D14-Nesting!$G$16*D77)/Nesting!$L$11</f>
        <v>0</v>
      </c>
      <c r="E85" s="65">
        <f>(E14-Nesting!$G$16*E77)/Nesting!$L$11</f>
        <v>0</v>
      </c>
      <c r="F85" s="65">
        <f>(F14-Nesting!$G$16*F77)/Nesting!$L$11</f>
        <v>0</v>
      </c>
      <c r="G85" s="65">
        <f>(G14-Nesting!$G$16*G77)/Nesting!$L$11</f>
        <v>0</v>
      </c>
      <c r="H85" s="65">
        <f>(H14-Nesting!$G$16*H77)/Nesting!$L$11</f>
        <v>0</v>
      </c>
      <c r="I85" s="65">
        <f>(I14-Nesting!$G$16*I77)/Nesting!$L$11</f>
        <v>0</v>
      </c>
      <c r="J85" s="65">
        <f>(J14-Nesting!$G$16*J77)/Nesting!$L$11</f>
        <v>0</v>
      </c>
      <c r="K85" s="65">
        <f>(K14-Nesting!$G$16*K77)/Nesting!$L$11</f>
        <v>0</v>
      </c>
      <c r="L85" s="65">
        <f>(L14-Nesting!$G$16*L77)/Nesting!$L$11</f>
        <v>0</v>
      </c>
      <c r="M85" s="65">
        <f>(M14-Nesting!$G$16*M77)/Nesting!$L$11</f>
        <v>0</v>
      </c>
    </row>
    <row r="86" ht="14.25" customHeight="1">
      <c r="A86" s="7" t="s">
        <v>514</v>
      </c>
      <c r="B86" s="71">
        <f>Nesting!$E$12</f>
        <v>4.75</v>
      </c>
      <c r="C86" s="7" t="str">
        <f>Nesting!$F$12</f>
        <v>LAC</v>
      </c>
      <c r="D86" s="65">
        <f>(D15-Nesting!$G$15*D77)/Nesting!$L$12</f>
        <v>1.888888889</v>
      </c>
      <c r="E86" s="65">
        <f>(E15-Nesting!$G$15*E77)/Nesting!$L$12</f>
        <v>2.777777778</v>
      </c>
      <c r="F86" s="65">
        <f>(F15-Nesting!$G$15*F77)/Nesting!$L$12</f>
        <v>4.888888889</v>
      </c>
      <c r="G86" s="65">
        <f>(G15-Nesting!$G$15*G77)/Nesting!$L$12</f>
        <v>8.333333333</v>
      </c>
      <c r="H86" s="65">
        <f>(H15-Nesting!$G$15*H77)/Nesting!$L$12</f>
        <v>13.44444444</v>
      </c>
      <c r="I86" s="65">
        <f>(I15-Nesting!$G$15*I77)/Nesting!$L$12</f>
        <v>18.22222222</v>
      </c>
      <c r="J86" s="65">
        <f>(J15-Nesting!$G$15*J77)/Nesting!$L$12</f>
        <v>24.22222222</v>
      </c>
      <c r="K86" s="65">
        <f>(K15-Nesting!$G$15*K77)/Nesting!$L$12</f>
        <v>30.66666667</v>
      </c>
      <c r="L86" s="65">
        <f>(L15-Nesting!$G$15*L77)/Nesting!$L$12</f>
        <v>35.55555556</v>
      </c>
      <c r="M86" s="65">
        <f>(M15-Nesting!$G$15*M77)/Nesting!$L$12</f>
        <v>40.88888889</v>
      </c>
    </row>
    <row r="87" ht="14.25" customHeight="1">
      <c r="A87" s="7" t="s">
        <v>525</v>
      </c>
      <c r="B87" s="71">
        <f>Nesting!$E$11</f>
        <v>4.75</v>
      </c>
      <c r="C87" s="7" t="str">
        <f>Nesting!$F$11</f>
        <v>LAC</v>
      </c>
      <c r="D87" s="65">
        <f t="shared" ref="D87:M87" si="12">D77</f>
        <v>5.333333333</v>
      </c>
      <c r="E87" s="65">
        <f t="shared" si="12"/>
        <v>9.666666667</v>
      </c>
      <c r="F87" s="65">
        <f t="shared" si="12"/>
        <v>14.33333333</v>
      </c>
      <c r="G87" s="65">
        <f t="shared" si="12"/>
        <v>24</v>
      </c>
      <c r="H87" s="65">
        <f t="shared" si="12"/>
        <v>39.66666667</v>
      </c>
      <c r="I87" s="65">
        <f t="shared" si="12"/>
        <v>55.33333333</v>
      </c>
      <c r="J87" s="65">
        <f t="shared" si="12"/>
        <v>74.33333333</v>
      </c>
      <c r="K87" s="65">
        <f t="shared" si="12"/>
        <v>94</v>
      </c>
      <c r="L87" s="65">
        <f t="shared" si="12"/>
        <v>107.3333333</v>
      </c>
      <c r="M87" s="65">
        <f t="shared" si="12"/>
        <v>124.3333333</v>
      </c>
    </row>
    <row r="88" ht="14.25" customHeight="1">
      <c r="A88" s="5" t="s">
        <v>425</v>
      </c>
      <c r="D88" s="73">
        <f t="shared" ref="D88:M88" si="13">SUM(D80:D87)</f>
        <v>228.5592593</v>
      </c>
      <c r="E88" s="73">
        <f t="shared" si="13"/>
        <v>398.8648148</v>
      </c>
      <c r="F88" s="73">
        <f t="shared" si="13"/>
        <v>680.5055556</v>
      </c>
      <c r="G88" s="73">
        <f t="shared" si="13"/>
        <v>1241.375926</v>
      </c>
      <c r="H88" s="73">
        <f t="shared" si="13"/>
        <v>2105.066667</v>
      </c>
      <c r="I88" s="73">
        <f t="shared" si="13"/>
        <v>2948.237037</v>
      </c>
      <c r="J88" s="73">
        <f t="shared" si="13"/>
        <v>3976.735185</v>
      </c>
      <c r="K88" s="73">
        <f t="shared" si="13"/>
        <v>5033.231481</v>
      </c>
      <c r="L88" s="73">
        <f t="shared" si="13"/>
        <v>5736.940741</v>
      </c>
      <c r="M88" s="73">
        <f t="shared" si="13"/>
        <v>6619.8</v>
      </c>
    </row>
    <row r="89" ht="14.25" customHeight="1"/>
    <row r="90" ht="14.25" customHeight="1">
      <c r="A90" s="3" t="s">
        <v>651</v>
      </c>
      <c r="N90" s="72" t="s">
        <v>430</v>
      </c>
    </row>
    <row r="91" ht="14.25" customHeight="1">
      <c r="A91" s="7" t="s">
        <v>490</v>
      </c>
      <c r="B91" s="71">
        <f>Nesting!$E$6</f>
        <v>1.25</v>
      </c>
      <c r="C91" s="7" t="str">
        <f>Nesting!$F$6</f>
        <v>LAF</v>
      </c>
      <c r="D91" s="65">
        <f>D80*Nesting!$N$6/1000</f>
        <v>0.3199577648</v>
      </c>
      <c r="E91" s="65">
        <f>E80*Nesting!$N$6/1000</f>
        <v>0.7689832381</v>
      </c>
      <c r="F91" s="65">
        <f>F80*Nesting!$N$6/1000</f>
        <v>1.395883537</v>
      </c>
      <c r="G91" s="65">
        <f>G80*Nesting!$N$6/1000</f>
        <v>2.760313598</v>
      </c>
      <c r="H91" s="65">
        <f>H80*Nesting!$N$6/1000</f>
        <v>4.604138006</v>
      </c>
      <c r="I91" s="65">
        <f>I80*Nesting!$N$6/1000</f>
        <v>6.567268698</v>
      </c>
      <c r="J91" s="65">
        <f>J80*Nesting!$N$6/1000</f>
        <v>8.748404512</v>
      </c>
      <c r="K91" s="65">
        <f>K80*Nesting!$N$6/1000</f>
        <v>11.09331532</v>
      </c>
      <c r="L91" s="65">
        <f>L80*Nesting!$N$6/1000</f>
        <v>12.94581655</v>
      </c>
      <c r="M91" s="65">
        <f>M80*Nesting!$N$6/1000</f>
        <v>15.28638894</v>
      </c>
      <c r="N91" s="20">
        <f t="array" ref="N91">INDEX(Supuestos!$C$84:$C$89,MATCH($B91,Supuestos!$A$84:$A$89,0))</f>
        <v>1.290297735</v>
      </c>
    </row>
    <row r="92" ht="14.25" customHeight="1">
      <c r="A92" s="7" t="s">
        <v>492</v>
      </c>
      <c r="B92" s="71">
        <f>Nesting!$E$7</f>
        <v>1.6</v>
      </c>
      <c r="C92" s="7" t="str">
        <f>Nesting!$F$7</f>
        <v>LAF</v>
      </c>
      <c r="D92" s="65">
        <f>D81*Nesting!$N$7/1000</f>
        <v>4.734592</v>
      </c>
      <c r="E92" s="65">
        <f>E81*Nesting!$N$7/1000</f>
        <v>8.073570667</v>
      </c>
      <c r="F92" s="65">
        <f>F81*Nesting!$N$7/1000</f>
        <v>13.794536</v>
      </c>
      <c r="G92" s="65">
        <f>G81*Nesting!$N$7/1000</f>
        <v>25.13153333</v>
      </c>
      <c r="H92" s="65">
        <f>H81*Nesting!$N$7/1000</f>
        <v>42.72885333</v>
      </c>
      <c r="I92" s="65">
        <f>I81*Nesting!$N$7/1000</f>
        <v>59.68608</v>
      </c>
      <c r="J92" s="65">
        <f>J81*Nesting!$N$7/1000</f>
        <v>80.66645067</v>
      </c>
      <c r="K92" s="65">
        <f>K81*Nesting!$N$7/1000</f>
        <v>102.102232</v>
      </c>
      <c r="L92" s="65">
        <f>L81*Nesting!$N$7/1000</f>
        <v>116.0646613</v>
      </c>
      <c r="M92" s="65">
        <f>M81*Nesting!$N$7/1000</f>
        <v>133.613712</v>
      </c>
      <c r="N92" s="20">
        <f t="array" ref="N92">INDEX(Supuestos!$C$84:$C$89,MATCH($B92,Supuestos!$A$84:$A$89,0))</f>
        <v>1.327521036</v>
      </c>
    </row>
    <row r="93" ht="14.25" customHeight="1">
      <c r="A93" s="7" t="s">
        <v>497</v>
      </c>
      <c r="B93" s="71">
        <f>Nesting!$E$8</f>
        <v>2</v>
      </c>
      <c r="C93" s="7" t="str">
        <f>Nesting!$F$8</f>
        <v>LAF</v>
      </c>
      <c r="D93" s="65">
        <f>D82*Nesting!$N$8/1000</f>
        <v>0.434424</v>
      </c>
      <c r="E93" s="65">
        <f>E82*Nesting!$N$8/1000</f>
        <v>0.835794</v>
      </c>
      <c r="F93" s="65">
        <f>F82*Nesting!$N$8/1000</f>
        <v>1.619646</v>
      </c>
      <c r="G93" s="65">
        <f>G82*Nesting!$N$8/1000</f>
        <v>3.177906</v>
      </c>
      <c r="H93" s="65">
        <f>H82*Nesting!$N$8/1000</f>
        <v>5.600292</v>
      </c>
      <c r="I93" s="65">
        <f>I82*Nesting!$N$8/1000</f>
        <v>8.112396</v>
      </c>
      <c r="J93" s="65">
        <f>J82*Nesting!$N$8/1000</f>
        <v>10.964484</v>
      </c>
      <c r="K93" s="65">
        <f>K82*Nesting!$N$8/1000</f>
        <v>13.88268</v>
      </c>
      <c r="L93" s="65">
        <f>L82*Nesting!$N$8/1000</f>
        <v>15.785646</v>
      </c>
      <c r="M93" s="65">
        <f>M82*Nesting!$N$8/1000</f>
        <v>18.189144</v>
      </c>
      <c r="N93" s="20">
        <f t="array" ref="N93">INDEX(Supuestos!$C$84:$C$89,MATCH($B93,Supuestos!$A$84:$A$89,0))</f>
        <v>1.280401294</v>
      </c>
    </row>
    <row r="94" ht="14.25" customHeight="1">
      <c r="A94" s="7" t="s">
        <v>502</v>
      </c>
      <c r="B94" s="71">
        <f>Nesting!$E$9</f>
        <v>3.2</v>
      </c>
      <c r="C94" s="7" t="str">
        <f>Nesting!$F$9</f>
        <v>LAC</v>
      </c>
      <c r="D94" s="65">
        <f>D83*Nesting!$N$9/1000</f>
        <v>0.428128</v>
      </c>
      <c r="E94" s="65">
        <f>E83*Nesting!$N$9/1000</f>
        <v>0.730336</v>
      </c>
      <c r="F94" s="65">
        <f>F83*Nesting!$N$9/1000</f>
        <v>1.13328</v>
      </c>
      <c r="G94" s="65">
        <f>G83*Nesting!$N$9/1000</f>
        <v>1.8888</v>
      </c>
      <c r="H94" s="65">
        <f>H83*Nesting!$N$9/1000</f>
        <v>3.135408</v>
      </c>
      <c r="I94" s="65">
        <f>I83*Nesting!$N$9/1000</f>
        <v>4.369424</v>
      </c>
      <c r="J94" s="65">
        <f>J83*Nesting!$N$9/1000</f>
        <v>5.842688</v>
      </c>
      <c r="K94" s="65">
        <f>K83*Nesting!$N$9/1000</f>
        <v>7.36632</v>
      </c>
      <c r="L94" s="65">
        <f>L83*Nesting!$N$9/1000</f>
        <v>8.43664</v>
      </c>
      <c r="M94" s="65">
        <f>M83*Nesting!$N$9/1000</f>
        <v>9.7588</v>
      </c>
      <c r="N94" s="20">
        <f t="array" ref="N94">INDEX(Supuestos!$C$84:$C$89,MATCH($B94,Supuestos!$A$84:$A$89,0))</f>
        <v>1.101935275</v>
      </c>
    </row>
    <row r="95" ht="14.25" customHeight="1">
      <c r="A95" s="7" t="s">
        <v>512</v>
      </c>
      <c r="B95" s="71">
        <f>Nesting!$E$10</f>
        <v>3.2</v>
      </c>
      <c r="C95" s="7" t="str">
        <f>Nesting!$F$10</f>
        <v>LAC</v>
      </c>
      <c r="D95" s="65">
        <f>D84*Nesting!$N$10/1000</f>
        <v>1.4166</v>
      </c>
      <c r="E95" s="65">
        <f>E84*Nesting!$N$10/1000</f>
        <v>2.417664</v>
      </c>
      <c r="F95" s="65">
        <f>F84*Nesting!$N$10/1000</f>
        <v>3.739824</v>
      </c>
      <c r="G95" s="65">
        <f>G84*Nesting!$N$10/1000</f>
        <v>6.270816</v>
      </c>
      <c r="H95" s="65">
        <f>H84*Nesting!$N$10/1000</f>
        <v>10.350624</v>
      </c>
      <c r="I95" s="65">
        <f>I84*Nesting!$N$10/1000</f>
        <v>14.430432</v>
      </c>
      <c r="J95" s="65">
        <f>J84*Nesting!$N$10/1000</f>
        <v>19.26576</v>
      </c>
      <c r="K95" s="65">
        <f>K84*Nesting!$N$10/1000</f>
        <v>24.308856</v>
      </c>
      <c r="L95" s="65">
        <f>L84*Nesting!$N$10/1000</f>
        <v>27.878688</v>
      </c>
      <c r="M95" s="65">
        <f>M84*Nesting!$N$10/1000</f>
        <v>32.20404</v>
      </c>
      <c r="N95" s="20">
        <f t="array" ref="N95">INDEX(Supuestos!$C$84:$C$89,MATCH($B95,Supuestos!$A$84:$A$89,0))</f>
        <v>1.101935275</v>
      </c>
    </row>
    <row r="96" ht="14.25" customHeight="1">
      <c r="A96" s="7" t="s">
        <v>513</v>
      </c>
      <c r="B96" s="71">
        <f>Nesting!$E$11</f>
        <v>4.75</v>
      </c>
      <c r="C96" s="7" t="str">
        <f>Nesting!$F$11</f>
        <v>LAC</v>
      </c>
      <c r="D96" s="65">
        <f>D85*Nesting!$N$11/1000</f>
        <v>0</v>
      </c>
      <c r="E96" s="65">
        <f>E85*Nesting!$N$11/1000</f>
        <v>0</v>
      </c>
      <c r="F96" s="65">
        <f>F85*Nesting!$N$11/1000</f>
        <v>0</v>
      </c>
      <c r="G96" s="65">
        <f>G85*Nesting!$N$11/1000</f>
        <v>0</v>
      </c>
      <c r="H96" s="65">
        <f>H85*Nesting!$N$11/1000</f>
        <v>0</v>
      </c>
      <c r="I96" s="65">
        <f>I85*Nesting!$N$11/1000</f>
        <v>0</v>
      </c>
      <c r="J96" s="65">
        <f>J85*Nesting!$N$11/1000</f>
        <v>0</v>
      </c>
      <c r="K96" s="65">
        <f>K85*Nesting!$N$11/1000</f>
        <v>0</v>
      </c>
      <c r="L96" s="65">
        <f>L85*Nesting!$N$11/1000</f>
        <v>0</v>
      </c>
      <c r="M96" s="65">
        <f>M85*Nesting!$N$11/1000</f>
        <v>0</v>
      </c>
      <c r="N96" s="20">
        <f t="array" ref="N96">INDEX(Supuestos!$C$84:$C$89,MATCH($B96,Supuestos!$A$84:$A$89,0))</f>
        <v>1.090977346</v>
      </c>
    </row>
    <row r="97" ht="14.25" customHeight="1">
      <c r="A97" s="7" t="s">
        <v>514</v>
      </c>
      <c r="B97" s="71">
        <f>Nesting!$E$12</f>
        <v>4.75</v>
      </c>
      <c r="C97" s="7" t="str">
        <f>Nesting!$F$12</f>
        <v>LAC</v>
      </c>
      <c r="D97" s="65">
        <f>D86*Nesting!$N$12/1000</f>
        <v>0.31775125</v>
      </c>
      <c r="E97" s="65">
        <f>E86*Nesting!$N$12/1000</f>
        <v>0.46728125</v>
      </c>
      <c r="F97" s="65">
        <f>F86*Nesting!$N$12/1000</f>
        <v>0.822415</v>
      </c>
      <c r="G97" s="65">
        <f>G86*Nesting!$N$12/1000</f>
        <v>1.40184375</v>
      </c>
      <c r="H97" s="65">
        <f>H86*Nesting!$N$12/1000</f>
        <v>2.26164125</v>
      </c>
      <c r="I97" s="65">
        <f>I86*Nesting!$N$12/1000</f>
        <v>3.065365</v>
      </c>
      <c r="J97" s="65">
        <f>J86*Nesting!$N$12/1000</f>
        <v>4.0746925</v>
      </c>
      <c r="K97" s="65">
        <f>K86*Nesting!$N$12/1000</f>
        <v>5.158785</v>
      </c>
      <c r="L97" s="65">
        <f>L86*Nesting!$N$12/1000</f>
        <v>5.9812</v>
      </c>
      <c r="M97" s="65">
        <f>M86*Nesting!$N$12/1000</f>
        <v>6.87838</v>
      </c>
      <c r="N97" s="20">
        <f t="array" ref="N97">INDEX(Supuestos!$C$84:$C$89,MATCH($B97,Supuestos!$A$84:$A$89,0))</f>
        <v>1.090977346</v>
      </c>
    </row>
    <row r="98" ht="14.25" customHeight="1">
      <c r="A98" s="7" t="s">
        <v>525</v>
      </c>
      <c r="B98" s="71">
        <f>Nesting!$E$11</f>
        <v>4.75</v>
      </c>
      <c r="C98" s="7" t="str">
        <f>Nesting!$F$11</f>
        <v>LAC</v>
      </c>
      <c r="D98" s="65">
        <f>D87*Nesting!$G$20/1000</f>
        <v>0.89718</v>
      </c>
      <c r="E98" s="65">
        <f>E87*Nesting!$G$20/1000</f>
        <v>1.62613875</v>
      </c>
      <c r="F98" s="65">
        <f>F87*Nesting!$G$20/1000</f>
        <v>2.41117125</v>
      </c>
      <c r="G98" s="65">
        <f>G87*Nesting!$G$20/1000</f>
        <v>4.03731</v>
      </c>
      <c r="H98" s="65">
        <f>H87*Nesting!$G$20/1000</f>
        <v>6.67277625</v>
      </c>
      <c r="I98" s="65">
        <f>I87*Nesting!$G$20/1000</f>
        <v>9.3082425</v>
      </c>
      <c r="J98" s="65">
        <f>J87*Nesting!$G$20/1000</f>
        <v>12.50444625</v>
      </c>
      <c r="K98" s="65">
        <f>K87*Nesting!$G$20/1000</f>
        <v>15.8127975</v>
      </c>
      <c r="L98" s="65">
        <f>L87*Nesting!$G$20/1000</f>
        <v>18.0557475</v>
      </c>
      <c r="M98" s="65">
        <f>M87*Nesting!$G$20/1000</f>
        <v>20.91550875</v>
      </c>
      <c r="N98" s="20">
        <f t="array" ref="N98">INDEX(Supuestos!$C$84:$C$89,MATCH($B98,Supuestos!$A$84:$A$89,0))</f>
        <v>1.090977346</v>
      </c>
    </row>
    <row r="99" ht="14.25" customHeight="1">
      <c r="A99" s="5" t="s">
        <v>425</v>
      </c>
      <c r="D99" s="73">
        <f t="shared" ref="D99:M99" si="14">SUM(D91:D98)</f>
        <v>8.548633015</v>
      </c>
      <c r="E99" s="73">
        <f t="shared" si="14"/>
        <v>14.9197679</v>
      </c>
      <c r="F99" s="73">
        <f t="shared" si="14"/>
        <v>24.91675579</v>
      </c>
      <c r="G99" s="73">
        <f t="shared" si="14"/>
        <v>44.66852268</v>
      </c>
      <c r="H99" s="73">
        <f t="shared" si="14"/>
        <v>75.35373284</v>
      </c>
      <c r="I99" s="73">
        <f t="shared" si="14"/>
        <v>105.5392082</v>
      </c>
      <c r="J99" s="73">
        <f t="shared" si="14"/>
        <v>142.0669259</v>
      </c>
      <c r="K99" s="73">
        <f t="shared" si="14"/>
        <v>179.7249858</v>
      </c>
      <c r="L99" s="73">
        <f t="shared" si="14"/>
        <v>205.1483994</v>
      </c>
      <c r="M99" s="73">
        <f t="shared" si="14"/>
        <v>236.8459737</v>
      </c>
    </row>
    <row r="100" ht="14.25" customHeight="1">
      <c r="A100" s="7" t="s">
        <v>454</v>
      </c>
      <c r="D100" s="65">
        <f t="shared" ref="D100:M100" si="15">SUMIF($C$91:$C$98,"LAF",D91:D98)</f>
        <v>5.488973765</v>
      </c>
      <c r="E100" s="65">
        <f t="shared" si="15"/>
        <v>9.678347905</v>
      </c>
      <c r="F100" s="65">
        <f t="shared" si="15"/>
        <v>16.81006554</v>
      </c>
      <c r="G100" s="65">
        <f t="shared" si="15"/>
        <v>31.06975293</v>
      </c>
      <c r="H100" s="65">
        <f t="shared" si="15"/>
        <v>52.93328334</v>
      </c>
      <c r="I100" s="65">
        <f t="shared" si="15"/>
        <v>74.3657447</v>
      </c>
      <c r="J100" s="65">
        <f t="shared" si="15"/>
        <v>100.3793392</v>
      </c>
      <c r="K100" s="65">
        <f t="shared" si="15"/>
        <v>127.0782273</v>
      </c>
      <c r="L100" s="65">
        <f t="shared" si="15"/>
        <v>144.7961239</v>
      </c>
      <c r="M100" s="65">
        <f t="shared" si="15"/>
        <v>167.0892449</v>
      </c>
    </row>
    <row r="101" ht="14.25" customHeight="1">
      <c r="A101" s="7" t="s">
        <v>466</v>
      </c>
      <c r="D101" s="65">
        <f t="shared" ref="D101:M101" si="16">SUMIF($C$91:$C$98,"LAC",D91:D98)</f>
        <v>3.05965925</v>
      </c>
      <c r="E101" s="65">
        <f t="shared" si="16"/>
        <v>5.24142</v>
      </c>
      <c r="F101" s="65">
        <f t="shared" si="16"/>
        <v>8.10669025</v>
      </c>
      <c r="G101" s="65">
        <f t="shared" si="16"/>
        <v>13.59876975</v>
      </c>
      <c r="H101" s="65">
        <f t="shared" si="16"/>
        <v>22.4204495</v>
      </c>
      <c r="I101" s="65">
        <f t="shared" si="16"/>
        <v>31.1734635</v>
      </c>
      <c r="J101" s="65">
        <f t="shared" si="16"/>
        <v>41.68758675</v>
      </c>
      <c r="K101" s="65">
        <f t="shared" si="16"/>
        <v>52.6467585</v>
      </c>
      <c r="L101" s="65">
        <f t="shared" si="16"/>
        <v>60.3522755</v>
      </c>
      <c r="M101" s="65">
        <f t="shared" si="16"/>
        <v>69.75672875</v>
      </c>
    </row>
    <row r="102" ht="14.25" customHeight="1"/>
    <row r="103" ht="14.25" customHeight="1">
      <c r="A103" s="3" t="s">
        <v>712</v>
      </c>
    </row>
    <row r="104" ht="14.25" customHeight="1">
      <c r="A104" s="7" t="s">
        <v>490</v>
      </c>
      <c r="B104" s="71">
        <f>Nesting!$E$6</f>
        <v>1.25</v>
      </c>
      <c r="C104" s="7" t="str">
        <f>Nesting!$F$6</f>
        <v>LAF</v>
      </c>
      <c r="D104" s="16">
        <f>D80*Nesting!$O$6</f>
        <v>327.7777778</v>
      </c>
      <c r="E104" s="16">
        <f>E80*Nesting!$O$6</f>
        <v>787.7777778</v>
      </c>
      <c r="F104" s="16">
        <f>F80*Nesting!$O$6</f>
        <v>1430</v>
      </c>
      <c r="G104" s="16">
        <f>G80*Nesting!$O$6</f>
        <v>2827.777778</v>
      </c>
      <c r="H104" s="16">
        <f>H80*Nesting!$O$6</f>
        <v>4716.666667</v>
      </c>
      <c r="I104" s="16">
        <f>I80*Nesting!$O$6</f>
        <v>6727.777778</v>
      </c>
      <c r="J104" s="16">
        <f>J80*Nesting!$O$6</f>
        <v>8962.222222</v>
      </c>
      <c r="K104" s="16">
        <f>K80*Nesting!$O$6</f>
        <v>11364.44444</v>
      </c>
      <c r="L104" s="16">
        <f>L80*Nesting!$O$6</f>
        <v>13262.22222</v>
      </c>
      <c r="M104" s="16">
        <f>M80*Nesting!$O$6</f>
        <v>15660</v>
      </c>
    </row>
    <row r="105" ht="14.25" customHeight="1">
      <c r="A105" s="7" t="s">
        <v>492</v>
      </c>
      <c r="B105" s="71">
        <f>Nesting!$E$7</f>
        <v>1.6</v>
      </c>
      <c r="C105" s="7" t="str">
        <f>Nesting!$F$7</f>
        <v>LAF</v>
      </c>
      <c r="D105" s="16">
        <f>D81*Nesting!$O$7</f>
        <v>2820</v>
      </c>
      <c r="E105" s="16">
        <f>E81*Nesting!$O$7</f>
        <v>4808.75</v>
      </c>
      <c r="F105" s="16">
        <f>F81*Nesting!$O$7</f>
        <v>8216.25</v>
      </c>
      <c r="G105" s="16">
        <f>G81*Nesting!$O$7</f>
        <v>14968.75</v>
      </c>
      <c r="H105" s="16">
        <f>H81*Nesting!$O$7</f>
        <v>25450</v>
      </c>
      <c r="I105" s="16">
        <f>I81*Nesting!$O$7</f>
        <v>35550</v>
      </c>
      <c r="J105" s="16">
        <f>J81*Nesting!$O$7</f>
        <v>48046.25</v>
      </c>
      <c r="K105" s="16">
        <f>K81*Nesting!$O$7</f>
        <v>60813.75</v>
      </c>
      <c r="L105" s="16">
        <f>L81*Nesting!$O$7</f>
        <v>69130</v>
      </c>
      <c r="M105" s="16">
        <f>M81*Nesting!$O$7</f>
        <v>79582.5</v>
      </c>
    </row>
    <row r="106" ht="14.25" customHeight="1">
      <c r="A106" s="7" t="s">
        <v>497</v>
      </c>
      <c r="B106" s="71">
        <f>Nesting!$E$8</f>
        <v>2</v>
      </c>
      <c r="C106" s="7" t="str">
        <f>Nesting!$F$8</f>
        <v>LAF</v>
      </c>
      <c r="D106" s="16">
        <f>D82*Nesting!$O$8</f>
        <v>110.4</v>
      </c>
      <c r="E106" s="16">
        <f>E82*Nesting!$O$8</f>
        <v>212.4</v>
      </c>
      <c r="F106" s="16">
        <f>F82*Nesting!$O$8</f>
        <v>411.6</v>
      </c>
      <c r="G106" s="16">
        <f>G82*Nesting!$O$8</f>
        <v>807.6</v>
      </c>
      <c r="H106" s="16">
        <f>H82*Nesting!$O$8</f>
        <v>1423.2</v>
      </c>
      <c r="I106" s="16">
        <f>I82*Nesting!$O$8</f>
        <v>2061.6</v>
      </c>
      <c r="J106" s="16">
        <f>J82*Nesting!$O$8</f>
        <v>2786.4</v>
      </c>
      <c r="K106" s="16">
        <f>K82*Nesting!$O$8</f>
        <v>3528</v>
      </c>
      <c r="L106" s="16">
        <f>L82*Nesting!$O$8</f>
        <v>4011.6</v>
      </c>
      <c r="M106" s="16">
        <f>M82*Nesting!$O$8</f>
        <v>4622.4</v>
      </c>
    </row>
    <row r="107" ht="14.25" customHeight="1">
      <c r="A107" s="7" t="s">
        <v>502</v>
      </c>
      <c r="B107" s="71">
        <f>Nesting!$E$9</f>
        <v>3.2</v>
      </c>
      <c r="C107" s="7" t="str">
        <f>Nesting!$F$9</f>
        <v>LAC</v>
      </c>
      <c r="D107" s="16">
        <f>D83*Nesting!$O$9</f>
        <v>45.33333333</v>
      </c>
      <c r="E107" s="16">
        <f>E83*Nesting!$O$9</f>
        <v>77.33333333</v>
      </c>
      <c r="F107" s="16">
        <f>F83*Nesting!$O$9</f>
        <v>120</v>
      </c>
      <c r="G107" s="16">
        <f>G83*Nesting!$O$9</f>
        <v>200</v>
      </c>
      <c r="H107" s="16">
        <f>H83*Nesting!$O$9</f>
        <v>332</v>
      </c>
      <c r="I107" s="16">
        <f>I83*Nesting!$O$9</f>
        <v>462.6666667</v>
      </c>
      <c r="J107" s="16">
        <f>J83*Nesting!$O$9</f>
        <v>618.6666667</v>
      </c>
      <c r="K107" s="16">
        <f>K83*Nesting!$O$9</f>
        <v>780</v>
      </c>
      <c r="L107" s="16">
        <f>L83*Nesting!$O$9</f>
        <v>893.3333333</v>
      </c>
      <c r="M107" s="16">
        <f>M83*Nesting!$O$9</f>
        <v>1033.333333</v>
      </c>
    </row>
    <row r="108" ht="14.25" customHeight="1">
      <c r="A108" s="7" t="s">
        <v>512</v>
      </c>
      <c r="B108" s="71">
        <f>Nesting!$E$10</f>
        <v>3.2</v>
      </c>
      <c r="C108" s="7" t="str">
        <f>Nesting!$F$10</f>
        <v>LAC</v>
      </c>
      <c r="D108" s="16">
        <f>D84*Nesting!$O$10</f>
        <v>100</v>
      </c>
      <c r="E108" s="16">
        <f>E84*Nesting!$O$10</f>
        <v>170.6666667</v>
      </c>
      <c r="F108" s="16">
        <f>F84*Nesting!$O$10</f>
        <v>264</v>
      </c>
      <c r="G108" s="16">
        <f>G84*Nesting!$O$10</f>
        <v>442.6666667</v>
      </c>
      <c r="H108" s="16">
        <f>H84*Nesting!$O$10</f>
        <v>730.6666667</v>
      </c>
      <c r="I108" s="16">
        <f>I84*Nesting!$O$10</f>
        <v>1018.666667</v>
      </c>
      <c r="J108" s="16">
        <f>J84*Nesting!$O$10</f>
        <v>1360</v>
      </c>
      <c r="K108" s="16">
        <f>K84*Nesting!$O$10</f>
        <v>1716</v>
      </c>
      <c r="L108" s="16">
        <f>L84*Nesting!$O$10</f>
        <v>1968</v>
      </c>
      <c r="M108" s="16">
        <f>M84*Nesting!$O$10</f>
        <v>2273.333333</v>
      </c>
    </row>
    <row r="109" ht="14.25" customHeight="1">
      <c r="A109" s="7" t="s">
        <v>513</v>
      </c>
      <c r="B109" s="71">
        <f>Nesting!$E$11</f>
        <v>4.75</v>
      </c>
      <c r="C109" s="7" t="str">
        <f>Nesting!$F$11</f>
        <v>LAC</v>
      </c>
      <c r="D109" s="16">
        <f>D85*Nesting!$O$11</f>
        <v>0</v>
      </c>
      <c r="E109" s="16">
        <f>E85*Nesting!$O$11</f>
        <v>0</v>
      </c>
      <c r="F109" s="16">
        <f>F85*Nesting!$O$11</f>
        <v>0</v>
      </c>
      <c r="G109" s="16">
        <f>G85*Nesting!$O$11</f>
        <v>0</v>
      </c>
      <c r="H109" s="16">
        <f>H85*Nesting!$O$11</f>
        <v>0</v>
      </c>
      <c r="I109" s="16">
        <f>I85*Nesting!$O$11</f>
        <v>0</v>
      </c>
      <c r="J109" s="16">
        <f>J85*Nesting!$O$11</f>
        <v>0</v>
      </c>
      <c r="K109" s="16">
        <f>K85*Nesting!$O$11</f>
        <v>0</v>
      </c>
      <c r="L109" s="16">
        <f>L85*Nesting!$O$11</f>
        <v>0</v>
      </c>
      <c r="M109" s="16">
        <f>M85*Nesting!$O$11</f>
        <v>0</v>
      </c>
    </row>
    <row r="110" ht="14.25" customHeight="1">
      <c r="A110" s="7" t="s">
        <v>514</v>
      </c>
      <c r="B110" s="71">
        <f>Nesting!$E$12</f>
        <v>4.75</v>
      </c>
      <c r="C110" s="7" t="str">
        <f>Nesting!$F$12</f>
        <v>LAC</v>
      </c>
      <c r="D110" s="16">
        <f>D86*Nesting!$O$12</f>
        <v>7.555555556</v>
      </c>
      <c r="E110" s="16">
        <f>E86*Nesting!$O$12</f>
        <v>11.11111111</v>
      </c>
      <c r="F110" s="16">
        <f>F86*Nesting!$O$12</f>
        <v>19.55555556</v>
      </c>
      <c r="G110" s="16">
        <f>G86*Nesting!$O$12</f>
        <v>33.33333333</v>
      </c>
      <c r="H110" s="16">
        <f>H86*Nesting!$O$12</f>
        <v>53.77777778</v>
      </c>
      <c r="I110" s="16">
        <f>I86*Nesting!$O$12</f>
        <v>72.88888889</v>
      </c>
      <c r="J110" s="16">
        <f>J86*Nesting!$O$12</f>
        <v>96.88888889</v>
      </c>
      <c r="K110" s="16">
        <f>K86*Nesting!$O$12</f>
        <v>122.6666667</v>
      </c>
      <c r="L110" s="16">
        <f>L86*Nesting!$O$12</f>
        <v>142.2222222</v>
      </c>
      <c r="M110" s="16">
        <f>M86*Nesting!$O$12</f>
        <v>163.5555556</v>
      </c>
    </row>
    <row r="111" ht="14.25" customHeight="1">
      <c r="A111" s="7" t="s">
        <v>525</v>
      </c>
      <c r="B111" s="71">
        <f>Nesting!$E$11</f>
        <v>4.75</v>
      </c>
      <c r="C111" s="7" t="str">
        <f>Nesting!$F$11</f>
        <v>LAC</v>
      </c>
      <c r="D111" s="16">
        <f>D87*Nesting!$G$21</f>
        <v>26.66666667</v>
      </c>
      <c r="E111" s="16">
        <f>E87*Nesting!$G$21</f>
        <v>48.33333333</v>
      </c>
      <c r="F111" s="16">
        <f>F87*Nesting!$G$21</f>
        <v>71.66666667</v>
      </c>
      <c r="G111" s="16">
        <f>G87*Nesting!$G$21</f>
        <v>120</v>
      </c>
      <c r="H111" s="16">
        <f>H87*Nesting!$G$21</f>
        <v>198.3333333</v>
      </c>
      <c r="I111" s="16">
        <f>I87*Nesting!$G$21</f>
        <v>276.6666667</v>
      </c>
      <c r="J111" s="16">
        <f>J87*Nesting!$G$21</f>
        <v>371.6666667</v>
      </c>
      <c r="K111" s="16">
        <f>K87*Nesting!$G$21</f>
        <v>470</v>
      </c>
      <c r="L111" s="16">
        <f>L87*Nesting!$G$21</f>
        <v>536.6666667</v>
      </c>
      <c r="M111" s="16">
        <f>M87*Nesting!$G$21</f>
        <v>621.6666667</v>
      </c>
    </row>
    <row r="112" ht="14.25" customHeight="1">
      <c r="A112" s="5" t="s">
        <v>425</v>
      </c>
      <c r="D112" s="26">
        <f t="shared" ref="D112:M112" si="17">SUM(D104:D111)</f>
        <v>3437.733333</v>
      </c>
      <c r="E112" s="26">
        <f t="shared" si="17"/>
        <v>6116.372222</v>
      </c>
      <c r="F112" s="26">
        <f t="shared" si="17"/>
        <v>10533.07222</v>
      </c>
      <c r="G112" s="26">
        <f t="shared" si="17"/>
        <v>19400.12778</v>
      </c>
      <c r="H112" s="26">
        <f t="shared" si="17"/>
        <v>32904.64444</v>
      </c>
      <c r="I112" s="26">
        <f t="shared" si="17"/>
        <v>46170.26667</v>
      </c>
      <c r="J112" s="26">
        <f t="shared" si="17"/>
        <v>62242.09444</v>
      </c>
      <c r="K112" s="26">
        <f t="shared" si="17"/>
        <v>78794.86111</v>
      </c>
      <c r="L112" s="26">
        <f t="shared" si="17"/>
        <v>89944.04444</v>
      </c>
      <c r="M112" s="26">
        <f t="shared" si="17"/>
        <v>103956.7889</v>
      </c>
    </row>
    <row r="113" ht="14.25" customHeight="1"/>
    <row r="114" ht="14.25" customHeight="1">
      <c r="A114" s="3" t="s">
        <v>733</v>
      </c>
    </row>
    <row r="115" ht="14.25" customHeight="1">
      <c r="A115" s="7" t="s">
        <v>255</v>
      </c>
      <c r="B115" s="71">
        <f>Nesting!$D$26</f>
        <v>0.9</v>
      </c>
      <c r="C115" s="7" t="str">
        <f>Nesting!$E$26</f>
        <v>LAF</v>
      </c>
      <c r="D115" s="65">
        <f>D8/Nesting!$R$26</f>
        <v>19.9</v>
      </c>
      <c r="E115" s="65">
        <f>E8/Nesting!$R$26</f>
        <v>28.55714286</v>
      </c>
      <c r="F115" s="65">
        <f>F8/Nesting!$R$26</f>
        <v>69.11428571</v>
      </c>
      <c r="G115" s="65">
        <f>G8/Nesting!$R$26</f>
        <v>167.4380952</v>
      </c>
      <c r="H115" s="65">
        <f>H8/Nesting!$R$26</f>
        <v>295.7904762</v>
      </c>
      <c r="I115" s="65">
        <f>I8/Nesting!$R$26</f>
        <v>415.7142857</v>
      </c>
      <c r="J115" s="65">
        <f>J8/Nesting!$R$26</f>
        <v>579.4</v>
      </c>
      <c r="K115" s="65">
        <f>K8/Nesting!$R$26</f>
        <v>743.4904762</v>
      </c>
      <c r="L115" s="65">
        <f>L8/Nesting!$R$26</f>
        <v>835.2047619</v>
      </c>
      <c r="M115" s="65">
        <f>M8/Nesting!$R$26</f>
        <v>964.8619048</v>
      </c>
    </row>
    <row r="116" ht="14.25" customHeight="1">
      <c r="A116" s="7" t="s">
        <v>277</v>
      </c>
      <c r="B116" s="71">
        <f>Nesting!$D$27</f>
        <v>0.9</v>
      </c>
      <c r="C116" s="7" t="str">
        <f>Nesting!$E$27</f>
        <v>LAF</v>
      </c>
      <c r="D116" s="65">
        <f>D8/Nesting!$R$27</f>
        <v>24.43859649</v>
      </c>
      <c r="E116" s="65">
        <f>E8/Nesting!$R$27</f>
        <v>35.07017544</v>
      </c>
      <c r="F116" s="65">
        <f>F8/Nesting!$R$27</f>
        <v>84.87719298</v>
      </c>
      <c r="G116" s="65">
        <f>G8/Nesting!$R$27</f>
        <v>205.625731</v>
      </c>
      <c r="H116" s="65">
        <f>H8/Nesting!$R$27</f>
        <v>363.251462</v>
      </c>
      <c r="I116" s="65">
        <f>I8/Nesting!$R$27</f>
        <v>510.5263158</v>
      </c>
      <c r="J116" s="65">
        <f>J8/Nesting!$R$27</f>
        <v>711.5438596</v>
      </c>
      <c r="K116" s="65">
        <f>K8/Nesting!$R$27</f>
        <v>913.0584795</v>
      </c>
      <c r="L116" s="65">
        <f>L8/Nesting!$R$27</f>
        <v>1025.690058</v>
      </c>
      <c r="M116" s="65">
        <f>M8/Nesting!$R$27</f>
        <v>1184.918129</v>
      </c>
    </row>
    <row r="117" ht="14.25" customHeight="1">
      <c r="A117" s="7" t="s">
        <v>408</v>
      </c>
      <c r="B117" s="71">
        <f>Nesting!$D$28</f>
        <v>1.25</v>
      </c>
      <c r="C117" s="7" t="str">
        <f>Nesting!$E$28</f>
        <v>LAF</v>
      </c>
      <c r="D117" s="65">
        <f>D9/Nesting!$R$28</f>
        <v>3.782051282</v>
      </c>
      <c r="E117" s="65">
        <f>E9/Nesting!$R$28</f>
        <v>9.08974359</v>
      </c>
      <c r="F117" s="65">
        <f>F9/Nesting!$R$28</f>
        <v>16.5</v>
      </c>
      <c r="G117" s="65">
        <f>G9/Nesting!$R$28</f>
        <v>32.62820513</v>
      </c>
      <c r="H117" s="65">
        <f>H9/Nesting!$R$28</f>
        <v>54.42307692</v>
      </c>
      <c r="I117" s="65">
        <f>I9/Nesting!$R$28</f>
        <v>77.62820513</v>
      </c>
      <c r="J117" s="65">
        <f>J9/Nesting!$R$28</f>
        <v>103.4102564</v>
      </c>
      <c r="K117" s="65">
        <f>K9/Nesting!$R$28</f>
        <v>131.1282051</v>
      </c>
      <c r="L117" s="65">
        <f>L9/Nesting!$R$28</f>
        <v>153.025641</v>
      </c>
      <c r="M117" s="65">
        <f>M9/Nesting!$R$28</f>
        <v>180.6923077</v>
      </c>
    </row>
    <row r="118" ht="14.25" customHeight="1">
      <c r="A118" s="7" t="s">
        <v>411</v>
      </c>
      <c r="B118" s="71">
        <f>Nesting!$D$29</f>
        <v>1.25</v>
      </c>
      <c r="C118" s="7" t="str">
        <f>Nesting!$E$29</f>
        <v>LAF</v>
      </c>
      <c r="D118" s="65">
        <f>D9/Nesting!$R$29</f>
        <v>2.458333333</v>
      </c>
      <c r="E118" s="65">
        <f>E9/Nesting!$R$29</f>
        <v>5.908333333</v>
      </c>
      <c r="F118" s="65">
        <f>F9/Nesting!$R$29</f>
        <v>10.725</v>
      </c>
      <c r="G118" s="65">
        <f>G9/Nesting!$R$29</f>
        <v>21.20833333</v>
      </c>
      <c r="H118" s="65">
        <f>H9/Nesting!$R$29</f>
        <v>35.375</v>
      </c>
      <c r="I118" s="65">
        <f>I9/Nesting!$R$29</f>
        <v>50.45833333</v>
      </c>
      <c r="J118" s="65">
        <f>J9/Nesting!$R$29</f>
        <v>67.21666667</v>
      </c>
      <c r="K118" s="65">
        <f>K9/Nesting!$R$29</f>
        <v>85.23333333</v>
      </c>
      <c r="L118" s="65">
        <f>L9/Nesting!$R$29</f>
        <v>99.46666667</v>
      </c>
      <c r="M118" s="65">
        <f>M9/Nesting!$R$29</f>
        <v>117.45</v>
      </c>
    </row>
    <row r="119" ht="14.25" customHeight="1">
      <c r="A119" s="7" t="s">
        <v>436</v>
      </c>
      <c r="B119" s="71">
        <f>Nesting!$D$30</f>
        <v>1.6</v>
      </c>
      <c r="C119" s="7" t="str">
        <f>Nesting!$E$30</f>
        <v>LAF</v>
      </c>
      <c r="D119" s="65">
        <f>D10/Nesting!$R$30</f>
        <v>45.12</v>
      </c>
      <c r="E119" s="65">
        <f>E10/Nesting!$R$30</f>
        <v>76.94</v>
      </c>
      <c r="F119" s="65">
        <f>F10/Nesting!$R$30</f>
        <v>131.46</v>
      </c>
      <c r="G119" s="65">
        <f>G10/Nesting!$R$30</f>
        <v>239.5</v>
      </c>
      <c r="H119" s="65">
        <f>H10/Nesting!$R$30</f>
        <v>407.2</v>
      </c>
      <c r="I119" s="65">
        <f>I10/Nesting!$R$30</f>
        <v>568.8</v>
      </c>
      <c r="J119" s="65">
        <f>J10/Nesting!$R$30</f>
        <v>768.74</v>
      </c>
      <c r="K119" s="65">
        <f>K10/Nesting!$R$30</f>
        <v>973.02</v>
      </c>
      <c r="L119" s="65">
        <f>L10/Nesting!$R$30</f>
        <v>1106.08</v>
      </c>
      <c r="M119" s="65">
        <f>M10/Nesting!$R$30</f>
        <v>1273.32</v>
      </c>
    </row>
    <row r="120" ht="14.25" customHeight="1">
      <c r="A120" s="7" t="s">
        <v>438</v>
      </c>
      <c r="B120" s="71">
        <f>Nesting!$D$31</f>
        <v>1.6</v>
      </c>
      <c r="C120" s="7" t="str">
        <f>Nesting!$E$31</f>
        <v>LAF</v>
      </c>
      <c r="D120" s="65">
        <f>D10/Nesting!$R$31</f>
        <v>41.01818182</v>
      </c>
      <c r="E120" s="65">
        <f>E10/Nesting!$R$31</f>
        <v>69.94545455</v>
      </c>
      <c r="F120" s="65">
        <f>F10/Nesting!$R$31</f>
        <v>119.5090909</v>
      </c>
      <c r="G120" s="65">
        <f>G10/Nesting!$R$31</f>
        <v>217.7272727</v>
      </c>
      <c r="H120" s="65">
        <f>H10/Nesting!$R$31</f>
        <v>370.1818182</v>
      </c>
      <c r="I120" s="65">
        <f>I10/Nesting!$R$31</f>
        <v>517.0909091</v>
      </c>
      <c r="J120" s="65">
        <f>J10/Nesting!$R$31</f>
        <v>698.8545455</v>
      </c>
      <c r="K120" s="65">
        <f>K10/Nesting!$R$31</f>
        <v>884.5636364</v>
      </c>
      <c r="L120" s="65">
        <f>L10/Nesting!$R$31</f>
        <v>1005.527273</v>
      </c>
      <c r="M120" s="65">
        <f>M10/Nesting!$R$31</f>
        <v>1157.563636</v>
      </c>
    </row>
    <row r="121" ht="14.25" customHeight="1">
      <c r="A121" s="7" t="s">
        <v>485</v>
      </c>
      <c r="B121" s="71">
        <f>Nesting!$D$32</f>
        <v>2</v>
      </c>
      <c r="C121" s="7" t="str">
        <f>Nesting!$E$32</f>
        <v>LAF</v>
      </c>
      <c r="D121" s="65">
        <f>D11/Nesting!$R$32</f>
        <v>1.672727273</v>
      </c>
      <c r="E121" s="65">
        <f>E11/Nesting!$R$32</f>
        <v>3.218181818</v>
      </c>
      <c r="F121" s="65">
        <f>F11/Nesting!$R$32</f>
        <v>6.236363636</v>
      </c>
      <c r="G121" s="65">
        <f>G11/Nesting!$R$32</f>
        <v>12.23636364</v>
      </c>
      <c r="H121" s="65">
        <f>H11/Nesting!$R$32</f>
        <v>21.56363636</v>
      </c>
      <c r="I121" s="65">
        <f>I11/Nesting!$R$32</f>
        <v>31.23636364</v>
      </c>
      <c r="J121" s="65">
        <f>J11/Nesting!$R$32</f>
        <v>42.21818182</v>
      </c>
      <c r="K121" s="65">
        <f>K11/Nesting!$R$32</f>
        <v>53.45454545</v>
      </c>
      <c r="L121" s="65">
        <f>L11/Nesting!$R$32</f>
        <v>60.78181818</v>
      </c>
      <c r="M121" s="65">
        <f>M11/Nesting!$R$32</f>
        <v>70.03636364</v>
      </c>
    </row>
    <row r="122" ht="14.25" customHeight="1">
      <c r="A122" s="7" t="s">
        <v>486</v>
      </c>
      <c r="B122" s="71">
        <f>Nesting!$D$33</f>
        <v>2</v>
      </c>
      <c r="C122" s="7" t="str">
        <f>Nesting!$E$33</f>
        <v>LAF</v>
      </c>
      <c r="D122" s="65">
        <f>D11/Nesting!$R$33</f>
        <v>0.9387755102</v>
      </c>
      <c r="E122" s="65">
        <f>E11/Nesting!$R$33</f>
        <v>1.806122449</v>
      </c>
      <c r="F122" s="65">
        <f>F11/Nesting!$R$33</f>
        <v>3.5</v>
      </c>
      <c r="G122" s="65">
        <f>G11/Nesting!$R$33</f>
        <v>6.867346939</v>
      </c>
      <c r="H122" s="65">
        <f>H11/Nesting!$R$33</f>
        <v>12.10204082</v>
      </c>
      <c r="I122" s="65">
        <f>I11/Nesting!$R$33</f>
        <v>17.53061224</v>
      </c>
      <c r="J122" s="65">
        <f>J11/Nesting!$R$33</f>
        <v>23.69387755</v>
      </c>
      <c r="K122" s="65">
        <f>K11/Nesting!$R$33</f>
        <v>30</v>
      </c>
      <c r="L122" s="65">
        <f>L11/Nesting!$R$33</f>
        <v>34.1122449</v>
      </c>
      <c r="M122" s="65">
        <f>M11/Nesting!$R$33</f>
        <v>39.30612245</v>
      </c>
    </row>
    <row r="123" ht="14.25" customHeight="1">
      <c r="A123" s="5" t="s">
        <v>425</v>
      </c>
      <c r="D123" s="73">
        <f t="shared" ref="D123:M123" si="18">SUM(D115:D122)</f>
        <v>139.3286657</v>
      </c>
      <c r="E123" s="73">
        <f t="shared" si="18"/>
        <v>230.535154</v>
      </c>
      <c r="F123" s="73">
        <f t="shared" si="18"/>
        <v>441.9219332</v>
      </c>
      <c r="G123" s="73">
        <f t="shared" si="18"/>
        <v>903.231348</v>
      </c>
      <c r="H123" s="73">
        <f t="shared" si="18"/>
        <v>1559.88751</v>
      </c>
      <c r="I123" s="73">
        <f t="shared" si="18"/>
        <v>2188.985025</v>
      </c>
      <c r="J123" s="73">
        <f t="shared" si="18"/>
        <v>2995.077388</v>
      </c>
      <c r="K123" s="73">
        <f t="shared" si="18"/>
        <v>3813.948676</v>
      </c>
      <c r="L123" s="73">
        <f t="shared" si="18"/>
        <v>4319.888464</v>
      </c>
      <c r="M123" s="73">
        <f t="shared" si="18"/>
        <v>4988.148464</v>
      </c>
    </row>
    <row r="124" ht="14.25" customHeight="1"/>
    <row r="125" ht="14.25" customHeight="1">
      <c r="A125" s="3" t="s">
        <v>740</v>
      </c>
      <c r="N125" s="72" t="s">
        <v>430</v>
      </c>
    </row>
    <row r="126" ht="14.25" customHeight="1">
      <c r="A126" s="7" t="s">
        <v>255</v>
      </c>
      <c r="B126" s="71">
        <f>Nesting!$D$26</f>
        <v>0.9</v>
      </c>
      <c r="C126" s="7" t="str">
        <f>Nesting!$E$26</f>
        <v>LAF</v>
      </c>
      <c r="D126" s="65">
        <f>D115*Nesting!$T$26/1000</f>
        <v>0.4195850206</v>
      </c>
      <c r="E126" s="65">
        <f>E115*Nesting!$T$26/1000</f>
        <v>0.6021180589</v>
      </c>
      <c r="F126" s="65">
        <f>F115*Nesting!$T$26/1000</f>
        <v>1.457252211</v>
      </c>
      <c r="G126" s="65">
        <f>G115*Nesting!$T$26/1000</f>
        <v>3.53037772</v>
      </c>
      <c r="H126" s="65">
        <f>H115*Nesting!$T$26/1000</f>
        <v>6.236645881</v>
      </c>
      <c r="I126" s="65">
        <f>I115*Nesting!$T$26/1000</f>
        <v>8.765200358</v>
      </c>
      <c r="J126" s="65">
        <f>J115*Nesting!$T$26/1000</f>
        <v>12.21646035</v>
      </c>
      <c r="K126" s="65">
        <f>K115*Nesting!$T$26/1000</f>
        <v>15.67625461</v>
      </c>
      <c r="L126" s="65">
        <f>L115*Nesting!$T$26/1000</f>
        <v>17.61002046</v>
      </c>
      <c r="M126" s="65">
        <f>M115*Nesting!$T$26/1000</f>
        <v>20.3437991</v>
      </c>
      <c r="N126" s="20">
        <f t="array" ref="N126">INDEX(Supuestos!$C$84:$C$89,MATCH($B126,Supuestos!$A$84:$A$89,0))</f>
        <v>1.3561</v>
      </c>
    </row>
    <row r="127" ht="14.25" customHeight="1">
      <c r="A127" s="7" t="s">
        <v>277</v>
      </c>
      <c r="B127" s="71">
        <f>Nesting!$D$27</f>
        <v>0.9</v>
      </c>
      <c r="C127" s="7" t="str">
        <f>Nesting!$E$27</f>
        <v>LAF</v>
      </c>
      <c r="D127" s="65">
        <f>D116*Nesting!$T$27/1000</f>
        <v>0.3461971579</v>
      </c>
      <c r="E127" s="65">
        <f>E116*Nesting!$T$27/1000</f>
        <v>0.4968041053</v>
      </c>
      <c r="F127" s="65">
        <f>F116*Nesting!$T$27/1000</f>
        <v>1.202370316</v>
      </c>
      <c r="G127" s="65">
        <f>G116*Nesting!$T$27/1000</f>
        <v>2.912894105</v>
      </c>
      <c r="H127" s="65">
        <f>H116*Nesting!$T$27/1000</f>
        <v>5.145820211</v>
      </c>
      <c r="I127" s="65">
        <f>I116*Nesting!$T$27/1000</f>
        <v>7.232115789</v>
      </c>
      <c r="J127" s="65">
        <f>J116*Nesting!$T$27/1000</f>
        <v>10.07973032</v>
      </c>
      <c r="K127" s="65">
        <f>K116*Nesting!$T$27/1000</f>
        <v>12.93438642</v>
      </c>
      <c r="L127" s="65">
        <f>L116*Nesting!$T$27/1000</f>
        <v>14.52992537</v>
      </c>
      <c r="M127" s="65">
        <f>M116*Nesting!$T$27/1000</f>
        <v>16.78555021</v>
      </c>
      <c r="N127" s="20">
        <f t="array" ref="N127">INDEX(Supuestos!$C$84:$C$89,MATCH($B127,Supuestos!$A$84:$A$89,0))</f>
        <v>1.3561</v>
      </c>
    </row>
    <row r="128" ht="14.25" customHeight="1">
      <c r="A128" s="7" t="s">
        <v>408</v>
      </c>
      <c r="B128" s="71">
        <f>Nesting!$D$28</f>
        <v>1.25</v>
      </c>
      <c r="C128" s="7" t="str">
        <f>Nesting!$E$28</f>
        <v>LAF</v>
      </c>
      <c r="D128" s="65">
        <f>D117*Nesting!$T$28/1000</f>
        <v>0.1107546109</v>
      </c>
      <c r="E128" s="65">
        <f>E117*Nesting!$T$28/1000</f>
        <v>0.2661865055</v>
      </c>
      <c r="F128" s="65">
        <f>F117*Nesting!$T$28/1000</f>
        <v>0.483190455</v>
      </c>
      <c r="G128" s="65">
        <f>G117*Nesting!$T$28/1000</f>
        <v>0.9554931686</v>
      </c>
      <c r="H128" s="65">
        <f>H117*Nesting!$T$28/1000</f>
        <v>1.593740079</v>
      </c>
      <c r="I128" s="65">
        <f>I117*Nesting!$T$28/1000</f>
        <v>2.273285319</v>
      </c>
      <c r="J128" s="65">
        <f>J117*Nesting!$T$28/1000</f>
        <v>3.028293869</v>
      </c>
      <c r="K128" s="65">
        <f>K117*Nesting!$T$28/1000</f>
        <v>3.839993764</v>
      </c>
      <c r="L128" s="65">
        <f>L117*Nesting!$T$28/1000</f>
        <v>4.481244189</v>
      </c>
      <c r="M128" s="65">
        <f>M117*Nesting!$T$28/1000</f>
        <v>5.291442325</v>
      </c>
      <c r="N128" s="20">
        <f t="array" ref="N128">INDEX(Supuestos!$C$84:$C$89,MATCH($B128,Supuestos!$A$84:$A$89,0))</f>
        <v>1.290297735</v>
      </c>
    </row>
    <row r="129" ht="14.25" customHeight="1">
      <c r="A129" s="7" t="s">
        <v>411</v>
      </c>
      <c r="B129" s="71">
        <f>Nesting!$D$29</f>
        <v>1.25</v>
      </c>
      <c r="C129" s="7" t="str">
        <f>Nesting!$E$29</f>
        <v>LAF</v>
      </c>
      <c r="D129" s="65">
        <f>D118*Nesting!$T$29/1000</f>
        <v>0.07199049708</v>
      </c>
      <c r="E129" s="65">
        <f>E118*Nesting!$T$29/1000</f>
        <v>0.1730212286</v>
      </c>
      <c r="F129" s="65">
        <f>F118*Nesting!$T$29/1000</f>
        <v>0.3140737958</v>
      </c>
      <c r="G129" s="65">
        <f>G118*Nesting!$T$29/1000</f>
        <v>0.6210705596</v>
      </c>
      <c r="H129" s="65">
        <f>H118*Nesting!$T$29/1000</f>
        <v>1.035931051</v>
      </c>
      <c r="I129" s="65">
        <f>I118*Nesting!$T$29/1000</f>
        <v>1.477635457</v>
      </c>
      <c r="J129" s="65">
        <f>J118*Nesting!$T$29/1000</f>
        <v>1.968391015</v>
      </c>
      <c r="K129" s="65">
        <f>K118*Nesting!$T$29/1000</f>
        <v>2.495995946</v>
      </c>
      <c r="L129" s="65">
        <f>L118*Nesting!$T$29/1000</f>
        <v>2.912808723</v>
      </c>
      <c r="M129" s="65">
        <f>M118*Nesting!$T$29/1000</f>
        <v>3.439437512</v>
      </c>
      <c r="N129" s="20">
        <f t="array" ref="N129">INDEX(Supuestos!$C$84:$C$89,MATCH($B129,Supuestos!$A$84:$A$89,0))</f>
        <v>1.290297735</v>
      </c>
    </row>
    <row r="130" ht="14.25" customHeight="1">
      <c r="A130" s="7" t="s">
        <v>436</v>
      </c>
      <c r="B130" s="71">
        <f>Nesting!$D$30</f>
        <v>1.6</v>
      </c>
      <c r="C130" s="7" t="str">
        <f>Nesting!$E$30</f>
        <v>LAF</v>
      </c>
      <c r="D130" s="65">
        <f>D119*Nesting!$T$30/1000</f>
        <v>1.691272016</v>
      </c>
      <c r="E130" s="65">
        <f>E119*Nesting!$T$30/1000</f>
        <v>2.884008619</v>
      </c>
      <c r="F130" s="65">
        <f>F119*Nesting!$T$30/1000</f>
        <v>4.927628972</v>
      </c>
      <c r="G130" s="65">
        <f>G119*Nesting!$T$30/1000</f>
        <v>8.977385811</v>
      </c>
      <c r="H130" s="65">
        <f>H119*Nesting!$T$30/1000</f>
        <v>15.26343007</v>
      </c>
      <c r="I130" s="65">
        <f>I119*Nesting!$T$30/1000</f>
        <v>21.32082275</v>
      </c>
      <c r="J130" s="65">
        <f>J119*Nesting!$T$30/1000</f>
        <v>28.81534684</v>
      </c>
      <c r="K130" s="65">
        <f>K119*Nesting!$T$30/1000</f>
        <v>36.47255091</v>
      </c>
      <c r="L130" s="65">
        <f>L119*Nesting!$T$30/1000</f>
        <v>41.46015406</v>
      </c>
      <c r="M130" s="65">
        <f>M119*Nesting!$T$30/1000</f>
        <v>47.72895575</v>
      </c>
      <c r="N130" s="20">
        <f t="array" ref="N130">INDEX(Supuestos!$C$84:$C$89,MATCH($B130,Supuestos!$A$84:$A$89,0))</f>
        <v>1.327521036</v>
      </c>
    </row>
    <row r="131" ht="14.25" customHeight="1">
      <c r="A131" s="7" t="s">
        <v>438</v>
      </c>
      <c r="B131" s="71">
        <f>Nesting!$D$31</f>
        <v>1.6</v>
      </c>
      <c r="C131" s="7" t="str">
        <f>Nesting!$E$31</f>
        <v>LAF</v>
      </c>
      <c r="D131" s="65">
        <f>D120*Nesting!$T$31/1000</f>
        <v>1.033001891</v>
      </c>
      <c r="E131" s="65">
        <f>E120*Nesting!$T$31/1000</f>
        <v>1.761506327</v>
      </c>
      <c r="F131" s="65">
        <f>F120*Nesting!$T$31/1000</f>
        <v>3.009716945</v>
      </c>
      <c r="G131" s="65">
        <f>G120*Nesting!$T$31/1000</f>
        <v>5.483243636</v>
      </c>
      <c r="H131" s="65">
        <f>H120*Nesting!$T$31/1000</f>
        <v>9.322658909</v>
      </c>
      <c r="I131" s="65">
        <f>I120*Nesting!$T$31/1000</f>
        <v>13.02241745</v>
      </c>
      <c r="J131" s="65">
        <f>J120*Nesting!$T$31/1000</f>
        <v>17.59995287</v>
      </c>
      <c r="K131" s="65">
        <f>K120*Nesting!$T$31/1000</f>
        <v>22.27685062</v>
      </c>
      <c r="L131" s="65">
        <f>L120*Nesting!$T$31/1000</f>
        <v>25.32319884</v>
      </c>
      <c r="M131" s="65">
        <f>M120*Nesting!$T$31/1000</f>
        <v>29.15208262</v>
      </c>
      <c r="N131" s="20">
        <f t="array" ref="N131">INDEX(Supuestos!$C$84:$C$89,MATCH($B131,Supuestos!$A$84:$A$89,0))</f>
        <v>1.327521036</v>
      </c>
    </row>
    <row r="132" ht="14.25" customHeight="1">
      <c r="A132" s="7" t="s">
        <v>485</v>
      </c>
      <c r="B132" s="71">
        <f>Nesting!$D$32</f>
        <v>2</v>
      </c>
      <c r="C132" s="7" t="str">
        <f>Nesting!$E$32</f>
        <v>LAF</v>
      </c>
      <c r="D132" s="65">
        <f>D121*Nesting!$T$32/1000</f>
        <v>0.1184792727</v>
      </c>
      <c r="E132" s="65">
        <f>E121*Nesting!$T$32/1000</f>
        <v>0.2279438182</v>
      </c>
      <c r="F132" s="65">
        <f>F121*Nesting!$T$32/1000</f>
        <v>0.4417216364</v>
      </c>
      <c r="G132" s="65">
        <f>G121*Nesting!$T$32/1000</f>
        <v>0.8667016364</v>
      </c>
      <c r="H132" s="65">
        <f>H121*Nesting!$T$32/1000</f>
        <v>1.527352364</v>
      </c>
      <c r="I132" s="65">
        <f>I121*Nesting!$T$32/1000</f>
        <v>2.212471636</v>
      </c>
      <c r="J132" s="65">
        <f>J121*Nesting!$T$32/1000</f>
        <v>2.990313818</v>
      </c>
      <c r="K132" s="65">
        <f>K121*Nesting!$T$32/1000</f>
        <v>3.786185455</v>
      </c>
      <c r="L132" s="65">
        <f>L121*Nesting!$T$32/1000</f>
        <v>4.305176182</v>
      </c>
      <c r="M132" s="65">
        <f>M121*Nesting!$T$32/1000</f>
        <v>4.960675636</v>
      </c>
      <c r="N132" s="20">
        <f t="array" ref="N132">INDEX(Supuestos!$C$84:$C$89,MATCH($B132,Supuestos!$A$84:$A$89,0))</f>
        <v>1.280401294</v>
      </c>
    </row>
    <row r="133" ht="14.25" customHeight="1">
      <c r="A133" s="7" t="s">
        <v>486</v>
      </c>
      <c r="B133" s="71">
        <f>Nesting!$D$33</f>
        <v>2</v>
      </c>
      <c r="C133" s="7" t="str">
        <f>Nesting!$E$33</f>
        <v>LAF</v>
      </c>
      <c r="D133" s="65">
        <f>D122*Nesting!$T$33/1000</f>
        <v>0.06649346939</v>
      </c>
      <c r="E133" s="65">
        <f>E122*Nesting!$T$33/1000</f>
        <v>0.1279276531</v>
      </c>
      <c r="F133" s="65">
        <f>F122*Nesting!$T$33/1000</f>
        <v>0.247905</v>
      </c>
      <c r="G133" s="65">
        <f>G122*Nesting!$T$33/1000</f>
        <v>0.4864141837</v>
      </c>
      <c r="H133" s="65">
        <f>H122*Nesting!$T$33/1000</f>
        <v>0.857187551</v>
      </c>
      <c r="I133" s="65">
        <f>I122*Nesting!$T$33/1000</f>
        <v>1.241693265</v>
      </c>
      <c r="J133" s="65">
        <f>J122*Nesting!$T$33/1000</f>
        <v>1.678237347</v>
      </c>
      <c r="K133" s="65">
        <f>K122*Nesting!$T$33/1000</f>
        <v>2.1249</v>
      </c>
      <c r="L133" s="65">
        <f>L122*Nesting!$T$33/1000</f>
        <v>2.416170306</v>
      </c>
      <c r="M133" s="65">
        <f>M122*Nesting!$T$33/1000</f>
        <v>2.784052653</v>
      </c>
      <c r="N133" s="20">
        <f t="array" ref="N133">INDEX(Supuestos!$C$84:$C$89,MATCH($B133,Supuestos!$A$84:$A$89,0))</f>
        <v>1.280401294</v>
      </c>
    </row>
    <row r="134" ht="14.25" customHeight="1">
      <c r="A134" s="5" t="s">
        <v>425</v>
      </c>
      <c r="D134" s="73">
        <f t="shared" ref="D134:M134" si="19">SUM(D126:D133)</f>
        <v>3.857773935</v>
      </c>
      <c r="E134" s="73">
        <f t="shared" si="19"/>
        <v>6.539516316</v>
      </c>
      <c r="F134" s="73">
        <f t="shared" si="19"/>
        <v>12.08385933</v>
      </c>
      <c r="G134" s="73">
        <f t="shared" si="19"/>
        <v>23.83358082</v>
      </c>
      <c r="H134" s="73">
        <f t="shared" si="19"/>
        <v>40.98276612</v>
      </c>
      <c r="I134" s="73">
        <f t="shared" si="19"/>
        <v>57.54564203</v>
      </c>
      <c r="J134" s="73">
        <f t="shared" si="19"/>
        <v>78.37672643</v>
      </c>
      <c r="K134" s="73">
        <f t="shared" si="19"/>
        <v>99.60711772</v>
      </c>
      <c r="L134" s="73">
        <f t="shared" si="19"/>
        <v>113.0386981</v>
      </c>
      <c r="M134" s="73">
        <f t="shared" si="19"/>
        <v>130.4859958</v>
      </c>
    </row>
    <row r="135" ht="14.25" customHeight="1"/>
    <row r="136" ht="14.25" customHeight="1">
      <c r="A136" s="3" t="s">
        <v>748</v>
      </c>
    </row>
    <row r="137" ht="14.25" customHeight="1">
      <c r="A137" s="7" t="s">
        <v>255</v>
      </c>
      <c r="B137" s="71">
        <f>Nesting!$D$26</f>
        <v>0.9</v>
      </c>
      <c r="C137" s="7" t="str">
        <f>Nesting!$E$26</f>
        <v>LAF</v>
      </c>
      <c r="D137" s="16">
        <f>D8/Nesting!$V$26</f>
        <v>199</v>
      </c>
      <c r="E137" s="16">
        <f>E8/Nesting!$V$26</f>
        <v>285.5714286</v>
      </c>
      <c r="F137" s="16">
        <f>F8/Nesting!$V$26</f>
        <v>691.1428571</v>
      </c>
      <c r="G137" s="16">
        <f>G8/Nesting!$V$26</f>
        <v>1674.380952</v>
      </c>
      <c r="H137" s="16">
        <f>H8/Nesting!$V$26</f>
        <v>2957.904762</v>
      </c>
      <c r="I137" s="16">
        <f>I8/Nesting!$V$26</f>
        <v>4157.142857</v>
      </c>
      <c r="J137" s="16">
        <f>J8/Nesting!$V$26</f>
        <v>5794</v>
      </c>
      <c r="K137" s="16">
        <f>K8/Nesting!$V$26</f>
        <v>7434.904762</v>
      </c>
      <c r="L137" s="16">
        <f>L8/Nesting!$V$26</f>
        <v>8352.047619</v>
      </c>
      <c r="M137" s="16">
        <f>M8/Nesting!$V$26</f>
        <v>9648.619048</v>
      </c>
    </row>
    <row r="138" ht="14.25" customHeight="1">
      <c r="A138" s="7" t="s">
        <v>277</v>
      </c>
      <c r="B138" s="71">
        <f>Nesting!$D$27</f>
        <v>0.9</v>
      </c>
      <c r="C138" s="7" t="str">
        <f>Nesting!$E$27</f>
        <v>LAF</v>
      </c>
      <c r="D138" s="16">
        <f>D8/Nesting!$V$27</f>
        <v>219.9473684</v>
      </c>
      <c r="E138" s="16">
        <f>E8/Nesting!$V$27</f>
        <v>315.6315789</v>
      </c>
      <c r="F138" s="16">
        <f>F8/Nesting!$V$27</f>
        <v>763.8947368</v>
      </c>
      <c r="G138" s="16">
        <f>G8/Nesting!$V$27</f>
        <v>1850.631579</v>
      </c>
      <c r="H138" s="16">
        <f>H8/Nesting!$V$27</f>
        <v>3269.263158</v>
      </c>
      <c r="I138" s="16">
        <f>I8/Nesting!$V$27</f>
        <v>4594.736842</v>
      </c>
      <c r="J138" s="16">
        <f>J8/Nesting!$V$27</f>
        <v>6403.894737</v>
      </c>
      <c r="K138" s="16">
        <f>K8/Nesting!$V$27</f>
        <v>8217.526316</v>
      </c>
      <c r="L138" s="16">
        <f>L8/Nesting!$V$27</f>
        <v>9231.210526</v>
      </c>
      <c r="M138" s="16">
        <f>M8/Nesting!$V$27</f>
        <v>10664.26316</v>
      </c>
    </row>
    <row r="139" ht="14.25" customHeight="1">
      <c r="A139" s="7" t="s">
        <v>408</v>
      </c>
      <c r="B139" s="71">
        <f>Nesting!$D$28</f>
        <v>1.25</v>
      </c>
      <c r="C139" s="7" t="str">
        <f>Nesting!$E$28</f>
        <v>LAF</v>
      </c>
      <c r="D139" s="16">
        <f>D9/Nesting!$V$28</f>
        <v>22.69230769</v>
      </c>
      <c r="E139" s="16">
        <f>E9/Nesting!$V$28</f>
        <v>54.53846154</v>
      </c>
      <c r="F139" s="16">
        <f>F9/Nesting!$V$28</f>
        <v>99</v>
      </c>
      <c r="G139" s="16">
        <f>G9/Nesting!$V$28</f>
        <v>195.7692308</v>
      </c>
      <c r="H139" s="16">
        <f>H9/Nesting!$V$28</f>
        <v>326.5384615</v>
      </c>
      <c r="I139" s="16">
        <f>I9/Nesting!$V$28</f>
        <v>465.7692308</v>
      </c>
      <c r="J139" s="16">
        <f>J9/Nesting!$V$28</f>
        <v>620.4615385</v>
      </c>
      <c r="K139" s="16">
        <f>K9/Nesting!$V$28</f>
        <v>786.7692308</v>
      </c>
      <c r="L139" s="16">
        <f>L9/Nesting!$V$28</f>
        <v>918.1538462</v>
      </c>
      <c r="M139" s="16">
        <f>M9/Nesting!$V$28</f>
        <v>1084.153846</v>
      </c>
    </row>
    <row r="140" ht="14.25" customHeight="1">
      <c r="A140" s="7" t="s">
        <v>411</v>
      </c>
      <c r="B140" s="71">
        <f>Nesting!$D$29</f>
        <v>1.25</v>
      </c>
      <c r="C140" s="7" t="str">
        <f>Nesting!$E$29</f>
        <v>LAF</v>
      </c>
      <c r="D140" s="16">
        <f>D9/Nesting!$V$29</f>
        <v>36.875</v>
      </c>
      <c r="E140" s="16">
        <f>E9/Nesting!$V$29</f>
        <v>88.625</v>
      </c>
      <c r="F140" s="16">
        <f>F9/Nesting!$V$29</f>
        <v>160.875</v>
      </c>
      <c r="G140" s="16">
        <f>G9/Nesting!$V$29</f>
        <v>318.125</v>
      </c>
      <c r="H140" s="16">
        <f>H9/Nesting!$V$29</f>
        <v>530.625</v>
      </c>
      <c r="I140" s="16">
        <f>I9/Nesting!$V$29</f>
        <v>756.875</v>
      </c>
      <c r="J140" s="16">
        <f>J9/Nesting!$V$29</f>
        <v>1008.25</v>
      </c>
      <c r="K140" s="16">
        <f>K9/Nesting!$V$29</f>
        <v>1278.5</v>
      </c>
      <c r="L140" s="16">
        <f>L9/Nesting!$V$29</f>
        <v>1492</v>
      </c>
      <c r="M140" s="16">
        <f>M9/Nesting!$V$29</f>
        <v>1761.75</v>
      </c>
    </row>
    <row r="141" ht="14.25" customHeight="1">
      <c r="A141" s="7" t="s">
        <v>436</v>
      </c>
      <c r="B141" s="71">
        <f>Nesting!$D$30</f>
        <v>1.6</v>
      </c>
      <c r="C141" s="7" t="str">
        <f>Nesting!$E$30</f>
        <v>LAF</v>
      </c>
      <c r="D141" s="16">
        <f>D10/Nesting!$V$30</f>
        <v>225.6</v>
      </c>
      <c r="E141" s="16">
        <f>E10/Nesting!$V$30</f>
        <v>384.7</v>
      </c>
      <c r="F141" s="16">
        <f>F10/Nesting!$V$30</f>
        <v>657.3</v>
      </c>
      <c r="G141" s="16">
        <f>G10/Nesting!$V$30</f>
        <v>1197.5</v>
      </c>
      <c r="H141" s="16">
        <f>H10/Nesting!$V$30</f>
        <v>2036</v>
      </c>
      <c r="I141" s="16">
        <f>I10/Nesting!$V$30</f>
        <v>2844</v>
      </c>
      <c r="J141" s="16">
        <f>J10/Nesting!$V$30</f>
        <v>3843.7</v>
      </c>
      <c r="K141" s="16">
        <f>K10/Nesting!$V$30</f>
        <v>4865.1</v>
      </c>
      <c r="L141" s="16">
        <f>L10/Nesting!$V$30</f>
        <v>5530.4</v>
      </c>
      <c r="M141" s="16">
        <f>M10/Nesting!$V$30</f>
        <v>6366.6</v>
      </c>
    </row>
    <row r="142" ht="14.25" customHeight="1">
      <c r="A142" s="7" t="s">
        <v>438</v>
      </c>
      <c r="B142" s="71">
        <f>Nesting!$D$31</f>
        <v>1.6</v>
      </c>
      <c r="C142" s="7" t="str">
        <f>Nesting!$E$31</f>
        <v>LAF</v>
      </c>
      <c r="D142" s="16">
        <f>D10/Nesting!$V$31</f>
        <v>205.0909091</v>
      </c>
      <c r="E142" s="16">
        <f>E10/Nesting!$V$31</f>
        <v>349.7272727</v>
      </c>
      <c r="F142" s="16">
        <f>F10/Nesting!$V$31</f>
        <v>597.5454545</v>
      </c>
      <c r="G142" s="16">
        <f>G10/Nesting!$V$31</f>
        <v>1088.636364</v>
      </c>
      <c r="H142" s="16">
        <f>H10/Nesting!$V$31</f>
        <v>1850.909091</v>
      </c>
      <c r="I142" s="16">
        <f>I10/Nesting!$V$31</f>
        <v>2585.454545</v>
      </c>
      <c r="J142" s="16">
        <f>J10/Nesting!$V$31</f>
        <v>3494.272727</v>
      </c>
      <c r="K142" s="16">
        <f>K10/Nesting!$V$31</f>
        <v>4422.818182</v>
      </c>
      <c r="L142" s="16">
        <f>L10/Nesting!$V$31</f>
        <v>5027.636364</v>
      </c>
      <c r="M142" s="16">
        <f>M10/Nesting!$V$31</f>
        <v>5787.818182</v>
      </c>
    </row>
    <row r="143" ht="14.25" customHeight="1">
      <c r="A143" s="7" t="s">
        <v>485</v>
      </c>
      <c r="B143" s="71">
        <f>Nesting!$D$32</f>
        <v>2</v>
      </c>
      <c r="C143" s="7" t="str">
        <f>Nesting!$E$32</f>
        <v>LAF</v>
      </c>
      <c r="D143" s="16">
        <f>D11/Nesting!$V$32</f>
        <v>8.363636364</v>
      </c>
      <c r="E143" s="16">
        <f>E11/Nesting!$V$32</f>
        <v>16.09090909</v>
      </c>
      <c r="F143" s="16">
        <f>F11/Nesting!$V$32</f>
        <v>31.18181818</v>
      </c>
      <c r="G143" s="16">
        <f>G11/Nesting!$V$32</f>
        <v>61.18181818</v>
      </c>
      <c r="H143" s="16">
        <f>H11/Nesting!$V$32</f>
        <v>107.8181818</v>
      </c>
      <c r="I143" s="16">
        <f>I11/Nesting!$V$32</f>
        <v>156.1818182</v>
      </c>
      <c r="J143" s="16">
        <f>J11/Nesting!$V$32</f>
        <v>211.0909091</v>
      </c>
      <c r="K143" s="16">
        <f>K11/Nesting!$V$32</f>
        <v>267.2727273</v>
      </c>
      <c r="L143" s="16">
        <f>L11/Nesting!$V$32</f>
        <v>303.9090909</v>
      </c>
      <c r="M143" s="16">
        <f>M11/Nesting!$V$32</f>
        <v>350.1818182</v>
      </c>
    </row>
    <row r="144" ht="14.25" customHeight="1">
      <c r="A144" s="7" t="s">
        <v>486</v>
      </c>
      <c r="B144" s="71">
        <f>Nesting!$D$33</f>
        <v>2</v>
      </c>
      <c r="C144" s="7" t="str">
        <f>Nesting!$E$33</f>
        <v>LAF</v>
      </c>
      <c r="D144" s="16">
        <f>D11/Nesting!$V$33</f>
        <v>6.571428571</v>
      </c>
      <c r="E144" s="16">
        <f>E11/Nesting!$V$33</f>
        <v>12.64285714</v>
      </c>
      <c r="F144" s="16">
        <f>F11/Nesting!$V$33</f>
        <v>24.5</v>
      </c>
      <c r="G144" s="16">
        <f>G11/Nesting!$V$33</f>
        <v>48.07142857</v>
      </c>
      <c r="H144" s="16">
        <f>H11/Nesting!$V$33</f>
        <v>84.71428571</v>
      </c>
      <c r="I144" s="16">
        <f>I11/Nesting!$V$33</f>
        <v>122.7142857</v>
      </c>
      <c r="J144" s="16">
        <f>J11/Nesting!$V$33</f>
        <v>165.8571429</v>
      </c>
      <c r="K144" s="16">
        <f>K11/Nesting!$V$33</f>
        <v>210</v>
      </c>
      <c r="L144" s="16">
        <f>L11/Nesting!$V$33</f>
        <v>238.7857143</v>
      </c>
      <c r="M144" s="16">
        <f>M11/Nesting!$V$33</f>
        <v>275.1428571</v>
      </c>
    </row>
    <row r="145" ht="14.25" customHeight="1">
      <c r="A145" s="5" t="s">
        <v>425</v>
      </c>
      <c r="D145" s="26">
        <f t="shared" ref="D145:M145" si="20">SUM(D137:D144)</f>
        <v>924.1406501</v>
      </c>
      <c r="E145" s="26">
        <f t="shared" si="20"/>
        <v>1507.527508</v>
      </c>
      <c r="F145" s="26">
        <f t="shared" si="20"/>
        <v>3025.439867</v>
      </c>
      <c r="G145" s="26">
        <f t="shared" si="20"/>
        <v>6434.296372</v>
      </c>
      <c r="H145" s="26">
        <f t="shared" si="20"/>
        <v>11163.77294</v>
      </c>
      <c r="I145" s="26">
        <f t="shared" si="20"/>
        <v>15682.87458</v>
      </c>
      <c r="J145" s="26">
        <f t="shared" si="20"/>
        <v>21541.52705</v>
      </c>
      <c r="K145" s="26">
        <f t="shared" si="20"/>
        <v>27482.89122</v>
      </c>
      <c r="L145" s="26">
        <f t="shared" si="20"/>
        <v>31094.14316</v>
      </c>
      <c r="M145" s="26">
        <f t="shared" si="20"/>
        <v>35938.52891</v>
      </c>
    </row>
    <row r="146" ht="14.25" customHeight="1"/>
    <row r="147" ht="14.25" customHeight="1">
      <c r="A147" s="3" t="s">
        <v>762</v>
      </c>
    </row>
    <row r="148" ht="14.25" customHeight="1">
      <c r="A148" s="7" t="s">
        <v>255</v>
      </c>
      <c r="B148" s="71">
        <f>Nesting!$D$26</f>
        <v>0.9</v>
      </c>
      <c r="C148" s="7" t="str">
        <f>Nesting!$E$26</f>
        <v>LAF</v>
      </c>
      <c r="D148" s="16">
        <f>D115*Nesting!$U$26</f>
        <v>199</v>
      </c>
      <c r="E148" s="16">
        <f>E115*Nesting!$U$26</f>
        <v>285.5714286</v>
      </c>
      <c r="F148" s="16">
        <f>F115*Nesting!$U$26</f>
        <v>691.1428571</v>
      </c>
      <c r="G148" s="16">
        <f>G115*Nesting!$U$26</f>
        <v>1674.380952</v>
      </c>
      <c r="H148" s="16">
        <f>H115*Nesting!$U$26</f>
        <v>2957.904762</v>
      </c>
      <c r="I148" s="16">
        <f>I115*Nesting!$U$26</f>
        <v>4157.142857</v>
      </c>
      <c r="J148" s="16">
        <f>J115*Nesting!$U$26</f>
        <v>5794</v>
      </c>
      <c r="K148" s="16">
        <f>K115*Nesting!$U$26</f>
        <v>7434.904762</v>
      </c>
      <c r="L148" s="16">
        <f>L115*Nesting!$U$26</f>
        <v>8352.047619</v>
      </c>
      <c r="M148" s="16">
        <f>M115*Nesting!$U$26</f>
        <v>9648.619048</v>
      </c>
    </row>
    <row r="149" ht="14.25" customHeight="1">
      <c r="A149" s="7" t="s">
        <v>277</v>
      </c>
      <c r="B149" s="71">
        <f>Nesting!$D$27</f>
        <v>0.9</v>
      </c>
      <c r="C149" s="7" t="str">
        <f>Nesting!$E$27</f>
        <v>LAF</v>
      </c>
      <c r="D149" s="16">
        <f>D116*Nesting!$U$27</f>
        <v>219.9473684</v>
      </c>
      <c r="E149" s="16">
        <f>E116*Nesting!$U$27</f>
        <v>315.6315789</v>
      </c>
      <c r="F149" s="16">
        <f>F116*Nesting!$U$27</f>
        <v>763.8947368</v>
      </c>
      <c r="G149" s="16">
        <f>G116*Nesting!$U$27</f>
        <v>1850.631579</v>
      </c>
      <c r="H149" s="16">
        <f>H116*Nesting!$U$27</f>
        <v>3269.263158</v>
      </c>
      <c r="I149" s="16">
        <f>I116*Nesting!$U$27</f>
        <v>4594.736842</v>
      </c>
      <c r="J149" s="16">
        <f>J116*Nesting!$U$27</f>
        <v>6403.894737</v>
      </c>
      <c r="K149" s="16">
        <f>K116*Nesting!$U$27</f>
        <v>8217.526316</v>
      </c>
      <c r="L149" s="16">
        <f>L116*Nesting!$U$27</f>
        <v>9231.210526</v>
      </c>
      <c r="M149" s="16">
        <f>M116*Nesting!$U$27</f>
        <v>10664.26316</v>
      </c>
    </row>
    <row r="150" ht="14.25" customHeight="1">
      <c r="A150" s="7" t="s">
        <v>408</v>
      </c>
      <c r="B150" s="71">
        <f>Nesting!$D$28</f>
        <v>1.25</v>
      </c>
      <c r="C150" s="7" t="str">
        <f>Nesting!$E$28</f>
        <v>LAF</v>
      </c>
      <c r="D150" s="16">
        <f>D117*Nesting!$U$28</f>
        <v>22.69230769</v>
      </c>
      <c r="E150" s="16">
        <f>E117*Nesting!$U$28</f>
        <v>54.53846154</v>
      </c>
      <c r="F150" s="16">
        <f>F117*Nesting!$U$28</f>
        <v>99</v>
      </c>
      <c r="G150" s="16">
        <f>G117*Nesting!$U$28</f>
        <v>195.7692308</v>
      </c>
      <c r="H150" s="16">
        <f>H117*Nesting!$U$28</f>
        <v>326.5384615</v>
      </c>
      <c r="I150" s="16">
        <f>I117*Nesting!$U$28</f>
        <v>465.7692308</v>
      </c>
      <c r="J150" s="16">
        <f>J117*Nesting!$U$28</f>
        <v>620.4615385</v>
      </c>
      <c r="K150" s="16">
        <f>K117*Nesting!$U$28</f>
        <v>786.7692308</v>
      </c>
      <c r="L150" s="16">
        <f>L117*Nesting!$U$28</f>
        <v>918.1538462</v>
      </c>
      <c r="M150" s="16">
        <f>M117*Nesting!$U$28</f>
        <v>1084.153846</v>
      </c>
    </row>
    <row r="151" ht="14.25" customHeight="1">
      <c r="A151" s="7" t="s">
        <v>411</v>
      </c>
      <c r="B151" s="71">
        <f>Nesting!$D$29</f>
        <v>1.25</v>
      </c>
      <c r="C151" s="7" t="str">
        <f>Nesting!$E$29</f>
        <v>LAF</v>
      </c>
      <c r="D151" s="16">
        <f>D118*Nesting!$U$29</f>
        <v>36.875</v>
      </c>
      <c r="E151" s="16">
        <f>E118*Nesting!$U$29</f>
        <v>88.625</v>
      </c>
      <c r="F151" s="16">
        <f>F118*Nesting!$U$29</f>
        <v>160.875</v>
      </c>
      <c r="G151" s="16">
        <f>G118*Nesting!$U$29</f>
        <v>318.125</v>
      </c>
      <c r="H151" s="16">
        <f>H118*Nesting!$U$29</f>
        <v>530.625</v>
      </c>
      <c r="I151" s="16">
        <f>I118*Nesting!$U$29</f>
        <v>756.875</v>
      </c>
      <c r="J151" s="16">
        <f>J118*Nesting!$U$29</f>
        <v>1008.25</v>
      </c>
      <c r="K151" s="16">
        <f>K118*Nesting!$U$29</f>
        <v>1278.5</v>
      </c>
      <c r="L151" s="16">
        <f>L118*Nesting!$U$29</f>
        <v>1492</v>
      </c>
      <c r="M151" s="16">
        <f>M118*Nesting!$U$29</f>
        <v>1761.75</v>
      </c>
    </row>
    <row r="152" ht="14.25" customHeight="1">
      <c r="A152" s="7" t="s">
        <v>436</v>
      </c>
      <c r="B152" s="71">
        <f>Nesting!$D$30</f>
        <v>1.6</v>
      </c>
      <c r="C152" s="7" t="str">
        <f>Nesting!$E$30</f>
        <v>LAF</v>
      </c>
      <c r="D152" s="16">
        <f>D119*Nesting!$U$30</f>
        <v>225.6</v>
      </c>
      <c r="E152" s="16">
        <f>E119*Nesting!$U$30</f>
        <v>384.7</v>
      </c>
      <c r="F152" s="16">
        <f>F119*Nesting!$U$30</f>
        <v>657.3</v>
      </c>
      <c r="G152" s="16">
        <f>G119*Nesting!$U$30</f>
        <v>1197.5</v>
      </c>
      <c r="H152" s="16">
        <f>H119*Nesting!$U$30</f>
        <v>2036</v>
      </c>
      <c r="I152" s="16">
        <f>I119*Nesting!$U$30</f>
        <v>2844</v>
      </c>
      <c r="J152" s="16">
        <f>J119*Nesting!$U$30</f>
        <v>3843.7</v>
      </c>
      <c r="K152" s="16">
        <f>K119*Nesting!$U$30</f>
        <v>4865.1</v>
      </c>
      <c r="L152" s="16">
        <f>L119*Nesting!$U$30</f>
        <v>5530.4</v>
      </c>
      <c r="M152" s="16">
        <f>M119*Nesting!$U$30</f>
        <v>6366.6</v>
      </c>
    </row>
    <row r="153" ht="14.25" customHeight="1">
      <c r="A153" s="7" t="s">
        <v>438</v>
      </c>
      <c r="B153" s="71">
        <f>Nesting!$D$31</f>
        <v>1.6</v>
      </c>
      <c r="C153" s="7" t="str">
        <f>Nesting!$E$31</f>
        <v>LAF</v>
      </c>
      <c r="D153" s="16">
        <f>D120*Nesting!$U$31</f>
        <v>205.0909091</v>
      </c>
      <c r="E153" s="16">
        <f>E120*Nesting!$U$31</f>
        <v>349.7272727</v>
      </c>
      <c r="F153" s="16">
        <f>F120*Nesting!$U$31</f>
        <v>597.5454545</v>
      </c>
      <c r="G153" s="16">
        <f>G120*Nesting!$U$31</f>
        <v>1088.636364</v>
      </c>
      <c r="H153" s="16">
        <f>H120*Nesting!$U$31</f>
        <v>1850.909091</v>
      </c>
      <c r="I153" s="16">
        <f>I120*Nesting!$U$31</f>
        <v>2585.454545</v>
      </c>
      <c r="J153" s="16">
        <f>J120*Nesting!$U$31</f>
        <v>3494.272727</v>
      </c>
      <c r="K153" s="16">
        <f>K120*Nesting!$U$31</f>
        <v>4422.818182</v>
      </c>
      <c r="L153" s="16">
        <f>L120*Nesting!$U$31</f>
        <v>5027.636364</v>
      </c>
      <c r="M153" s="16">
        <f>M120*Nesting!$U$31</f>
        <v>5787.818182</v>
      </c>
    </row>
    <row r="154" ht="14.25" customHeight="1">
      <c r="A154" s="7" t="s">
        <v>485</v>
      </c>
      <c r="B154" s="71">
        <f>Nesting!$D$32</f>
        <v>2</v>
      </c>
      <c r="C154" s="7" t="str">
        <f>Nesting!$E$32</f>
        <v>LAF</v>
      </c>
      <c r="D154" s="16">
        <f>D121*Nesting!$U$32</f>
        <v>8.363636364</v>
      </c>
      <c r="E154" s="16">
        <f>E121*Nesting!$U$32</f>
        <v>16.09090909</v>
      </c>
      <c r="F154" s="16">
        <f>F121*Nesting!$U$32</f>
        <v>31.18181818</v>
      </c>
      <c r="G154" s="16">
        <f>G121*Nesting!$U$32</f>
        <v>61.18181818</v>
      </c>
      <c r="H154" s="16">
        <f>H121*Nesting!$U$32</f>
        <v>107.8181818</v>
      </c>
      <c r="I154" s="16">
        <f>I121*Nesting!$U$32</f>
        <v>156.1818182</v>
      </c>
      <c r="J154" s="16">
        <f>J121*Nesting!$U$32</f>
        <v>211.0909091</v>
      </c>
      <c r="K154" s="16">
        <f>K121*Nesting!$U$32</f>
        <v>267.2727273</v>
      </c>
      <c r="L154" s="16">
        <f>L121*Nesting!$U$32</f>
        <v>303.9090909</v>
      </c>
      <c r="M154" s="16">
        <f>M121*Nesting!$U$32</f>
        <v>350.1818182</v>
      </c>
    </row>
    <row r="155" ht="14.25" customHeight="1">
      <c r="A155" s="7" t="s">
        <v>486</v>
      </c>
      <c r="B155" s="71">
        <f>Nesting!$D$33</f>
        <v>2</v>
      </c>
      <c r="C155" s="7" t="str">
        <f>Nesting!$E$33</f>
        <v>LAF</v>
      </c>
      <c r="D155" s="16">
        <f>D122*Nesting!$U$33</f>
        <v>6.571428571</v>
      </c>
      <c r="E155" s="16">
        <f>E122*Nesting!$U$33</f>
        <v>12.64285714</v>
      </c>
      <c r="F155" s="16">
        <f>F122*Nesting!$U$33</f>
        <v>24.5</v>
      </c>
      <c r="G155" s="16">
        <f>G122*Nesting!$U$33</f>
        <v>48.07142857</v>
      </c>
      <c r="H155" s="16">
        <f>H122*Nesting!$U$33</f>
        <v>84.71428571</v>
      </c>
      <c r="I155" s="16">
        <f>I122*Nesting!$U$33</f>
        <v>122.7142857</v>
      </c>
      <c r="J155" s="16">
        <f>J122*Nesting!$U$33</f>
        <v>165.8571429</v>
      </c>
      <c r="K155" s="16">
        <f>K122*Nesting!$U$33</f>
        <v>210</v>
      </c>
      <c r="L155" s="16">
        <f>L122*Nesting!$U$33</f>
        <v>238.7857143</v>
      </c>
      <c r="M155" s="16">
        <f>M122*Nesting!$U$33</f>
        <v>275.1428571</v>
      </c>
    </row>
    <row r="156" ht="14.25" customHeight="1">
      <c r="A156" s="5" t="s">
        <v>425</v>
      </c>
      <c r="D156" s="26">
        <f t="shared" ref="D156:M156" si="21">SUM(D148:D155)</f>
        <v>924.1406501</v>
      </c>
      <c r="E156" s="26">
        <f t="shared" si="21"/>
        <v>1507.527508</v>
      </c>
      <c r="F156" s="26">
        <f t="shared" si="21"/>
        <v>3025.439867</v>
      </c>
      <c r="G156" s="26">
        <f t="shared" si="21"/>
        <v>6434.296372</v>
      </c>
      <c r="H156" s="26">
        <f t="shared" si="21"/>
        <v>11163.77294</v>
      </c>
      <c r="I156" s="26">
        <f t="shared" si="21"/>
        <v>15682.87458</v>
      </c>
      <c r="J156" s="26">
        <f t="shared" si="21"/>
        <v>21541.52705</v>
      </c>
      <c r="K156" s="26">
        <f t="shared" si="21"/>
        <v>27482.89122</v>
      </c>
      <c r="L156" s="26">
        <f t="shared" si="21"/>
        <v>31094.14316</v>
      </c>
      <c r="M156" s="26">
        <f t="shared" si="21"/>
        <v>35938.52891</v>
      </c>
    </row>
    <row r="157" ht="14.25" customHeight="1"/>
    <row r="158" ht="14.25" customHeight="1">
      <c r="A158" s="3" t="s">
        <v>767</v>
      </c>
    </row>
    <row r="159" ht="14.25" customHeight="1">
      <c r="A159" s="7" t="s">
        <v>341</v>
      </c>
      <c r="D159" s="65">
        <f>BobinaMadre!D143</f>
        <v>11.5644296</v>
      </c>
      <c r="E159" s="65">
        <f>BobinaMadre!E143</f>
        <v>20.02097612</v>
      </c>
      <c r="F159" s="65">
        <f>BobinaMadre!F143</f>
        <v>34.55022845</v>
      </c>
      <c r="G159" s="65">
        <f>BobinaMadre!G143</f>
        <v>64.0198866</v>
      </c>
      <c r="H159" s="65">
        <f>BobinaMadre!H143</f>
        <v>108.7429294</v>
      </c>
      <c r="I159" s="65">
        <f>BobinaMadre!I143</f>
        <v>152.4640619</v>
      </c>
      <c r="J159" s="65">
        <f>BobinaMadre!J143</f>
        <v>206.1200945</v>
      </c>
      <c r="K159" s="65">
        <f>BobinaMadre!K143</f>
        <v>261.1620613</v>
      </c>
      <c r="L159" s="65">
        <f>BobinaMadre!L143</f>
        <v>297.4699253</v>
      </c>
      <c r="M159" s="65">
        <f>BobinaMadre!M143</f>
        <v>343.4482158</v>
      </c>
    </row>
    <row r="160" ht="14.25" customHeight="1">
      <c r="A160" s="7" t="s">
        <v>454</v>
      </c>
      <c r="D160" s="65">
        <f>BobinaMadre!D148</f>
        <v>8.807407604</v>
      </c>
      <c r="E160" s="65">
        <f>BobinaMadre!E148</f>
        <v>15.29435408</v>
      </c>
      <c r="F160" s="65">
        <f>BobinaMadre!F148</f>
        <v>27.24528368</v>
      </c>
      <c r="G160" s="65">
        <f>BobinaMadre!G148</f>
        <v>51.76523901</v>
      </c>
      <c r="H160" s="65">
        <f>BobinaMadre!H148</f>
        <v>88.54134479</v>
      </c>
      <c r="I160" s="65">
        <f>BobinaMadre!I148</f>
        <v>124.3689701</v>
      </c>
      <c r="J160" s="65">
        <f>BobinaMadre!J148</f>
        <v>168.523055</v>
      </c>
      <c r="K160" s="65">
        <f>BobinaMadre!K148</f>
        <v>213.7056467</v>
      </c>
      <c r="L160" s="65">
        <f>BobinaMadre!L148</f>
        <v>243.0896681</v>
      </c>
      <c r="M160" s="65">
        <f>BobinaMadre!M148</f>
        <v>280.5725378</v>
      </c>
    </row>
    <row r="161" ht="14.25" customHeight="1">
      <c r="A161" s="7" t="s">
        <v>466</v>
      </c>
      <c r="D161" s="65">
        <f>BobinaMadre!D149</f>
        <v>2.757022</v>
      </c>
      <c r="E161" s="65">
        <f>BobinaMadre!E149</f>
        <v>4.72662204</v>
      </c>
      <c r="F161" s="65">
        <f>BobinaMadre!F149</f>
        <v>7.304944767</v>
      </c>
      <c r="G161" s="65">
        <f>BobinaMadre!G149</f>
        <v>12.2546476</v>
      </c>
      <c r="H161" s="65">
        <f>BobinaMadre!H149</f>
        <v>20.20158466</v>
      </c>
      <c r="I161" s="65">
        <f>BobinaMadre!I149</f>
        <v>28.09509181</v>
      </c>
      <c r="J161" s="65">
        <f>BobinaMadre!J149</f>
        <v>37.59703947</v>
      </c>
      <c r="K161" s="65">
        <f>BobinaMadre!K149</f>
        <v>47.45641469</v>
      </c>
      <c r="L161" s="65">
        <f>BobinaMadre!L149</f>
        <v>54.38025723</v>
      </c>
      <c r="M161" s="65">
        <f>BobinaMadre!M149</f>
        <v>62.87567797</v>
      </c>
    </row>
    <row r="162" ht="14.25" customHeight="1">
      <c r="A162" s="3" t="s">
        <v>768</v>
      </c>
      <c r="N162" s="72" t="s">
        <v>430</v>
      </c>
    </row>
    <row r="163" ht="14.25" customHeight="1">
      <c r="A163" s="7" t="s">
        <v>769</v>
      </c>
      <c r="B163" s="71">
        <f>BobinaMadre!$D$6</f>
        <v>0.9</v>
      </c>
      <c r="C163" s="7" t="str">
        <f>BobinaMadre!$F$6</f>
        <v>LAF</v>
      </c>
      <c r="D163" s="65">
        <f>BobinaMadre!D19</f>
        <v>0.7144075748</v>
      </c>
      <c r="E163" s="65">
        <f>BobinaMadre!E19</f>
        <v>1.025197948</v>
      </c>
      <c r="F163" s="65">
        <f>BobinaMadre!F19</f>
        <v>2.481194434</v>
      </c>
      <c r="G163" s="65">
        <f>BobinaMadre!G19</f>
        <v>6.011007214</v>
      </c>
      <c r="H163" s="65">
        <f>BobinaMadre!H19</f>
        <v>10.61884205</v>
      </c>
      <c r="I163" s="65">
        <f>BobinaMadre!I19</f>
        <v>14.92409219</v>
      </c>
      <c r="J163" s="65">
        <f>BobinaMadre!J19</f>
        <v>20.80038939</v>
      </c>
      <c r="K163" s="65">
        <f>BobinaMadre!K19</f>
        <v>26.69121749</v>
      </c>
      <c r="L163" s="65">
        <f>BobinaMadre!L19</f>
        <v>29.98374917</v>
      </c>
      <c r="M163" s="65">
        <f>BobinaMadre!M19</f>
        <v>34.63842479</v>
      </c>
      <c r="N163" s="20">
        <f t="array" ref="N163">INDEX(Supuestos!$E$84:$E$89,MATCH($B163,Supuestos!$A$84:$A$89,0))</f>
        <v>1.26285</v>
      </c>
    </row>
    <row r="164" ht="14.25" customHeight="1">
      <c r="A164" s="7" t="s">
        <v>770</v>
      </c>
      <c r="B164" s="71">
        <f>BobinaMadre!$D$28</f>
        <v>1.25</v>
      </c>
      <c r="C164" s="7" t="str">
        <f>BobinaMadre!$F$28</f>
        <v>LAF</v>
      </c>
      <c r="D164" s="65">
        <f>BobinaMadre!D43</f>
        <v>0.4875810808</v>
      </c>
      <c r="E164" s="65">
        <f>BobinaMadre!E43</f>
        <v>1.171847411</v>
      </c>
      <c r="F164" s="65">
        <f>BobinaMadre!F43</f>
        <v>2.127175766</v>
      </c>
      <c r="G164" s="65">
        <f>BobinaMadre!G43</f>
        <v>4.206419832</v>
      </c>
      <c r="H164" s="65">
        <f>BobinaMadre!H43</f>
        <v>7.016209111</v>
      </c>
      <c r="I164" s="65">
        <f>BobinaMadre!I43</f>
        <v>10.00780828</v>
      </c>
      <c r="J164" s="65">
        <f>BobinaMadre!J43</f>
        <v>13.33162372</v>
      </c>
      <c r="K164" s="65">
        <f>BobinaMadre!K43</f>
        <v>16.90501456</v>
      </c>
      <c r="L164" s="65">
        <f>BobinaMadre!L43</f>
        <v>19.72802637</v>
      </c>
      <c r="M164" s="65">
        <f>BobinaMadre!M43</f>
        <v>23.29480594</v>
      </c>
      <c r="N164" s="20">
        <f t="array" ref="N164">INDEX(Supuestos!$E$84:$E$89,MATCH($B164,Supuestos!$A$84:$A$89,0))</f>
        <v>1.25056</v>
      </c>
    </row>
    <row r="165" ht="14.25" customHeight="1">
      <c r="A165" s="7" t="s">
        <v>771</v>
      </c>
      <c r="B165" s="71">
        <f>BobinaMadre!$D$52</f>
        <v>1.6</v>
      </c>
      <c r="C165" s="7" t="str">
        <f>BobinaMadre!$F$52</f>
        <v>LAF</v>
      </c>
      <c r="D165" s="65">
        <f>BobinaMadre!D67</f>
        <v>7.018648775</v>
      </c>
      <c r="E165" s="65">
        <f>BobinaMadre!E67</f>
        <v>11.96841394</v>
      </c>
      <c r="F165" s="65">
        <f>BobinaMadre!F67</f>
        <v>20.44928121</v>
      </c>
      <c r="G165" s="65">
        <f>BobinaMadre!G67</f>
        <v>37.25546059</v>
      </c>
      <c r="H165" s="65">
        <f>BobinaMadre!H67</f>
        <v>63.34206075</v>
      </c>
      <c r="I165" s="65">
        <f>BobinaMadre!I67</f>
        <v>88.47977445</v>
      </c>
      <c r="J165" s="65">
        <f>BobinaMadre!J67</f>
        <v>119.5814729</v>
      </c>
      <c r="K165" s="65">
        <f>BobinaMadre!K67</f>
        <v>151.3582808</v>
      </c>
      <c r="L165" s="65">
        <f>BobinaMadre!L67</f>
        <v>172.0564503</v>
      </c>
      <c r="M165" s="65">
        <f>BobinaMadre!M67</f>
        <v>198.0714951</v>
      </c>
      <c r="N165" s="20">
        <f t="array" ref="N165">INDEX(Supuestos!$E$84:$E$89,MATCH($B165,Supuestos!$A$84:$A$89,0))</f>
        <v>1.25056</v>
      </c>
    </row>
    <row r="166" ht="14.25" customHeight="1">
      <c r="A166" s="7" t="s">
        <v>772</v>
      </c>
      <c r="B166" s="71">
        <f>BobinaMadre!$D$76</f>
        <v>2</v>
      </c>
      <c r="C166" s="7" t="str">
        <f>BobinaMadre!$F$76</f>
        <v>LAF</v>
      </c>
      <c r="D166" s="65">
        <f>BobinaMadre!D91</f>
        <v>0.5867701728</v>
      </c>
      <c r="E166" s="65">
        <f>BobinaMadre!E91</f>
        <v>1.128894789</v>
      </c>
      <c r="F166" s="65">
        <f>BobinaMadre!F91</f>
        <v>2.187632275</v>
      </c>
      <c r="G166" s="65">
        <f>BobinaMadre!G91</f>
        <v>4.292351373</v>
      </c>
      <c r="H166" s="65">
        <f>BobinaMadre!H91</f>
        <v>7.56423288</v>
      </c>
      <c r="I166" s="65">
        <f>BobinaMadre!I91</f>
        <v>10.95729518</v>
      </c>
      <c r="J166" s="65">
        <f>BobinaMadre!J91</f>
        <v>14.80956893</v>
      </c>
      <c r="K166" s="65">
        <f>BobinaMadre!K91</f>
        <v>18.75113378</v>
      </c>
      <c r="L166" s="65">
        <f>BobinaMadre!L91</f>
        <v>21.32144226</v>
      </c>
      <c r="M166" s="65">
        <f>BobinaMadre!M91</f>
        <v>24.56781202</v>
      </c>
      <c r="N166" s="20">
        <f t="array" ref="N166">INDEX(Supuestos!$E$84:$E$89,MATCH($B166,Supuestos!$A$84:$A$89,0))</f>
        <v>1.26285</v>
      </c>
    </row>
    <row r="167" ht="14.25" customHeight="1">
      <c r="A167" s="7" t="s">
        <v>773</v>
      </c>
      <c r="B167" s="71">
        <f>BobinaMadre!$D$100</f>
        <v>3.2</v>
      </c>
      <c r="C167" s="7" t="str">
        <f>BobinaMadre!$F$100</f>
        <v>LAC</v>
      </c>
      <c r="D167" s="65">
        <f>BobinaMadre!D113</f>
        <v>1.785035673</v>
      </c>
      <c r="E167" s="65">
        <f>BobinaMadre!E113</f>
        <v>3.046460882</v>
      </c>
      <c r="F167" s="65">
        <f>BobinaMadre!F113</f>
        <v>4.716411401</v>
      </c>
      <c r="G167" s="65">
        <f>BobinaMadre!G113</f>
        <v>7.901757912</v>
      </c>
      <c r="H167" s="65">
        <f>BobinaMadre!H113</f>
        <v>13.04873821</v>
      </c>
      <c r="I167" s="65">
        <f>BobinaMadre!I113</f>
        <v>18.18438618</v>
      </c>
      <c r="J167" s="65">
        <f>BobinaMadre!J113</f>
        <v>24.315721</v>
      </c>
      <c r="K167" s="65">
        <f>BobinaMadre!K113</f>
        <v>30.6566741</v>
      </c>
      <c r="L167" s="65">
        <f>BobinaMadre!L113</f>
        <v>35.12950204</v>
      </c>
      <c r="M167" s="65">
        <f>BobinaMadre!M113</f>
        <v>40.61354262</v>
      </c>
      <c r="N167" s="20">
        <f t="array" ref="N167">INDEX(Supuestos!$E$84:$E$89,MATCH($B167,Supuestos!$A$84:$A$89,0))</f>
        <v>1.11373</v>
      </c>
    </row>
    <row r="168" ht="14.25" customHeight="1">
      <c r="A168" s="7" t="s">
        <v>774</v>
      </c>
      <c r="B168" s="71">
        <f>BobinaMadre!$D$122</f>
        <v>4.75</v>
      </c>
      <c r="C168" s="7" t="str">
        <f>BobinaMadre!$F$122</f>
        <v>LAC</v>
      </c>
      <c r="D168" s="65">
        <f>BobinaMadre!D133</f>
        <v>0.9719863274</v>
      </c>
      <c r="E168" s="65">
        <f>BobinaMadre!E133</f>
        <v>1.680161159</v>
      </c>
      <c r="F168" s="65">
        <f>BobinaMadre!F133</f>
        <v>2.588533367</v>
      </c>
      <c r="G168" s="65">
        <f>BobinaMadre!G133</f>
        <v>4.352889684</v>
      </c>
      <c r="H168" s="65">
        <f>BobinaMadre!H133</f>
        <v>7.152846448</v>
      </c>
      <c r="I168" s="65">
        <f>BobinaMadre!I133</f>
        <v>9.910705633</v>
      </c>
      <c r="J168" s="65">
        <f>BobinaMadre!J133</f>
        <v>13.28131847</v>
      </c>
      <c r="K168" s="65">
        <f>BobinaMadre!K133</f>
        <v>16.79974058</v>
      </c>
      <c r="L168" s="65">
        <f>BobinaMadre!L133</f>
        <v>19.25075519</v>
      </c>
      <c r="M168" s="65">
        <f>BobinaMadre!M133</f>
        <v>22.26213535</v>
      </c>
      <c r="N168" s="20">
        <f t="array" ref="N168">INDEX(Supuestos!$E$84:$E$89,MATCH($B168,Supuestos!$A$84:$A$89,0))</f>
        <v>1.11373</v>
      </c>
    </row>
    <row r="169" ht="14.25" customHeight="1">
      <c r="A169" s="5" t="s">
        <v>425</v>
      </c>
      <c r="D169" s="73">
        <f t="shared" ref="D169:M169" si="22">SUM(D163:D168)</f>
        <v>11.5644296</v>
      </c>
      <c r="E169" s="73">
        <f t="shared" si="22"/>
        <v>20.02097612</v>
      </c>
      <c r="F169" s="73">
        <f t="shared" si="22"/>
        <v>34.55022845</v>
      </c>
      <c r="G169" s="73">
        <f t="shared" si="22"/>
        <v>64.0198866</v>
      </c>
      <c r="H169" s="73">
        <f t="shared" si="22"/>
        <v>108.7429294</v>
      </c>
      <c r="I169" s="73">
        <f t="shared" si="22"/>
        <v>152.4640619</v>
      </c>
      <c r="J169" s="73">
        <f t="shared" si="22"/>
        <v>206.1200945</v>
      </c>
      <c r="K169" s="73">
        <f t="shared" si="22"/>
        <v>261.1620613</v>
      </c>
      <c r="L169" s="73">
        <f t="shared" si="22"/>
        <v>297.4699253</v>
      </c>
      <c r="M169" s="73">
        <f t="shared" si="22"/>
        <v>343.4482158</v>
      </c>
    </row>
    <row r="170" ht="14.25" customHeight="1"/>
    <row r="171" ht="14.25" customHeight="1">
      <c r="A171" s="7" t="s">
        <v>775</v>
      </c>
      <c r="D171" s="16">
        <f t="shared" ref="D171:M171" si="23">SUM(D9:D15)</f>
        <v>2779</v>
      </c>
      <c r="E171" s="16">
        <f t="shared" si="23"/>
        <v>4966</v>
      </c>
      <c r="F171" s="16">
        <f t="shared" si="23"/>
        <v>8563</v>
      </c>
      <c r="G171" s="16">
        <f t="shared" si="23"/>
        <v>15796</v>
      </c>
      <c r="H171" s="16">
        <f t="shared" si="23"/>
        <v>26787</v>
      </c>
      <c r="I171" s="16">
        <f t="shared" si="23"/>
        <v>37600</v>
      </c>
      <c r="J171" s="16">
        <f t="shared" si="23"/>
        <v>50679</v>
      </c>
      <c r="K171" s="16">
        <f t="shared" si="23"/>
        <v>64159</v>
      </c>
      <c r="L171" s="16">
        <f t="shared" si="23"/>
        <v>73265</v>
      </c>
      <c r="M171" s="16">
        <f t="shared" si="23"/>
        <v>84712</v>
      </c>
    </row>
    <row r="172" ht="14.25" customHeight="1"/>
    <row r="173" ht="14.25" customHeight="1">
      <c r="A173" s="3" t="s">
        <v>776</v>
      </c>
    </row>
    <row r="174" ht="14.25" customHeight="1">
      <c r="A174" s="3" t="s">
        <v>777</v>
      </c>
    </row>
    <row r="175" ht="14.25" customHeight="1">
      <c r="A175" s="7" t="s">
        <v>778</v>
      </c>
      <c r="B175" s="71">
        <f>Nesting!$E$6</f>
        <v>1.25</v>
      </c>
      <c r="C175" s="7" t="str">
        <f>Nesting!$F$6</f>
        <v>LAF</v>
      </c>
      <c r="D175" s="65">
        <f>MIN(Bobinas!$K$6,D44*Supuestos!$B$29/12)/2+D44*Supuestos!$B$30/52</f>
        <v>0.05225124082</v>
      </c>
      <c r="E175" s="65">
        <f>MIN(Bobinas!$K$6,E44*Supuestos!$B$29/12)/2+E44*Supuestos!$B$30/52</f>
        <v>0.1255801008</v>
      </c>
      <c r="F175" s="65">
        <f>MIN(Bobinas!$K$6,F44*Supuestos!$B$29/12)/2+F44*Supuestos!$B$30/52</f>
        <v>0.2279571082</v>
      </c>
      <c r="G175" s="65">
        <f>MIN(Bobinas!$K$6,G44*Supuestos!$B$29/12)/2+G44*Supuestos!$B$30/52</f>
        <v>0.4507776538</v>
      </c>
      <c r="H175" s="65">
        <f>MIN(Bobinas!$K$6,H44*Supuestos!$B$29/12)/2+H44*Supuestos!$B$30/52</f>
        <v>0.7518864992</v>
      </c>
      <c r="I175" s="65">
        <f>MIN(Bobinas!$K$6,I44*Supuestos!$B$29/12)/2+I44*Supuestos!$B$30/52</f>
        <v>1.002347967</v>
      </c>
      <c r="J175" s="65">
        <f>MIN(Bobinas!$K$6,J44*Supuestos!$B$29/12)/2+J44*Supuestos!$B$30/52</f>
        <v>1.086158332</v>
      </c>
      <c r="K175" s="65">
        <f>MIN(Bobinas!$K$6,K44*Supuestos!$B$29/12)/2+K44*Supuestos!$B$30/52</f>
        <v>1.176261768</v>
      </c>
      <c r="L175" s="65">
        <f>MIN(Bobinas!$K$6,L44*Supuestos!$B$29/12)/2+L44*Supuestos!$B$30/52</f>
        <v>1.247444315</v>
      </c>
      <c r="M175" s="65">
        <f>MIN(Bobinas!$K$6,M44*Supuestos!$B$29/12)/2+M44*Supuestos!$B$30/52</f>
        <v>1.337381047</v>
      </c>
    </row>
    <row r="176" ht="14.25" customHeight="1">
      <c r="A176" s="7" t="s">
        <v>779</v>
      </c>
      <c r="B176" s="71">
        <f>Nesting!$E$7</f>
        <v>1.6</v>
      </c>
      <c r="C176" s="7" t="str">
        <f>Nesting!$F$7</f>
        <v>LAF</v>
      </c>
      <c r="D176" s="65">
        <f>MIN(Bobinas!$K$7,D45*Supuestos!$B$29/12)/2+D45*Supuestos!$B$30/52</f>
        <v>0.7381443055</v>
      </c>
      <c r="E176" s="65">
        <f>MIN(Bobinas!$K$7,E45*Supuestos!$B$29/12)/2+E45*Supuestos!$B$30/52</f>
        <v>1.258706181</v>
      </c>
      <c r="F176" s="65">
        <f>MIN(Bobinas!$K$7,F45*Supuestos!$B$29/12)/2+F45*Supuestos!$B$30/52</f>
        <v>2.15063055</v>
      </c>
      <c r="G176" s="65">
        <f>MIN(Bobinas!$K$7,G45*Supuestos!$B$29/12)/2+G45*Supuestos!$B$30/52</f>
        <v>3.918119707</v>
      </c>
      <c r="H176" s="65">
        <f>MIN(Bobinas!$K$7,H45*Supuestos!$B$29/12)/2+H45*Supuestos!$B$30/52</f>
        <v>6.567440348</v>
      </c>
      <c r="I176" s="65">
        <f>MIN(Bobinas!$K$7,I45*Supuestos!$B$29/12)/2+I45*Supuestos!$B$30/52</f>
        <v>7.189489367</v>
      </c>
      <c r="J176" s="65">
        <f>MIN(Bobinas!$K$7,J45*Supuestos!$B$29/12)/2+J45*Supuestos!$B$30/52</f>
        <v>7.959121055</v>
      </c>
      <c r="K176" s="65">
        <f>MIN(Bobinas!$K$7,K45*Supuestos!$B$29/12)/2+K45*Supuestos!$B$30/52</f>
        <v>8.745458762</v>
      </c>
      <c r="L176" s="65">
        <f>MIN(Bobinas!$K$7,L45*Supuestos!$B$29/12)/2+L45*Supuestos!$B$30/52</f>
        <v>9.257648381</v>
      </c>
      <c r="M176" s="65">
        <f>MIN(Bobinas!$K$7,M45*Supuestos!$B$29/12)/2+M45*Supuestos!$B$30/52</f>
        <v>9.901407526</v>
      </c>
    </row>
    <row r="177" ht="14.25" customHeight="1">
      <c r="A177" s="7" t="s">
        <v>780</v>
      </c>
      <c r="B177" s="71">
        <f>Nesting!$E$8</f>
        <v>2</v>
      </c>
      <c r="C177" s="7" t="str">
        <f>Nesting!$F$8</f>
        <v>LAF</v>
      </c>
      <c r="D177" s="65">
        <f>MIN(Bobinas!$K$8,D46*Supuestos!$B$29/12)/2+D46*Supuestos!$B$30/52</f>
        <v>0.06696740278</v>
      </c>
      <c r="E177" s="65">
        <f>MIN(Bobinas!$K$8,E46*Supuestos!$B$29/12)/2+E46*Supuestos!$B$30/52</f>
        <v>0.1288394597</v>
      </c>
      <c r="F177" s="65">
        <f>MIN(Bobinas!$K$8,F46*Supuestos!$B$29/12)/2+F46*Supuestos!$B$30/52</f>
        <v>0.2496719473</v>
      </c>
      <c r="G177" s="65">
        <f>MIN(Bobinas!$K$8,G46*Supuestos!$B$29/12)/2+G46*Supuestos!$B$30/52</f>
        <v>0.4898811095</v>
      </c>
      <c r="H177" s="65">
        <f>MIN(Bobinas!$K$8,H46*Supuestos!$B$29/12)/2+H46*Supuestos!$B$30/52</f>
        <v>0.8632971707</v>
      </c>
      <c r="I177" s="65">
        <f>MIN(Bobinas!$K$8,I46*Supuestos!$B$29/12)/2+I46*Supuestos!$B$30/52</f>
        <v>1.044245519</v>
      </c>
      <c r="J177" s="65">
        <f>MIN(Bobinas!$K$8,J46*Supuestos!$B$29/12)/2+J46*Supuestos!$B$30/52</f>
        <v>1.147693886</v>
      </c>
      <c r="K177" s="65">
        <f>MIN(Bobinas!$K$8,K46*Supuestos!$B$29/12)/2+K46*Supuestos!$B$30/52</f>
        <v>1.253540062</v>
      </c>
      <c r="L177" s="65">
        <f>MIN(Bobinas!$K$8,L46*Supuestos!$B$29/12)/2+L46*Supuestos!$B$30/52</f>
        <v>1.32256273</v>
      </c>
      <c r="M177" s="65">
        <f>MIN(Bobinas!$K$8,M46*Supuestos!$B$29/12)/2+M46*Supuestos!$B$30/52</f>
        <v>1.409740244</v>
      </c>
    </row>
    <row r="178" ht="14.25" customHeight="1">
      <c r="A178" s="7" t="s">
        <v>781</v>
      </c>
      <c r="B178" s="71">
        <f>Nesting!$E$9</f>
        <v>3.2</v>
      </c>
      <c r="C178" s="7" t="str">
        <f>Nesting!$F$9</f>
        <v>LAC</v>
      </c>
      <c r="D178" s="65">
        <f>MIN(Bobinas!$K$9,D47*Supuestos!$B$29/12)/2+D47*Supuestos!$B$30/52</f>
        <v>0.06034668543</v>
      </c>
      <c r="E178" s="65">
        <f>MIN(Bobinas!$K$9,E47*Supuestos!$B$29/12)/2+E47*Supuestos!$B$30/52</f>
        <v>0.1029443457</v>
      </c>
      <c r="F178" s="65">
        <f>MIN(Bobinas!$K$9,F47*Supuestos!$B$29/12)/2+F47*Supuestos!$B$30/52</f>
        <v>0.1597412261</v>
      </c>
      <c r="G178" s="65">
        <f>MIN(Bobinas!$K$9,G47*Supuestos!$B$29/12)/2+G47*Supuestos!$B$30/52</f>
        <v>0.2662353769</v>
      </c>
      <c r="H178" s="65">
        <f>MIN(Bobinas!$K$9,H47*Supuestos!$B$29/12)/2+H47*Supuestos!$B$30/52</f>
        <v>0.4419507256</v>
      </c>
      <c r="I178" s="65">
        <f>MIN(Bobinas!$K$9,I47*Supuestos!$B$29/12)/2+I47*Supuestos!$B$30/52</f>
        <v>0.6158911719</v>
      </c>
      <c r="J178" s="65">
        <f>MIN(Bobinas!$K$9,J47*Supuestos!$B$29/12)/2+J47*Supuestos!$B$30/52</f>
        <v>0.693777592</v>
      </c>
      <c r="K178" s="65">
        <f>MIN(Bobinas!$K$9,K47*Supuestos!$B$29/12)/2+K47*Supuestos!$B$30/52</f>
        <v>0.7443101106</v>
      </c>
      <c r="L178" s="65">
        <f>MIN(Bobinas!$K$9,L47*Supuestos!$B$29/12)/2+L47*Supuestos!$B$30/52</f>
        <v>0.7798081608</v>
      </c>
      <c r="M178" s="65">
        <f>MIN(Bobinas!$K$9,M47*Supuestos!$B$29/12)/2+M47*Supuestos!$B$30/52</f>
        <v>0.8236586935</v>
      </c>
    </row>
    <row r="179" ht="14.25" customHeight="1">
      <c r="A179" s="7" t="s">
        <v>782</v>
      </c>
      <c r="B179" s="71">
        <f>Nesting!$E$10</f>
        <v>3.2</v>
      </c>
      <c r="C179" s="7" t="str">
        <f>Nesting!$F$10</f>
        <v>LAC</v>
      </c>
      <c r="D179" s="65">
        <f>MIN(Bobinas!$K$10,D48*Supuestos!$B$29/12)/2+D48*Supuestos!$B$30/52</f>
        <v>0.2313268922</v>
      </c>
      <c r="E179" s="65">
        <f>MIN(Bobinas!$K$10,E48*Supuestos!$B$29/12)/2+E48*Supuestos!$B$30/52</f>
        <v>0.3947978959</v>
      </c>
      <c r="F179" s="65">
        <f>MIN(Bobinas!$K$10,F48*Supuestos!$B$29/12)/2+F48*Supuestos!$B$30/52</f>
        <v>0.6107029953</v>
      </c>
      <c r="G179" s="65">
        <f>MIN(Bobinas!$K$10,G48*Supuestos!$B$29/12)/2+G48*Supuestos!$B$30/52</f>
        <v>1.024007043</v>
      </c>
      <c r="H179" s="65">
        <f>MIN(Bobinas!$K$10,H48*Supuestos!$B$29/12)/2+H48*Supuestos!$B$30/52</f>
        <v>1.690228492</v>
      </c>
      <c r="I179" s="65">
        <f>MIN(Bobinas!$K$10,I48*Supuestos!$B$29/12)/2+I48*Supuestos!$B$30/52</f>
        <v>2.05445881</v>
      </c>
      <c r="J179" s="65">
        <f>MIN(Bobinas!$K$10,J48*Supuestos!$B$29/12)/2+J48*Supuestos!$B$30/52</f>
        <v>2.240246055</v>
      </c>
      <c r="K179" s="65">
        <f>MIN(Bobinas!$K$10,K48*Supuestos!$B$29/12)/2+K48*Supuestos!$B$30/52</f>
        <v>2.434016346</v>
      </c>
      <c r="L179" s="65">
        <f>MIN(Bobinas!$K$10,L48*Supuestos!$B$29/12)/2+L48*Supuestos!$B$30/52</f>
        <v>2.571179585</v>
      </c>
      <c r="M179" s="65">
        <f>MIN(Bobinas!$K$10,M48*Supuestos!$B$29/12)/2+M48*Supuestos!$B$30/52</f>
        <v>2.737372082</v>
      </c>
    </row>
    <row r="180" ht="14.25" customHeight="1">
      <c r="A180" s="7" t="s">
        <v>783</v>
      </c>
      <c r="B180" s="71">
        <f>Nesting!$E$11</f>
        <v>4.75</v>
      </c>
      <c r="C180" s="7" t="str">
        <f>Nesting!$F$11</f>
        <v>LAC</v>
      </c>
      <c r="D180" s="65">
        <f>MIN(Bobinas!$K$11,D49*Supuestos!$B$29/12)/2+D49*Supuestos!$B$30/52</f>
        <v>0.08318769486</v>
      </c>
      <c r="E180" s="65">
        <f>MIN(Bobinas!$K$11,E49*Supuestos!$B$29/12)/2+E49*Supuestos!$B$30/52</f>
        <v>0.1507776969</v>
      </c>
      <c r="F180" s="65">
        <f>MIN(Bobinas!$K$11,F49*Supuestos!$B$29/12)/2+F49*Supuestos!$B$30/52</f>
        <v>0.2235669299</v>
      </c>
      <c r="G180" s="65">
        <f>MIN(Bobinas!$K$11,G49*Supuestos!$B$29/12)/2+G49*Supuestos!$B$30/52</f>
        <v>0.3743446269</v>
      </c>
      <c r="H180" s="65">
        <f>MIN(Bobinas!$K$11,H49*Supuestos!$B$29/12)/2+H49*Supuestos!$B$30/52</f>
        <v>0.6187084805</v>
      </c>
      <c r="I180" s="65">
        <f>MIN(Bobinas!$K$11,I49*Supuestos!$B$29/12)/2+I49*Supuestos!$B$30/52</f>
        <v>0.7030758433</v>
      </c>
      <c r="J180" s="65">
        <f>MIN(Bobinas!$K$11,J49*Supuestos!$B$29/12)/2+J49*Supuestos!$B$30/52</f>
        <v>0.7728067052</v>
      </c>
      <c r="K180" s="65">
        <f>MIN(Bobinas!$K$11,K49*Supuestos!$B$29/12)/2+K49*Supuestos!$B$30/52</f>
        <v>0.844984264</v>
      </c>
      <c r="L180" s="65">
        <f>MIN(Bobinas!$K$11,L49*Supuestos!$B$29/12)/2+L49*Supuestos!$B$30/52</f>
        <v>0.8939182021</v>
      </c>
      <c r="M180" s="65">
        <f>MIN(Bobinas!$K$11,M49*Supuestos!$B$29/12)/2+M49*Supuestos!$B$30/52</f>
        <v>0.9563089733</v>
      </c>
    </row>
    <row r="181" ht="14.25" customHeight="1">
      <c r="A181" s="7" t="s">
        <v>784</v>
      </c>
      <c r="B181" s="71">
        <f>Nesting!$E$12</f>
        <v>4.75</v>
      </c>
      <c r="C181" s="7" t="str">
        <f>Nesting!$F$12</f>
        <v>LAC</v>
      </c>
      <c r="D181" s="65">
        <f>MIN(Bobinas!$K$12,D50*Supuestos!$B$29/12)/2+D50*Supuestos!$B$30/52</f>
        <v>0.07569468558</v>
      </c>
      <c r="E181" s="65">
        <f>MIN(Bobinas!$K$12,E50*Supuestos!$B$29/12)/2+E50*Supuestos!$B$30/52</f>
        <v>0.1238640309</v>
      </c>
      <c r="F181" s="65">
        <f>MIN(Bobinas!$K$12,F50*Supuestos!$B$29/12)/2+F50*Supuestos!$B$30/52</f>
        <v>0.1995587165</v>
      </c>
      <c r="G181" s="65">
        <f>MIN(Bobinas!$K$12,G50*Supuestos!$B$29/12)/2+G50*Supuestos!$B$30/52</f>
        <v>0.3371854176</v>
      </c>
      <c r="H181" s="65">
        <f>MIN(Bobinas!$K$12,H50*Supuestos!$B$29/12)/2+H50*Supuestos!$B$30/52</f>
        <v>0.5505068042</v>
      </c>
      <c r="I181" s="65">
        <f>MIN(Bobinas!$K$12,I50*Supuestos!$B$29/12)/2+I50*Supuestos!$B$30/52</f>
        <v>0.6781051425</v>
      </c>
      <c r="J181" s="65">
        <f>MIN(Bobinas!$K$12,J50*Supuestos!$B$29/12)/2+J50*Supuestos!$B$30/52</f>
        <v>0.7380132359</v>
      </c>
      <c r="K181" s="65">
        <f>MIN(Bobinas!$K$12,K50*Supuestos!$B$29/12)/2+K50*Supuestos!$B$30/52</f>
        <v>0.8011596047</v>
      </c>
      <c r="L181" s="65">
        <f>MIN(Bobinas!$K$12,L50*Supuestos!$B$29/12)/2+L50*Supuestos!$B$30/52</f>
        <v>0.8464954591</v>
      </c>
      <c r="M181" s="65">
        <f>MIN(Bobinas!$K$12,M50*Supuestos!$B$29/12)/2+M50*Supuestos!$B$30/52</f>
        <v>0.8999270019</v>
      </c>
    </row>
    <row r="182" ht="14.25" customHeight="1">
      <c r="A182" s="7" t="s">
        <v>542</v>
      </c>
      <c r="B182" s="71">
        <f>Nesting!$D$26</f>
        <v>0.9</v>
      </c>
      <c r="C182" s="7" t="str">
        <f>Nesting!$E$26</f>
        <v>LAF</v>
      </c>
      <c r="D182" s="65">
        <f>MIN(Bobinas!$K$13,D66*Supuestos!$B$29/12)/2+D66*Supuestos!$B$30/52</f>
        <v>0.06153326283</v>
      </c>
      <c r="E182" s="65">
        <f>MIN(Bobinas!$K$13,E66*Supuestos!$B$29/12)/2+E66*Supuestos!$B$30/52</f>
        <v>0.08830221996</v>
      </c>
      <c r="F182" s="65">
        <f>MIN(Bobinas!$K$13,F66*Supuestos!$B$29/12)/2+F66*Supuestos!$B$30/52</f>
        <v>0.213709925</v>
      </c>
      <c r="G182" s="65">
        <f>MIN(Bobinas!$K$13,G66*Supuestos!$B$29/12)/2+G66*Supuestos!$B$30/52</f>
        <v>0.5177393127</v>
      </c>
      <c r="H182" s="65">
        <f>MIN(Bobinas!$K$13,H66*Supuestos!$B$29/12)/2+H66*Supuestos!$B$30/52</f>
        <v>0.7152048846</v>
      </c>
      <c r="I182" s="65">
        <f>MIN(Bobinas!$K$13,I66*Supuestos!$B$29/12)/2+I66*Supuestos!$B$30/52</f>
        <v>0.8024564754</v>
      </c>
      <c r="J182" s="65">
        <f>MIN(Bobinas!$K$13,J66*Supuestos!$B$29/12)/2+J66*Supuestos!$B$30/52</f>
        <v>0.9215474134</v>
      </c>
      <c r="K182" s="65">
        <f>MIN(Bobinas!$K$13,K66*Supuestos!$B$29/12)/2+K66*Supuestos!$B$30/52</f>
        <v>1.040932839</v>
      </c>
      <c r="L182" s="65">
        <f>MIN(Bobinas!$K$13,L66*Supuestos!$B$29/12)/2+L66*Supuestos!$B$30/52</f>
        <v>1.10766035</v>
      </c>
      <c r="M182" s="65">
        <f>MIN(Bobinas!$K$13,M66*Supuestos!$B$29/12)/2+M66*Supuestos!$B$30/52</f>
        <v>1.201993511</v>
      </c>
    </row>
    <row r="183" ht="14.25" customHeight="1">
      <c r="A183" s="7" t="s">
        <v>547</v>
      </c>
      <c r="B183" s="71">
        <f>Nesting!$D$27</f>
        <v>0.9</v>
      </c>
      <c r="C183" s="7" t="str">
        <f>Nesting!$E$27</f>
        <v>LAF</v>
      </c>
      <c r="D183" s="65">
        <f>MIN(Bobinas!$K$14,D67*Supuestos!$B$29/12)/2+D67*Supuestos!$B$30/52</f>
        <v>0.0530915255</v>
      </c>
      <c r="E183" s="65">
        <f>MIN(Bobinas!$K$14,E67*Supuestos!$B$29/12)/2+E67*Supuestos!$B$30/52</f>
        <v>0.07618805418</v>
      </c>
      <c r="F183" s="65">
        <f>MIN(Bobinas!$K$14,F67*Supuestos!$B$29/12)/2+F67*Supuestos!$B$30/52</f>
        <v>0.1843910986</v>
      </c>
      <c r="G183" s="65">
        <f>MIN(Bobinas!$K$14,G67*Supuestos!$B$29/12)/2+G67*Supuestos!$B$30/52</f>
        <v>0.4467107489</v>
      </c>
      <c r="H183" s="65">
        <f>MIN(Bobinas!$K$14,H67*Supuestos!$B$29/12)/2+H67*Supuestos!$B$30/52</f>
        <v>0.6856809649</v>
      </c>
      <c r="I183" s="65">
        <f>MIN(Bobinas!$K$14,I67*Supuestos!$B$29/12)/2+I67*Supuestos!$B$30/52</f>
        <v>0.7609625256</v>
      </c>
      <c r="J183" s="65">
        <f>MIN(Bobinas!$K$14,J67*Supuestos!$B$29/12)/2+J67*Supuestos!$B$30/52</f>
        <v>0.863715399</v>
      </c>
      <c r="K183" s="65">
        <f>MIN(Bobinas!$K$14,K67*Supuestos!$B$29/12)/2+K67*Supuestos!$B$30/52</f>
        <v>0.9667223597</v>
      </c>
      <c r="L183" s="65">
        <f>MIN(Bobinas!$K$14,L67*Supuestos!$B$29/12)/2+L67*Supuestos!$B$30/52</f>
        <v>1.024295535</v>
      </c>
      <c r="M183" s="65">
        <f>MIN(Bobinas!$K$14,M67*Supuestos!$B$29/12)/2+M67*Supuestos!$B$30/52</f>
        <v>1.105687147</v>
      </c>
    </row>
    <row r="184" ht="14.25" customHeight="1">
      <c r="A184" s="7" t="s">
        <v>550</v>
      </c>
      <c r="B184" s="71">
        <f>Nesting!$D$28</f>
        <v>1.25</v>
      </c>
      <c r="C184" s="7" t="str">
        <f>Nesting!$E$28</f>
        <v>LAF</v>
      </c>
      <c r="D184" s="65">
        <f>MIN(Bobinas!$K$15,D68*Supuestos!$B$29/12)/2+D68*Supuestos!$B$30/52</f>
        <v>0.01735404209</v>
      </c>
      <c r="E184" s="65">
        <f>MIN(Bobinas!$K$15,E68*Supuestos!$B$29/12)/2+E68*Supuestos!$B$30/52</f>
        <v>0.04170852827</v>
      </c>
      <c r="F184" s="65">
        <f>MIN(Bobinas!$K$15,F68*Supuestos!$B$29/12)/2+F68*Supuestos!$B$30/52</f>
        <v>0.0757106853</v>
      </c>
      <c r="G184" s="65">
        <f>MIN(Bobinas!$K$15,G68*Supuestos!$B$29/12)/2+G68*Supuestos!$B$30/52</f>
        <v>0.14971538</v>
      </c>
      <c r="H184" s="65">
        <f>MIN(Bobinas!$K$15,H68*Supuestos!$B$29/12)/2+H68*Supuestos!$B$30/52</f>
        <v>0.2497217242</v>
      </c>
      <c r="I184" s="65">
        <f>MIN(Bobinas!$K$15,I68*Supuestos!$B$29/12)/2+I68*Supuestos!$B$30/52</f>
        <v>0.3338115452</v>
      </c>
      <c r="J184" s="65">
        <f>MIN(Bobinas!$K$15,J68*Supuestos!$B$29/12)/2+J68*Supuestos!$B$30/52</f>
        <v>0.3616472211</v>
      </c>
      <c r="K184" s="65">
        <f>MIN(Bobinas!$K$15,K68*Supuestos!$B$29/12)/2+K68*Supuestos!$B$30/52</f>
        <v>0.391572995</v>
      </c>
      <c r="L184" s="65">
        <f>MIN(Bobinas!$K$15,L68*Supuestos!$B$29/12)/2+L68*Supuestos!$B$30/52</f>
        <v>0.4152146332</v>
      </c>
      <c r="M184" s="65">
        <f>MIN(Bobinas!$K$15,M68*Supuestos!$B$29/12)/2+M68*Supuestos!$B$30/52</f>
        <v>0.4450850402</v>
      </c>
    </row>
    <row r="185" ht="14.25" customHeight="1">
      <c r="A185" s="7" t="s">
        <v>558</v>
      </c>
      <c r="B185" s="71">
        <f>Nesting!$D$29</f>
        <v>1.25</v>
      </c>
      <c r="C185" s="7" t="str">
        <f>Nesting!$E$29</f>
        <v>LAF</v>
      </c>
      <c r="D185" s="65">
        <f>MIN(Bobinas!$K$16,D69*Supuestos!$B$29/12)/2+D69*Supuestos!$B$30/52</f>
        <v>0.01439813382</v>
      </c>
      <c r="E185" s="65">
        <f>MIN(Bobinas!$K$16,E69*Supuestos!$B$29/12)/2+E69*Supuestos!$B$30/52</f>
        <v>0.0346043284</v>
      </c>
      <c r="F185" s="65">
        <f>MIN(Bobinas!$K$16,F69*Supuestos!$B$29/12)/2+F69*Supuestos!$B$30/52</f>
        <v>0.06281490923</v>
      </c>
      <c r="G185" s="65">
        <f>MIN(Bobinas!$K$16,G69*Supuestos!$B$29/12)/2+G69*Supuestos!$B$30/52</f>
        <v>0.1242144087</v>
      </c>
      <c r="H185" s="65">
        <f>MIN(Bobinas!$K$16,H69*Supuestos!$B$29/12)/2+H69*Supuestos!$B$30/52</f>
        <v>0.2071867053</v>
      </c>
      <c r="I185" s="65">
        <f>MIN(Bobinas!$K$16,I69*Supuestos!$B$29/12)/2+I69*Supuestos!$B$30/52</f>
        <v>0.2955277975</v>
      </c>
      <c r="J185" s="65">
        <f>MIN(Bobinas!$K$16,J69*Supuestos!$B$29/12)/2+J69*Supuestos!$B$30/52</f>
        <v>0.3426303867</v>
      </c>
      <c r="K185" s="65">
        <f>MIN(Bobinas!$K$16,K69*Supuestos!$B$29/12)/2+K69*Supuestos!$B$30/52</f>
        <v>0.3674589134</v>
      </c>
      <c r="L185" s="65">
        <f>MIN(Bobinas!$K$16,L69*Supuestos!$B$29/12)/2+L69*Supuestos!$B$30/52</f>
        <v>0.3870736792</v>
      </c>
      <c r="M185" s="65">
        <f>MIN(Bobinas!$K$16,M69*Supuestos!$B$29/12)/2+M69*Supuestos!$B$30/52</f>
        <v>0.4118562696</v>
      </c>
    </row>
    <row r="186" ht="14.25" customHeight="1">
      <c r="A186" s="7" t="s">
        <v>562</v>
      </c>
      <c r="B186" s="71">
        <f>Nesting!$D$30</f>
        <v>1.6</v>
      </c>
      <c r="C186" s="7" t="str">
        <f>Nesting!$E$30</f>
        <v>LAF</v>
      </c>
      <c r="D186" s="65">
        <f>MIN(Bobinas!$K$17,D70*Supuestos!$B$29/12)/2+D70*Supuestos!$B$30/52</f>
        <v>0.261345086</v>
      </c>
      <c r="E186" s="65">
        <f>MIN(Bobinas!$K$17,E70*Supuestos!$B$29/12)/2+E70*Supuestos!$B$30/52</f>
        <v>0.4048596731</v>
      </c>
      <c r="F186" s="65">
        <f>MIN(Bobinas!$K$17,F70*Supuestos!$B$29/12)/2+F70*Supuestos!$B$30/52</f>
        <v>0.4791636682</v>
      </c>
      <c r="G186" s="65">
        <f>MIN(Bobinas!$K$17,G70*Supuestos!$B$29/12)/2+G70*Supuestos!$B$30/52</f>
        <v>0.6264087824</v>
      </c>
      <c r="H186" s="65">
        <f>MIN(Bobinas!$K$17,H70*Supuestos!$B$29/12)/2+H70*Supuestos!$B$30/52</f>
        <v>0.8549630738</v>
      </c>
      <c r="I186" s="65">
        <f>MIN(Bobinas!$K$17,I70*Supuestos!$B$29/12)/2+I70*Supuestos!$B$30/52</f>
        <v>1.075203822</v>
      </c>
      <c r="J186" s="65">
        <f>MIN(Bobinas!$K$17,J70*Supuestos!$B$29/12)/2+J70*Supuestos!$B$30/52</f>
        <v>1.347697233</v>
      </c>
      <c r="K186" s="65">
        <f>MIN(Bobinas!$K$17,K70*Supuestos!$B$29/12)/2+K70*Supuestos!$B$30/52</f>
        <v>1.626105526</v>
      </c>
      <c r="L186" s="65">
        <f>MIN(Bobinas!$K$17,L70*Supuestos!$B$29/12)/2+L70*Supuestos!$B$30/52</f>
        <v>1.807449795</v>
      </c>
      <c r="M186" s="65">
        <f>MIN(Bobinas!$K$17,M70*Supuestos!$B$29/12)/2+M70*Supuestos!$B$30/52</f>
        <v>2.035377164</v>
      </c>
    </row>
    <row r="187" ht="14.25" customHeight="1">
      <c r="A187" s="7" t="s">
        <v>577</v>
      </c>
      <c r="B187" s="71">
        <f>Nesting!$D$31</f>
        <v>1.6</v>
      </c>
      <c r="C187" s="7" t="str">
        <f>Nesting!$E$31</f>
        <v>LAF</v>
      </c>
      <c r="D187" s="65">
        <f>MIN(Bobinas!$K$18,D71*Supuestos!$B$29/12)/2+D71*Supuestos!$B$30/52</f>
        <v>0.1680075553</v>
      </c>
      <c r="E187" s="65">
        <f>MIN(Bobinas!$K$18,E71*Supuestos!$B$29/12)/2+E71*Supuestos!$B$30/52</f>
        <v>0.286491607</v>
      </c>
      <c r="F187" s="65">
        <f>MIN(Bobinas!$K$18,F71*Supuestos!$B$29/12)/2+F71*Supuestos!$B$30/52</f>
        <v>0.3651766438</v>
      </c>
      <c r="G187" s="65">
        <f>MIN(Bobinas!$K$18,G71*Supuestos!$B$29/12)/2+G71*Supuestos!$B$30/52</f>
        <v>0.4598342172</v>
      </c>
      <c r="H187" s="65">
        <f>MIN(Bobinas!$K$18,H71*Supuestos!$B$29/12)/2+H71*Supuestos!$B$30/52</f>
        <v>0.606761976</v>
      </c>
      <c r="I187" s="65">
        <f>MIN(Bobinas!$K$18,I71*Supuestos!$B$29/12)/2+I71*Supuestos!$B$30/52</f>
        <v>0.7483453143</v>
      </c>
      <c r="J187" s="65">
        <f>MIN(Bobinas!$K$18,J71*Supuestos!$B$29/12)/2+J71*Supuestos!$B$30/52</f>
        <v>0.9235196499</v>
      </c>
      <c r="K187" s="65">
        <f>MIN(Bobinas!$K$18,K71*Supuestos!$B$29/12)/2+K71*Supuestos!$B$30/52</f>
        <v>1.102496409</v>
      </c>
      <c r="L187" s="65">
        <f>MIN(Bobinas!$K$18,L71*Supuestos!$B$29/12)/2+L71*Supuestos!$B$30/52</f>
        <v>1.219074868</v>
      </c>
      <c r="M187" s="65">
        <f>MIN(Bobinas!$K$18,M71*Supuestos!$B$29/12)/2+M71*Supuestos!$B$30/52</f>
        <v>1.365599605</v>
      </c>
    </row>
    <row r="188" ht="14.25" customHeight="1">
      <c r="A188" s="7" t="s">
        <v>586</v>
      </c>
      <c r="B188" s="71">
        <f>Nesting!$D$32</f>
        <v>2</v>
      </c>
      <c r="C188" s="7" t="str">
        <f>Nesting!$E$32</f>
        <v>LAF</v>
      </c>
      <c r="D188" s="65">
        <f>MIN(Bobinas!$K$19,D72*Supuestos!$B$29/12)/2+D72*Supuestos!$B$30/52</f>
        <v>0.01862716745</v>
      </c>
      <c r="E188" s="65">
        <f>MIN(Bobinas!$K$19,E72*Supuestos!$B$29/12)/2+E72*Supuestos!$B$30/52</f>
        <v>0.03583705043</v>
      </c>
      <c r="F188" s="65">
        <f>MIN(Bobinas!$K$19,F72*Supuestos!$B$29/12)/2+F72*Supuestos!$B$30/52</f>
        <v>0.06944693952</v>
      </c>
      <c r="G188" s="65">
        <f>MIN(Bobinas!$K$19,G72*Supuestos!$B$29/12)/2+G72*Supuestos!$B$30/52</f>
        <v>0.1362617793</v>
      </c>
      <c r="H188" s="65">
        <f>MIN(Bobinas!$K$19,H72*Supuestos!$B$29/12)/2+H72*Supuestos!$B$30/52</f>
        <v>0.2401284848</v>
      </c>
      <c r="I188" s="65">
        <f>MIN(Bobinas!$K$19,I72*Supuestos!$B$29/12)/2+I72*Supuestos!$B$30/52</f>
        <v>0.3478421053</v>
      </c>
      <c r="J188" s="65">
        <f>MIN(Bobinas!$K$19,J72*Supuestos!$B$29/12)/2+J72*Supuestos!$B$30/52</f>
        <v>0.470133509</v>
      </c>
      <c r="K188" s="65">
        <f>MIN(Bobinas!$K$19,K72*Supuestos!$B$29/12)/2+K72*Supuestos!$B$30/52</f>
        <v>0.5150610545</v>
      </c>
      <c r="L188" s="65">
        <f>MIN(Bobinas!$K$19,L72*Supuestos!$B$29/12)/2+L72*Supuestos!$B$30/52</f>
        <v>0.5342598997</v>
      </c>
      <c r="M188" s="65">
        <f>MIN(Bobinas!$K$19,M72*Supuestos!$B$29/12)/2+M72*Supuestos!$B$30/52</f>
        <v>0.5585085653</v>
      </c>
    </row>
    <row r="189" ht="14.25" customHeight="1">
      <c r="A189" s="7" t="s">
        <v>588</v>
      </c>
      <c r="B189" s="71">
        <f>Nesting!$D$33</f>
        <v>2</v>
      </c>
      <c r="C189" s="7" t="str">
        <f>Nesting!$E$33</f>
        <v>LAF</v>
      </c>
      <c r="D189" s="65">
        <f>MIN(Bobinas!$K$20,D73*Supuestos!$B$29/12)/2+D73*Supuestos!$B$30/52</f>
        <v>0.01232105053</v>
      </c>
      <c r="E189" s="65">
        <f>MIN(Bobinas!$K$20,E73*Supuestos!$B$29/12)/2+E73*Supuestos!$B$30/52</f>
        <v>0.02370462983</v>
      </c>
      <c r="F189" s="65">
        <f>MIN(Bobinas!$K$20,F73*Supuestos!$B$29/12)/2+F73*Supuestos!$B$30/52</f>
        <v>0.04593609057</v>
      </c>
      <c r="G189" s="65">
        <f>MIN(Bobinas!$K$20,G73*Supuestos!$B$29/12)/2+G73*Supuestos!$B$30/52</f>
        <v>0.09013116314</v>
      </c>
      <c r="H189" s="65">
        <f>MIN(Bobinas!$K$20,H73*Supuestos!$B$29/12)/2+H73*Supuestos!$B$30/52</f>
        <v>0.1588344123</v>
      </c>
      <c r="I189" s="65">
        <f>MIN(Bobinas!$K$20,I73*Supuestos!$B$29/12)/2+I73*Supuestos!$B$30/52</f>
        <v>0.2300822263</v>
      </c>
      <c r="J189" s="65">
        <f>MIN(Bobinas!$K$20,J73*Supuestos!$B$29/12)/2+J73*Supuestos!$B$30/52</f>
        <v>0.3109726015</v>
      </c>
      <c r="K189" s="65">
        <f>MIN(Bobinas!$K$20,K73*Supuestos!$B$29/12)/2+K73*Supuestos!$B$30/52</f>
        <v>0.3426442163</v>
      </c>
      <c r="L189" s="65">
        <f>MIN(Bobinas!$K$20,L73*Supuestos!$B$29/12)/2+L73*Supuestos!$B$30/52</f>
        <v>0.3553434065</v>
      </c>
      <c r="M189" s="65">
        <f>MIN(Bobinas!$K$20,M73*Supuestos!$B$29/12)/2+M73*Supuestos!$B$30/52</f>
        <v>0.3713828303</v>
      </c>
    </row>
    <row r="190" ht="14.25" customHeight="1">
      <c r="A190" s="5" t="s">
        <v>425</v>
      </c>
      <c r="D190" s="73">
        <f t="shared" ref="D190:M190" si="24">SUM(D175:D189)</f>
        <v>1.914596731</v>
      </c>
      <c r="E190" s="73">
        <f t="shared" si="24"/>
        <v>3.277205802</v>
      </c>
      <c r="F190" s="73">
        <f t="shared" si="24"/>
        <v>5.318179434</v>
      </c>
      <c r="G190" s="73">
        <f t="shared" si="24"/>
        <v>9.411566726</v>
      </c>
      <c r="H190" s="73">
        <f t="shared" si="24"/>
        <v>15.20250075</v>
      </c>
      <c r="I190" s="73">
        <f t="shared" si="24"/>
        <v>17.88184563</v>
      </c>
      <c r="J190" s="73">
        <f t="shared" si="24"/>
        <v>20.17968027</v>
      </c>
      <c r="K190" s="73">
        <f t="shared" si="24"/>
        <v>22.35272523</v>
      </c>
      <c r="L190" s="73">
        <f t="shared" si="24"/>
        <v>23.769429</v>
      </c>
      <c r="M190" s="73">
        <f t="shared" si="24"/>
        <v>25.5612857</v>
      </c>
    </row>
    <row r="191" ht="14.25" customHeight="1"/>
    <row r="192" ht="14.25" customHeight="1">
      <c r="A192" s="3" t="s">
        <v>785</v>
      </c>
    </row>
    <row r="193" ht="14.25" customHeight="1">
      <c r="A193" s="7" t="s">
        <v>769</v>
      </c>
      <c r="B193" s="71">
        <f>BobinaMadre!$D$6</f>
        <v>0.9</v>
      </c>
      <c r="C193" s="7" t="str">
        <f>BobinaMadre!$F$6</f>
        <v>LAF</v>
      </c>
      <c r="D193" s="65">
        <f>MIN(Bobinas!$K$24,BobinaMadre!D19*Supuestos!$B$29/12)+BobinaMadre!D19*Supuestos!$B$30/52</f>
        <v>0.2060791081</v>
      </c>
      <c r="E193" s="65">
        <f>MIN(Bobinas!$K$24,BobinaMadre!E19*Supuestos!$B$29/12)+BobinaMadre!E19*Supuestos!$B$30/52</f>
        <v>0.2957301774</v>
      </c>
      <c r="F193" s="65">
        <f>MIN(Bobinas!$K$24,BobinaMadre!F19*Supuestos!$B$29/12)+BobinaMadre!F19*Supuestos!$B$30/52</f>
        <v>0.7157291637</v>
      </c>
      <c r="G193" s="65">
        <f>MIN(Bobinas!$K$24,BobinaMadre!G19*Supuestos!$B$29/12)+BobinaMadre!G19*Supuestos!$B$30/52</f>
        <v>1.733944389</v>
      </c>
      <c r="H193" s="65">
        <f>MIN(Bobinas!$K$24,BobinaMadre!H19*Supuestos!$B$29/12)+BobinaMadre!H19*Supuestos!$B$30/52</f>
        <v>3.063127514</v>
      </c>
      <c r="I193" s="65">
        <f>MIN(Bobinas!$K$24,BobinaMadre!I19*Supuestos!$B$29/12)+BobinaMadre!I19*Supuestos!$B$30/52</f>
        <v>3.574003546</v>
      </c>
      <c r="J193" s="65">
        <f>MIN(Bobinas!$K$24,BobinaMadre!J19*Supuestos!$B$29/12)+BobinaMadre!J19*Supuestos!$B$30/52</f>
        <v>3.800014977</v>
      </c>
      <c r="K193" s="65">
        <f>MIN(Bobinas!$K$24,BobinaMadre!K19*Supuestos!$B$29/12)+BobinaMadre!K19*Supuestos!$B$30/52</f>
        <v>4.026585288</v>
      </c>
      <c r="L193" s="65">
        <f>MIN(Bobinas!$K$24,BobinaMadre!L19*Supuestos!$B$29/12)+BobinaMadre!L19*Supuestos!$B$30/52</f>
        <v>4.153221122</v>
      </c>
      <c r="M193" s="65">
        <f>MIN(Bobinas!$K$24,BobinaMadre!M19*Supuestos!$B$29/12)+BobinaMadre!M19*Supuestos!$B$30/52</f>
        <v>4.332247107</v>
      </c>
    </row>
    <row r="194" ht="14.25" customHeight="1">
      <c r="A194" s="7" t="s">
        <v>770</v>
      </c>
      <c r="B194" s="71">
        <f>BobinaMadre!$D$28</f>
        <v>1.25</v>
      </c>
      <c r="C194" s="7" t="str">
        <f>BobinaMadre!$F$28</f>
        <v>LAF</v>
      </c>
      <c r="D194" s="65">
        <f>MIN(Bobinas!$K$25,BobinaMadre!D43*Supuestos!$B$29/12)+BobinaMadre!D43*Supuestos!$B$30/52</f>
        <v>0.1406483887</v>
      </c>
      <c r="E194" s="65">
        <f>MIN(Bobinas!$K$25,BobinaMadre!E43*Supuestos!$B$29/12)+BobinaMadre!E43*Supuestos!$B$30/52</f>
        <v>0.338032907</v>
      </c>
      <c r="F194" s="65">
        <f>MIN(Bobinas!$K$25,BobinaMadre!F43*Supuestos!$B$29/12)+BobinaMadre!F43*Supuestos!$B$30/52</f>
        <v>0.613608394</v>
      </c>
      <c r="G194" s="65">
        <f>MIN(Bobinas!$K$25,BobinaMadre!G43*Supuestos!$B$29/12)+BobinaMadre!G43*Supuestos!$B$30/52</f>
        <v>1.213390336</v>
      </c>
      <c r="H194" s="65">
        <f>MIN(Bobinas!$K$25,BobinaMadre!H43*Supuestos!$B$29/12)+BobinaMadre!H43*Supuestos!$B$30/52</f>
        <v>2.023906474</v>
      </c>
      <c r="I194" s="65">
        <f>MIN(Bobinas!$K$25,BobinaMadre!I43*Supuestos!$B$29/12)+BobinaMadre!I43*Supuestos!$B$30/52</f>
        <v>2.384915703</v>
      </c>
      <c r="J194" s="65">
        <f>MIN(Bobinas!$K$25,BobinaMadre!J43*Supuestos!$B$29/12)+BobinaMadre!J43*Supuestos!$B$30/52</f>
        <v>2.512754758</v>
      </c>
      <c r="K194" s="65">
        <f>MIN(Bobinas!$K$25,BobinaMadre!K43*Supuestos!$B$29/12)+BobinaMadre!K43*Supuestos!$B$30/52</f>
        <v>2.650192868</v>
      </c>
      <c r="L194" s="65">
        <f>MIN(Bobinas!$K$25,BobinaMadre!L43*Supuestos!$B$29/12)+BobinaMadre!L43*Supuestos!$B$30/52</f>
        <v>2.758770245</v>
      </c>
      <c r="M194" s="65">
        <f>MIN(Bobinas!$K$25,BobinaMadre!M43*Supuestos!$B$29/12)+BobinaMadre!M43*Supuestos!$B$30/52</f>
        <v>2.895954075</v>
      </c>
    </row>
    <row r="195" ht="14.25" customHeight="1">
      <c r="A195" s="7" t="s">
        <v>771</v>
      </c>
      <c r="B195" s="71">
        <f>BobinaMadre!$D$52</f>
        <v>1.6</v>
      </c>
      <c r="C195" s="7" t="str">
        <f>BobinaMadre!$F$52</f>
        <v>LAF</v>
      </c>
      <c r="D195" s="65">
        <f>MIN(Bobinas!$K$26,BobinaMadre!D67*Supuestos!$B$29/12)+BobinaMadre!D67*Supuestos!$B$30/52</f>
        <v>2.024610224</v>
      </c>
      <c r="E195" s="65">
        <f>MIN(Bobinas!$K$26,BobinaMadre!E67*Supuestos!$B$29/12)+BobinaMadre!E67*Supuestos!$B$30/52</f>
        <v>3.452427097</v>
      </c>
      <c r="F195" s="65">
        <f>MIN(Bobinas!$K$26,BobinaMadre!F67*Supuestos!$B$29/12)+BobinaMadre!F67*Supuestos!$B$30/52</f>
        <v>5.898831117</v>
      </c>
      <c r="G195" s="65">
        <f>MIN(Bobinas!$K$26,BobinaMadre!G67*Supuestos!$B$29/12)+BobinaMadre!G67*Supuestos!$B$30/52</f>
        <v>10.74676748</v>
      </c>
      <c r="H195" s="65">
        <f>MIN(Bobinas!$K$26,BobinaMadre!H67*Supuestos!$B$29/12)+BobinaMadre!H67*Supuestos!$B$30/52</f>
        <v>14.43623311</v>
      </c>
      <c r="I195" s="65">
        <f>MIN(Bobinas!$K$26,BobinaMadre!I67*Supuestos!$B$29/12)+BobinaMadre!I67*Supuestos!$B$30/52</f>
        <v>15.40306825</v>
      </c>
      <c r="J195" s="65">
        <f>MIN(Bobinas!$K$26,BobinaMadre!J67*Supuestos!$B$29/12)+BobinaMadre!J67*Supuestos!$B$30/52</f>
        <v>16.59928742</v>
      </c>
      <c r="K195" s="65">
        <f>MIN(Bobinas!$K$26,BobinaMadre!K67*Supuestos!$B$29/12)+BobinaMadre!K67*Supuestos!$B$30/52</f>
        <v>17.82147234</v>
      </c>
      <c r="L195" s="65">
        <f>MIN(Bobinas!$K$26,BobinaMadre!L67*Supuestos!$B$29/12)+BobinaMadre!L67*Supuestos!$B$30/52</f>
        <v>18.61755578</v>
      </c>
      <c r="M195" s="65">
        <f>MIN(Bobinas!$K$26,BobinaMadre!M67*Supuestos!$B$29/12)+BobinaMadre!M67*Supuestos!$B$30/52</f>
        <v>19.61813443</v>
      </c>
    </row>
    <row r="196" ht="14.25" customHeight="1">
      <c r="A196" s="7" t="s">
        <v>772</v>
      </c>
      <c r="B196" s="71">
        <f>BobinaMadre!$D$76</f>
        <v>2</v>
      </c>
      <c r="C196" s="7" t="str">
        <f>BobinaMadre!$F$76</f>
        <v>LAF</v>
      </c>
      <c r="D196" s="65">
        <f>MIN(Bobinas!$K$27,BobinaMadre!D91*Supuestos!$B$29/12)+BobinaMadre!D91*Supuestos!$B$30/52</f>
        <v>0.1692606268</v>
      </c>
      <c r="E196" s="65">
        <f>MIN(Bobinas!$K$27,BobinaMadre!E91*Supuestos!$B$29/12)+BobinaMadre!E91*Supuestos!$B$30/52</f>
        <v>0.3256427276</v>
      </c>
      <c r="F196" s="65">
        <f>MIN(Bobinas!$K$27,BobinaMadre!F91*Supuestos!$B$29/12)+BobinaMadre!F91*Supuestos!$B$30/52</f>
        <v>0.6310477716</v>
      </c>
      <c r="G196" s="65">
        <f>MIN(Bobinas!$K$27,BobinaMadre!G91*Supuestos!$B$29/12)+BobinaMadre!G91*Supuestos!$B$30/52</f>
        <v>1.238178281</v>
      </c>
      <c r="H196" s="65">
        <f>MIN(Bobinas!$K$27,BobinaMadre!H91*Supuestos!$B$29/12)+BobinaMadre!H91*Supuestos!$B$30/52</f>
        <v>2.181990254</v>
      </c>
      <c r="I196" s="65">
        <f>MIN(Bobinas!$K$27,BobinaMadre!I91*Supuestos!$B$29/12)+BobinaMadre!I91*Supuestos!$B$30/52</f>
        <v>2.92143443</v>
      </c>
      <c r="J196" s="65">
        <f>MIN(Bobinas!$K$27,BobinaMadre!J91*Supuestos!$B$29/12)+BobinaMadre!J91*Supuestos!$B$30/52</f>
        <v>3.069598805</v>
      </c>
      <c r="K196" s="65">
        <f>MIN(Bobinas!$K$27,BobinaMadre!K91*Supuestos!$B$29/12)+BobinaMadre!K91*Supuestos!$B$30/52</f>
        <v>3.221197453</v>
      </c>
      <c r="L196" s="65">
        <f>MIN(Bobinas!$K$27,BobinaMadre!L91*Supuestos!$B$29/12)+BobinaMadre!L91*Supuestos!$B$30/52</f>
        <v>3.320055471</v>
      </c>
      <c r="M196" s="65">
        <f>MIN(Bobinas!$K$27,BobinaMadre!M91*Supuestos!$B$29/12)+BobinaMadre!M91*Supuestos!$B$30/52</f>
        <v>3.444915847</v>
      </c>
    </row>
    <row r="197" ht="14.25" customHeight="1">
      <c r="A197" s="7" t="s">
        <v>773</v>
      </c>
      <c r="B197" s="71">
        <f>BobinaMadre!$D$100</f>
        <v>3.2</v>
      </c>
      <c r="C197" s="7" t="str">
        <f>BobinaMadre!$F$100</f>
        <v>LAC</v>
      </c>
      <c r="D197" s="65">
        <f>MIN(Bobinas!$K$28,BobinaMadre!D113*Supuestos!$B$29/12)+BobinaMadre!D113*Supuestos!$B$30/52</f>
        <v>0.5149141364</v>
      </c>
      <c r="E197" s="65">
        <f>MIN(Bobinas!$K$28,BobinaMadre!E113*Supuestos!$B$29/12)+BobinaMadre!E113*Supuestos!$B$30/52</f>
        <v>0.8787867928</v>
      </c>
      <c r="F197" s="65">
        <f>MIN(Bobinas!$K$28,BobinaMadre!F113*Supuestos!$B$29/12)+BobinaMadre!F113*Supuestos!$B$30/52</f>
        <v>1.360503289</v>
      </c>
      <c r="G197" s="65">
        <f>MIN(Bobinas!$K$28,BobinaMadre!G113*Supuestos!$B$29/12)+BobinaMadre!G113*Supuestos!$B$30/52</f>
        <v>2.279353244</v>
      </c>
      <c r="H197" s="65">
        <f>MIN(Bobinas!$K$28,BobinaMadre!H113*Supuestos!$B$29/12)+BobinaMadre!H113*Supuestos!$B$30/52</f>
        <v>3.764059099</v>
      </c>
      <c r="I197" s="65">
        <f>MIN(Bobinas!$K$28,BobinaMadre!I113*Supuestos!$B$29/12)+BobinaMadre!I113*Supuestos!$B$30/52</f>
        <v>4.199399468</v>
      </c>
      <c r="J197" s="65">
        <f>MIN(Bobinas!$K$28,BobinaMadre!J113*Supuestos!$B$29/12)+BobinaMadre!J113*Supuestos!$B$30/52</f>
        <v>4.435220038</v>
      </c>
      <c r="K197" s="65">
        <f>MIN(Bobinas!$K$28,BobinaMadre!K113*Supuestos!$B$29/12)+BobinaMadre!K113*Supuestos!$B$30/52</f>
        <v>4.67910285</v>
      </c>
      <c r="L197" s="65">
        <f>MIN(Bobinas!$K$28,BobinaMadre!L113*Supuestos!$B$29/12)+BobinaMadre!L113*Supuestos!$B$30/52</f>
        <v>4.851134694</v>
      </c>
      <c r="M197" s="65">
        <f>MIN(Bobinas!$K$28,BobinaMadre!M113*Supuestos!$B$29/12)+BobinaMadre!M113*Supuestos!$B$30/52</f>
        <v>5.062059331</v>
      </c>
    </row>
    <row r="198" ht="14.25" customHeight="1">
      <c r="A198" s="7" t="s">
        <v>774</v>
      </c>
      <c r="B198" s="71">
        <f>BobinaMadre!$D$122</f>
        <v>4.75</v>
      </c>
      <c r="C198" s="7" t="str">
        <f>BobinaMadre!$F$122</f>
        <v>LAC</v>
      </c>
      <c r="D198" s="65">
        <f>MIN(Bobinas!$K$29,BobinaMadre!D133*Supuestos!$B$29/12)+BobinaMadre!D133*Supuestos!$B$30/52</f>
        <v>0.2803806714</v>
      </c>
      <c r="E198" s="65">
        <f>MIN(Bobinas!$K$29,BobinaMadre!E133*Supuestos!$B$29/12)+BobinaMadre!E133*Supuestos!$B$30/52</f>
        <v>0.4846618727</v>
      </c>
      <c r="F198" s="65">
        <f>MIN(Bobinas!$K$29,BobinaMadre!F133*Supuestos!$B$29/12)+BobinaMadre!F133*Supuestos!$B$30/52</f>
        <v>0.7466923173</v>
      </c>
      <c r="G198" s="65">
        <f>MIN(Bobinas!$K$29,BobinaMadre!G133*Supuestos!$B$29/12)+BobinaMadre!G133*Supuestos!$B$30/52</f>
        <v>1.255641255</v>
      </c>
      <c r="H198" s="65">
        <f>MIN(Bobinas!$K$29,BobinaMadre!H133*Supuestos!$B$29/12)+BobinaMadre!H133*Supuestos!$B$30/52</f>
        <v>2.063321091</v>
      </c>
      <c r="I198" s="65">
        <f>MIN(Bobinas!$K$29,BobinaMadre!I133*Supuestos!$B$29/12)+BobinaMadre!I133*Supuestos!$B$30/52</f>
        <v>2.381180986</v>
      </c>
      <c r="J198" s="65">
        <f>MIN(Bobinas!$K$29,BobinaMadre!J133*Supuestos!$B$29/12)+BobinaMadre!J133*Supuestos!$B$30/52</f>
        <v>2.510819941</v>
      </c>
      <c r="K198" s="65">
        <f>MIN(Bobinas!$K$29,BobinaMadre!K133*Supuestos!$B$29/12)+BobinaMadre!K133*Supuestos!$B$30/52</f>
        <v>2.646143869</v>
      </c>
      <c r="L198" s="65">
        <f>MIN(Bobinas!$K$29,BobinaMadre!L133*Supuestos!$B$29/12)+BobinaMadre!L133*Supuestos!$B$30/52</f>
        <v>2.740413661</v>
      </c>
      <c r="M198" s="65">
        <f>MIN(Bobinas!$K$29,BobinaMadre!M133*Supuestos!$B$29/12)+BobinaMadre!M133*Supuestos!$B$30/52</f>
        <v>2.856235975</v>
      </c>
    </row>
    <row r="199" ht="14.25" customHeight="1">
      <c r="A199" s="5" t="s">
        <v>425</v>
      </c>
      <c r="D199" s="73">
        <f t="shared" ref="D199:M199" si="25">SUM(D193:D198)</f>
        <v>3.335893155</v>
      </c>
      <c r="E199" s="73">
        <f t="shared" si="25"/>
        <v>5.775281574</v>
      </c>
      <c r="F199" s="73">
        <f t="shared" si="25"/>
        <v>9.966412052</v>
      </c>
      <c r="G199" s="73">
        <f t="shared" si="25"/>
        <v>18.46727498</v>
      </c>
      <c r="H199" s="73">
        <f t="shared" si="25"/>
        <v>27.53263754</v>
      </c>
      <c r="I199" s="73">
        <f t="shared" si="25"/>
        <v>30.86400238</v>
      </c>
      <c r="J199" s="73">
        <f t="shared" si="25"/>
        <v>32.92769594</v>
      </c>
      <c r="K199" s="73">
        <f t="shared" si="25"/>
        <v>35.04469467</v>
      </c>
      <c r="L199" s="73">
        <f t="shared" si="25"/>
        <v>36.44115097</v>
      </c>
      <c r="M199" s="73">
        <f t="shared" si="25"/>
        <v>38.20954676</v>
      </c>
    </row>
    <row r="200" ht="14.25" customHeight="1"/>
    <row r="201" ht="14.25" customHeight="1">
      <c r="A201" s="3" t="s">
        <v>786</v>
      </c>
    </row>
    <row r="202" ht="14.25" customHeight="1">
      <c r="A202" s="7" t="s">
        <v>542</v>
      </c>
      <c r="B202" s="71">
        <f>Nesting!$D$26</f>
        <v>0.9</v>
      </c>
      <c r="C202" s="7" t="str">
        <f>Nesting!$E$26</f>
        <v>LAF</v>
      </c>
      <c r="D202" s="50">
        <f>IF(Bobinas!$K$13=0,0,D66/Bobinas!$K$13)</f>
        <v>0.3764387844</v>
      </c>
      <c r="E202" s="50">
        <f>IF(Bobinas!$K$13=0,0,E66/Bobinas!$K$13)</f>
        <v>0.5402018162</v>
      </c>
      <c r="F202" s="50">
        <f>IF(Bobinas!$K$13=0,0,F66/Bobinas!$K$13)</f>
        <v>1.307401894</v>
      </c>
      <c r="G202" s="50">
        <f>IF(Bobinas!$K$13=0,0,G66/Bobinas!$K$13)</f>
        <v>3.167346384</v>
      </c>
      <c r="H202" s="50">
        <f>IF(Bobinas!$K$13=0,0,H66/Bobinas!$K$13)</f>
        <v>5.595327</v>
      </c>
      <c r="I202" s="50">
        <f>IF(Bobinas!$K$13=0,0,I66/Bobinas!$K$13)</f>
        <v>7.86386836</v>
      </c>
      <c r="J202" s="50">
        <f>IF(Bobinas!$K$13=0,0,J66/Bobinas!$K$13)</f>
        <v>10.96023275</v>
      </c>
      <c r="K202" s="50">
        <f>IF(Bobinas!$K$13=0,0,K66/Bobinas!$K$13)</f>
        <v>14.06425382</v>
      </c>
      <c r="L202" s="50">
        <f>IF(Bobinas!$K$13=0,0,L66/Bobinas!$K$13)</f>
        <v>15.79916911</v>
      </c>
      <c r="M202" s="50">
        <f>IF(Bobinas!$K$13=0,0,M66/Bobinas!$K$13)</f>
        <v>18.25183128</v>
      </c>
    </row>
    <row r="203" ht="14.25" customHeight="1">
      <c r="A203" s="7" t="s">
        <v>547</v>
      </c>
      <c r="B203" s="71">
        <f>Nesting!$D$27</f>
        <v>0.9</v>
      </c>
      <c r="C203" s="7" t="str">
        <f>Nesting!$E$27</f>
        <v>LAF</v>
      </c>
      <c r="D203" s="50">
        <f>IF(Bobinas!$K$14=0,0,D67/Bobinas!$K$14)</f>
        <v>0.3247952148</v>
      </c>
      <c r="E203" s="50">
        <f>IF(Bobinas!$K$14=0,0,E67/Bobinas!$K$14)</f>
        <v>0.4660916255</v>
      </c>
      <c r="F203" s="50">
        <f>IF(Bobinas!$K$14=0,0,F67/Bobinas!$K$14)</f>
        <v>1.128039662</v>
      </c>
      <c r="G203" s="50">
        <f>IF(Bobinas!$K$14=0,0,G67/Bobinas!$K$14)</f>
        <v>2.732818699</v>
      </c>
      <c r="H203" s="50">
        <f>IF(Bobinas!$K$14=0,0,H67/Bobinas!$K$14)</f>
        <v>4.827705088</v>
      </c>
      <c r="I203" s="50">
        <f>IF(Bobinas!$K$14=0,0,I67/Bobinas!$K$14)</f>
        <v>6.785025665</v>
      </c>
      <c r="J203" s="50">
        <f>IF(Bobinas!$K$14=0,0,J67/Bobinas!$K$14)</f>
        <v>9.456600375</v>
      </c>
      <c r="K203" s="50">
        <f>IF(Bobinas!$K$14=0,0,K67/Bobinas!$K$14)</f>
        <v>12.13478135</v>
      </c>
      <c r="L203" s="50">
        <f>IF(Bobinas!$K$14=0,0,L67/Bobinas!$K$14)</f>
        <v>13.63168392</v>
      </c>
      <c r="M203" s="50">
        <f>IF(Bobinas!$K$14=0,0,M67/Bobinas!$K$14)</f>
        <v>15.74786581</v>
      </c>
    </row>
    <row r="204" ht="14.25" customHeight="1">
      <c r="A204" s="7" t="s">
        <v>550</v>
      </c>
      <c r="B204" s="71">
        <f>Nesting!$D$28</f>
        <v>1.25</v>
      </c>
      <c r="C204" s="7" t="str">
        <f>Nesting!$E$28</f>
        <v>LAF</v>
      </c>
      <c r="D204" s="50">
        <f>IF(Bobinas!$K$15=0,0,D68/Bobinas!$K$15)</f>
        <v>0.212331809</v>
      </c>
      <c r="E204" s="50">
        <f>IF(Bobinas!$K$15=0,0,E68/Bobinas!$K$15)</f>
        <v>0.5103161106</v>
      </c>
      <c r="F204" s="50">
        <f>IF(Bobinas!$K$15=0,0,F68/Bobinas!$K$15)</f>
        <v>0.9263425025</v>
      </c>
      <c r="G204" s="50">
        <f>IF(Bobinas!$K$15=0,0,G68/Bobinas!$K$15)</f>
        <v>1.831811709</v>
      </c>
      <c r="H204" s="50">
        <f>IF(Bobinas!$K$15=0,0,H68/Bobinas!$K$15)</f>
        <v>3.055418744</v>
      </c>
      <c r="I204" s="50">
        <f>IF(Bobinas!$K$15=0,0,I68/Bobinas!$K$15)</f>
        <v>4.358200352</v>
      </c>
      <c r="J204" s="50">
        <f>IF(Bobinas!$K$15=0,0,J68/Bobinas!$K$15)</f>
        <v>5.805655497</v>
      </c>
      <c r="K204" s="50">
        <f>IF(Bobinas!$K$15=0,0,K68/Bobinas!$K$15)</f>
        <v>7.361795739</v>
      </c>
      <c r="L204" s="50">
        <f>IF(Bobinas!$K$15=0,0,L68/Bobinas!$K$15)</f>
        <v>8.591160925</v>
      </c>
      <c r="M204" s="50">
        <f>IF(Bobinas!$K$15=0,0,M68/Bobinas!$K$15)</f>
        <v>10.14442209</v>
      </c>
    </row>
    <row r="205" ht="14.25" customHeight="1">
      <c r="A205" s="7" t="s">
        <v>558</v>
      </c>
      <c r="B205" s="71">
        <f>Nesting!$D$29</f>
        <v>1.25</v>
      </c>
      <c r="C205" s="7" t="str">
        <f>Nesting!$E$29</f>
        <v>LAF</v>
      </c>
      <c r="D205" s="50">
        <f>IF(Bobinas!$K$16=0,0,D69/Bobinas!$K$16)</f>
        <v>0.176165402</v>
      </c>
      <c r="E205" s="50">
        <f>IF(Bobinas!$K$16=0,0,E69/Bobinas!$K$16)</f>
        <v>0.4233941357</v>
      </c>
      <c r="F205" s="50">
        <f>IF(Bobinas!$K$16=0,0,F69/Bobinas!$K$16)</f>
        <v>0.7685588894</v>
      </c>
      <c r="G205" s="50">
        <f>IF(Bobinas!$K$16=0,0,G69/Bobinas!$K$16)</f>
        <v>1.519799824</v>
      </c>
      <c r="H205" s="50">
        <f>IF(Bobinas!$K$16=0,0,H69/Bobinas!$K$16)</f>
        <v>2.534990276</v>
      </c>
      <c r="I205" s="50">
        <f>IF(Bobinas!$K$16=0,0,I69/Bobinas!$K$16)</f>
        <v>3.615869523</v>
      </c>
      <c r="J205" s="50">
        <f>IF(Bobinas!$K$16=0,0,J69/Bobinas!$K$16)</f>
        <v>4.816780111</v>
      </c>
      <c r="K205" s="50">
        <f>IF(Bobinas!$K$16=0,0,K69/Bobinas!$K$16)</f>
        <v>6.107863497</v>
      </c>
      <c r="L205" s="50">
        <f>IF(Bobinas!$K$16=0,0,L69/Bobinas!$K$16)</f>
        <v>7.127831317</v>
      </c>
      <c r="M205" s="50">
        <f>IF(Bobinas!$K$16=0,0,M69/Bobinas!$K$16)</f>
        <v>8.41652602</v>
      </c>
    </row>
    <row r="206" ht="14.25" customHeight="1">
      <c r="A206" s="7" t="s">
        <v>562</v>
      </c>
      <c r="B206" s="71">
        <f>Nesting!$D$30</f>
        <v>1.6</v>
      </c>
      <c r="C206" s="7" t="str">
        <f>Nesting!$E$30</f>
        <v>LAF</v>
      </c>
      <c r="D206" s="50">
        <f>IF(Bobinas!$K$17=0,0,D70/Bobinas!$K$17)</f>
        <v>2.664694995</v>
      </c>
      <c r="E206" s="50">
        <f>IF(Bobinas!$K$17=0,0,E70/Bobinas!$K$17)</f>
        <v>4.543919169</v>
      </c>
      <c r="F206" s="50">
        <f>IF(Bobinas!$K$17=0,0,F70/Bobinas!$K$17)</f>
        <v>7.763758955</v>
      </c>
      <c r="G206" s="50">
        <f>IF(Bobinas!$K$17=0,0,G70/Bobinas!$K$17)</f>
        <v>14.14438057</v>
      </c>
      <c r="H206" s="50">
        <f>IF(Bobinas!$K$17=0,0,H70/Bobinas!$K$17)</f>
        <v>24.04839987</v>
      </c>
      <c r="I206" s="50">
        <f>IF(Bobinas!$K$17=0,0,I70/Bobinas!$K$17)</f>
        <v>33.59216563</v>
      </c>
      <c r="J206" s="50">
        <f>IF(Bobinas!$K$17=0,0,J70/Bobinas!$K$17)</f>
        <v>45.40021344</v>
      </c>
      <c r="K206" s="50">
        <f>IF(Bobinas!$K$17=0,0,K70/Bobinas!$K$17)</f>
        <v>57.46457278</v>
      </c>
      <c r="L206" s="50">
        <f>IF(Bobinas!$K$17=0,0,L70/Bobinas!$K$17)</f>
        <v>65.32282447</v>
      </c>
      <c r="M206" s="50">
        <f>IF(Bobinas!$K$17=0,0,M70/Bobinas!$K$17)</f>
        <v>75.19967711</v>
      </c>
    </row>
    <row r="207" ht="14.25" customHeight="1">
      <c r="A207" s="7" t="s">
        <v>577</v>
      </c>
      <c r="B207" s="71">
        <f>Nesting!$D$31</f>
        <v>1.6</v>
      </c>
      <c r="C207" s="7" t="str">
        <f>Nesting!$E$31</f>
        <v>LAF</v>
      </c>
      <c r="D207" s="50">
        <f>IF(Bobinas!$K$18=0,0,D71/Bobinas!$K$18)</f>
        <v>2.055621853</v>
      </c>
      <c r="E207" s="50">
        <f>IF(Bobinas!$K$18=0,0,E71/Bobinas!$K$18)</f>
        <v>3.505309073</v>
      </c>
      <c r="F207" s="50">
        <f>IF(Bobinas!$K$18=0,0,F71/Bobinas!$K$18)</f>
        <v>5.989185479</v>
      </c>
      <c r="G207" s="50">
        <f>IF(Bobinas!$K$18=0,0,G71/Bobinas!$K$18)</f>
        <v>10.9113793</v>
      </c>
      <c r="H207" s="50">
        <f>IF(Bobinas!$K$18=0,0,H71/Bobinas!$K$18)</f>
        <v>18.55162275</v>
      </c>
      <c r="I207" s="50">
        <f>IF(Bobinas!$K$18=0,0,I71/Bobinas!$K$18)</f>
        <v>25.91395634</v>
      </c>
      <c r="J207" s="50">
        <f>IF(Bobinas!$K$18=0,0,J71/Bobinas!$K$18)</f>
        <v>35.0230218</v>
      </c>
      <c r="K207" s="50">
        <f>IF(Bobinas!$K$18=0,0,K71/Bobinas!$K$18)</f>
        <v>44.32981329</v>
      </c>
      <c r="L207" s="50">
        <f>IF(Bobinas!$K$18=0,0,L71/Bobinas!$K$18)</f>
        <v>50.39189316</v>
      </c>
      <c r="M207" s="50">
        <f>IF(Bobinas!$K$18=0,0,M71/Bobinas!$K$18)</f>
        <v>58.01117948</v>
      </c>
    </row>
    <row r="208" ht="14.25" customHeight="1">
      <c r="A208" s="7" t="s">
        <v>586</v>
      </c>
      <c r="B208" s="71">
        <f>Nesting!$D$32</f>
        <v>2</v>
      </c>
      <c r="C208" s="7" t="str">
        <f>Nesting!$E$32</f>
        <v>LAF</v>
      </c>
      <c r="D208" s="50">
        <f>IF(Bobinas!$K$19=0,0,D72/Bobinas!$K$19)</f>
        <v>0.1519392482</v>
      </c>
      <c r="E208" s="50">
        <f>IF(Bobinas!$K$19=0,0,E72/Bobinas!$K$19)</f>
        <v>0.2923179015</v>
      </c>
      <c r="F208" s="50">
        <f>IF(Bobinas!$K$19=0,0,F72/Bobinas!$K$19)</f>
        <v>0.5664691538</v>
      </c>
      <c r="G208" s="50">
        <f>IF(Bobinas!$K$19=0,0,G72/Bobinas!$K$19)</f>
        <v>1.111468631</v>
      </c>
      <c r="H208" s="50">
        <f>IF(Bobinas!$K$19=0,0,H72/Bobinas!$K$19)</f>
        <v>1.958695091</v>
      </c>
      <c r="I208" s="50">
        <f>IF(Bobinas!$K$19=0,0,I72/Bobinas!$K$19)</f>
        <v>2.83730031</v>
      </c>
      <c r="J208" s="50">
        <f>IF(Bobinas!$K$19=0,0,J72/Bobinas!$K$19)</f>
        <v>3.834814505</v>
      </c>
      <c r="K208" s="50">
        <f>IF(Bobinas!$K$19=0,0,K72/Bobinas!$K$19)</f>
        <v>4.855449889</v>
      </c>
      <c r="L208" s="50">
        <f>IF(Bobinas!$K$19=0,0,L72/Bobinas!$K$19)</f>
        <v>5.521009857</v>
      </c>
      <c r="M208" s="50">
        <f>IF(Bobinas!$K$19=0,0,M72/Bobinas!$K$19)</f>
        <v>6.361630263</v>
      </c>
    </row>
    <row r="209" ht="14.25" customHeight="1">
      <c r="A209" s="7" t="s">
        <v>588</v>
      </c>
      <c r="B209" s="71">
        <f>Nesting!$D$33</f>
        <v>2</v>
      </c>
      <c r="C209" s="7" t="str">
        <f>Nesting!$E$33</f>
        <v>LAF</v>
      </c>
      <c r="D209" s="50">
        <f>IF(Bobinas!$K$20=0,0,D73/Bobinas!$K$20)</f>
        <v>0.1507516771</v>
      </c>
      <c r="E209" s="50">
        <f>IF(Bobinas!$K$20=0,0,E73/Bobinas!$K$20)</f>
        <v>0.2900331179</v>
      </c>
      <c r="F209" s="50">
        <f>IF(Bobinas!$K$20=0,0,F73/Bobinas!$K$20)</f>
        <v>0.5620415788</v>
      </c>
      <c r="G209" s="50">
        <f>IF(Bobinas!$K$20=0,0,G73/Bobinas!$K$20)</f>
        <v>1.10278129</v>
      </c>
      <c r="H209" s="50">
        <f>IF(Bobinas!$K$20=0,0,H73/Bobinas!$K$20)</f>
        <v>1.943385751</v>
      </c>
      <c r="I209" s="50">
        <f>IF(Bobinas!$K$20=0,0,I73/Bobinas!$K$20)</f>
        <v>2.815123709</v>
      </c>
      <c r="J209" s="50">
        <f>IF(Bobinas!$K$20=0,0,J73/Bobinas!$K$20)</f>
        <v>3.804841242</v>
      </c>
      <c r="K209" s="50">
        <f>IF(Bobinas!$K$20=0,0,K73/Bobinas!$K$20)</f>
        <v>4.817499247</v>
      </c>
      <c r="L209" s="50">
        <f>IF(Bobinas!$K$20=0,0,L73/Bobinas!$K$20)</f>
        <v>5.477857137</v>
      </c>
      <c r="M209" s="50">
        <f>IF(Bobinas!$K$20=0,0,M73/Bobinas!$K$20)</f>
        <v>6.311907176</v>
      </c>
    </row>
    <row r="210" ht="14.25" customHeight="1">
      <c r="A210" s="5" t="s">
        <v>425</v>
      </c>
      <c r="D210" s="83">
        <f t="shared" ref="D210:M210" si="26">SUM(D202:D209)</f>
        <v>6.112738984</v>
      </c>
      <c r="E210" s="83">
        <f t="shared" si="26"/>
        <v>10.57158295</v>
      </c>
      <c r="F210" s="83">
        <f t="shared" si="26"/>
        <v>19.01179812</v>
      </c>
      <c r="G210" s="83">
        <f t="shared" si="26"/>
        <v>36.5217864</v>
      </c>
      <c r="H210" s="83">
        <f t="shared" si="26"/>
        <v>62.51554457</v>
      </c>
      <c r="I210" s="83">
        <f t="shared" si="26"/>
        <v>87.78150989</v>
      </c>
      <c r="J210" s="83">
        <f t="shared" si="26"/>
        <v>119.1021597</v>
      </c>
      <c r="K210" s="83">
        <f t="shared" si="26"/>
        <v>151.1360296</v>
      </c>
      <c r="L210" s="83">
        <f t="shared" si="26"/>
        <v>171.8634299</v>
      </c>
      <c r="M210" s="83">
        <f t="shared" si="26"/>
        <v>198.4450392</v>
      </c>
    </row>
    <row r="211" ht="14.25" customHeight="1"/>
    <row r="212" ht="14.25" customHeight="1">
      <c r="A212" s="3" t="s">
        <v>787</v>
      </c>
    </row>
    <row r="213" ht="14.25" customHeight="1">
      <c r="A213" s="3" t="s">
        <v>788</v>
      </c>
    </row>
    <row r="214" ht="14.25" customHeight="1">
      <c r="A214" s="7" t="s">
        <v>789</v>
      </c>
      <c r="D214" s="16">
        <f t="shared" ref="D214:M214" si="27">SUMPRODUCT(D44:D50,$N$44:$N$50)*1000</f>
        <v>9634.098278</v>
      </c>
      <c r="E214" s="16">
        <f t="shared" si="27"/>
        <v>16848.39864</v>
      </c>
      <c r="F214" s="16">
        <f t="shared" si="27"/>
        <v>28258.50908</v>
      </c>
      <c r="G214" s="16">
        <f t="shared" si="27"/>
        <v>50847.73315</v>
      </c>
      <c r="H214" s="16">
        <f t="shared" si="27"/>
        <v>85880.22358</v>
      </c>
      <c r="I214" s="16">
        <f t="shared" si="27"/>
        <v>120346.1734</v>
      </c>
      <c r="J214" s="16">
        <f t="shared" si="27"/>
        <v>162040.787</v>
      </c>
      <c r="K214" s="16">
        <f t="shared" si="27"/>
        <v>205006.0929</v>
      </c>
      <c r="L214" s="16">
        <f t="shared" si="27"/>
        <v>233969.9974</v>
      </c>
      <c r="M214" s="16">
        <f t="shared" si="27"/>
        <v>270124.2675</v>
      </c>
    </row>
    <row r="215" ht="14.25" customHeight="1">
      <c r="A215" s="7" t="s">
        <v>790</v>
      </c>
      <c r="D215" s="16">
        <f t="shared" ref="D215:M215" si="28">SUMPRODUCT(D66:D73,$N$66:$N$73)*1000</f>
        <v>4457.930589</v>
      </c>
      <c r="E215" s="16">
        <f t="shared" si="28"/>
        <v>7572.966482</v>
      </c>
      <c r="F215" s="16">
        <f t="shared" si="28"/>
        <v>14002.5872</v>
      </c>
      <c r="G215" s="16">
        <f t="shared" si="28"/>
        <v>27633.33881</v>
      </c>
      <c r="H215" s="16">
        <f t="shared" si="28"/>
        <v>47515.76786</v>
      </c>
      <c r="I215" s="16">
        <f t="shared" si="28"/>
        <v>66734.71386</v>
      </c>
      <c r="J215" s="16">
        <f t="shared" si="28"/>
        <v>90882.62657</v>
      </c>
      <c r="K215" s="16">
        <f t="shared" si="28"/>
        <v>115500.6325</v>
      </c>
      <c r="L215" s="16">
        <f t="shared" si="28"/>
        <v>131096.0935</v>
      </c>
      <c r="M215" s="16">
        <f t="shared" si="28"/>
        <v>151352.6366</v>
      </c>
    </row>
    <row r="216" ht="14.25" customHeight="1">
      <c r="A216" s="7" t="s">
        <v>791</v>
      </c>
      <c r="D216" s="16">
        <f t="shared" ref="D216:M216" si="29">SUMPRODUCT(D91:D98,$N$91:$N$98)*1000</f>
        <v>10612.58163</v>
      </c>
      <c r="E216" s="16">
        <f t="shared" si="29"/>
        <v>18532.96998</v>
      </c>
      <c r="F216" s="16">
        <f t="shared" si="29"/>
        <v>31085.05346</v>
      </c>
      <c r="G216" s="16">
        <f t="shared" si="29"/>
        <v>55918.62272</v>
      </c>
      <c r="H216" s="16">
        <f t="shared" si="29"/>
        <v>94442.76307</v>
      </c>
      <c r="I216" s="16">
        <f t="shared" si="29"/>
        <v>132310.931</v>
      </c>
      <c r="J216" s="16">
        <f t="shared" si="29"/>
        <v>178168.7455</v>
      </c>
      <c r="K216" s="16">
        <f t="shared" si="29"/>
        <v>225415.457</v>
      </c>
      <c r="L216" s="16">
        <f t="shared" si="29"/>
        <v>257235.1049</v>
      </c>
      <c r="M216" s="16">
        <f t="shared" si="29"/>
        <v>296951.2465</v>
      </c>
    </row>
    <row r="217" ht="14.25" customHeight="1">
      <c r="A217" s="7" t="s">
        <v>792</v>
      </c>
      <c r="D217" s="16">
        <f t="shared" ref="D217:M217" si="30">SUMPRODUCT(D126:D133,$N$126:$N$133)*1000</f>
        <v>5127.643067</v>
      </c>
      <c r="E217" s="16">
        <f t="shared" si="30"/>
        <v>8679.634196</v>
      </c>
      <c r="F217" s="16">
        <f t="shared" si="30"/>
        <v>16055.41487</v>
      </c>
      <c r="G217" s="16">
        <f t="shared" si="30"/>
        <v>31701.27856</v>
      </c>
      <c r="H217" s="16">
        <f t="shared" si="30"/>
        <v>54520.53927</v>
      </c>
      <c r="I217" s="16">
        <f t="shared" si="30"/>
        <v>76547.85602</v>
      </c>
      <c r="J217" s="16">
        <f t="shared" si="30"/>
        <v>104277.981</v>
      </c>
      <c r="K217" s="16">
        <f t="shared" si="30"/>
        <v>132533.8313</v>
      </c>
      <c r="L217" s="16">
        <f t="shared" si="30"/>
        <v>150387.8368</v>
      </c>
      <c r="M217" s="16">
        <f t="shared" si="30"/>
        <v>173594.1009</v>
      </c>
    </row>
    <row r="218" ht="14.25" customHeight="1">
      <c r="A218" s="7" t="s">
        <v>289</v>
      </c>
      <c r="D218" s="16">
        <f t="shared" ref="D218:M218" si="31">SUMPRODUCT(D163:D168,$N$163:$N$168)*1000</f>
        <v>14100.76124</v>
      </c>
      <c r="E218" s="16">
        <f t="shared" si="31"/>
        <v>24417.16201</v>
      </c>
      <c r="F218" s="16">
        <f t="shared" si="31"/>
        <v>42264.97797</v>
      </c>
      <c r="G218" s="16">
        <f t="shared" si="31"/>
        <v>78510.53423</v>
      </c>
      <c r="H218" s="16">
        <f t="shared" si="31"/>
        <v>133448.845</v>
      </c>
      <c r="I218" s="16">
        <f t="shared" si="31"/>
        <v>187139.2881</v>
      </c>
      <c r="J218" s="16">
        <f t="shared" si="31"/>
        <v>253058.7888</v>
      </c>
      <c r="K218" s="16">
        <f t="shared" si="31"/>
        <v>320663.8527</v>
      </c>
      <c r="L218" s="16">
        <f t="shared" si="31"/>
        <v>365193.68</v>
      </c>
      <c r="M218" s="16">
        <f t="shared" si="31"/>
        <v>421626.9664</v>
      </c>
    </row>
    <row r="219" ht="14.25" customHeight="1">
      <c r="A219" s="7" t="s">
        <v>793</v>
      </c>
      <c r="D219" s="16">
        <f t="shared" ref="D219:M219" si="32">SUMPRODUCT(D19:D25,$N$19:$N$25)*1000</f>
        <v>10594.86662</v>
      </c>
      <c r="E219" s="16">
        <f t="shared" si="32"/>
        <v>18522.60789</v>
      </c>
      <c r="F219" s="16">
        <f t="shared" si="32"/>
        <v>31136.91896</v>
      </c>
      <c r="G219" s="16">
        <f t="shared" si="32"/>
        <v>56121.76864</v>
      </c>
      <c r="H219" s="16">
        <f t="shared" si="32"/>
        <v>94852.43961</v>
      </c>
      <c r="I219" s="16">
        <f t="shared" si="32"/>
        <v>132925.0306</v>
      </c>
      <c r="J219" s="16">
        <f t="shared" si="32"/>
        <v>179025.0782</v>
      </c>
      <c r="K219" s="16">
        <f t="shared" si="32"/>
        <v>226506.1395</v>
      </c>
      <c r="L219" s="16">
        <f t="shared" si="32"/>
        <v>258449.6931</v>
      </c>
      <c r="M219" s="16">
        <f t="shared" si="32"/>
        <v>298351.4031</v>
      </c>
    </row>
    <row r="220" ht="14.25" customHeight="1"/>
    <row r="221" ht="14.25" customHeight="1">
      <c r="A221" s="72" t="s">
        <v>794</v>
      </c>
    </row>
    <row r="222" ht="14.25" customHeight="1">
      <c r="A222" s="7" t="s">
        <v>795</v>
      </c>
      <c r="D222" s="16">
        <f t="shared" ref="D222:M222" si="33">D214+D215</f>
        <v>14092.02887</v>
      </c>
      <c r="E222" s="16">
        <f t="shared" si="33"/>
        <v>24421.36512</v>
      </c>
      <c r="F222" s="16">
        <f t="shared" si="33"/>
        <v>42261.09628</v>
      </c>
      <c r="G222" s="16">
        <f t="shared" si="33"/>
        <v>78481.07196</v>
      </c>
      <c r="H222" s="16">
        <f t="shared" si="33"/>
        <v>133395.9914</v>
      </c>
      <c r="I222" s="16">
        <f t="shared" si="33"/>
        <v>187080.8873</v>
      </c>
      <c r="J222" s="16">
        <f t="shared" si="33"/>
        <v>252923.4136</v>
      </c>
      <c r="K222" s="16">
        <f t="shared" si="33"/>
        <v>320506.7255</v>
      </c>
      <c r="L222" s="16">
        <f t="shared" si="33"/>
        <v>365066.0909</v>
      </c>
      <c r="M222" s="16">
        <f t="shared" si="33"/>
        <v>421476.904</v>
      </c>
    </row>
    <row r="223" ht="14.25" customHeight="1">
      <c r="A223" s="7" t="s">
        <v>796</v>
      </c>
      <c r="D223" s="65">
        <f t="shared" ref="D223:M223" si="34">D51+D74</f>
        <v>11.71282706</v>
      </c>
      <c r="E223" s="65">
        <f t="shared" si="34"/>
        <v>20.29835135</v>
      </c>
      <c r="F223" s="65">
        <f t="shared" si="34"/>
        <v>35.02221686</v>
      </c>
      <c r="G223" s="65">
        <f t="shared" si="34"/>
        <v>64.8737102</v>
      </c>
      <c r="H223" s="65">
        <f t="shared" si="34"/>
        <v>110.1951411</v>
      </c>
      <c r="I223" s="65">
        <f t="shared" si="34"/>
        <v>154.5163373</v>
      </c>
      <c r="J223" s="65">
        <f t="shared" si="34"/>
        <v>208.8414597</v>
      </c>
      <c r="K223" s="65">
        <f t="shared" si="34"/>
        <v>264.620856</v>
      </c>
      <c r="L223" s="65">
        <f t="shared" si="34"/>
        <v>301.455154</v>
      </c>
      <c r="M223" s="65">
        <f t="shared" si="34"/>
        <v>348.0434282</v>
      </c>
    </row>
    <row r="224" ht="14.25" customHeight="1">
      <c r="A224" s="7" t="s">
        <v>797</v>
      </c>
      <c r="D224" s="65">
        <f t="shared" ref="D224:M224" si="35">D223-D41</f>
        <v>1.517727197</v>
      </c>
      <c r="E224" s="65">
        <f t="shared" si="35"/>
        <v>2.613892236</v>
      </c>
      <c r="F224" s="65">
        <f t="shared" si="35"/>
        <v>4.652276107</v>
      </c>
      <c r="G224" s="65">
        <f t="shared" si="35"/>
        <v>8.889407752</v>
      </c>
      <c r="H224" s="65">
        <f t="shared" si="35"/>
        <v>15.17564672</v>
      </c>
      <c r="I224" s="65">
        <f t="shared" si="35"/>
        <v>21.30240453</v>
      </c>
      <c r="J224" s="65">
        <f t="shared" si="35"/>
        <v>28.88861946</v>
      </c>
      <c r="K224" s="65">
        <f t="shared" si="35"/>
        <v>36.65972664</v>
      </c>
      <c r="L224" s="65">
        <f t="shared" si="35"/>
        <v>41.71179574</v>
      </c>
      <c r="M224" s="65">
        <f t="shared" si="35"/>
        <v>48.18277831</v>
      </c>
    </row>
    <row r="225" ht="14.25" customHeight="1">
      <c r="A225" s="7" t="s">
        <v>679</v>
      </c>
      <c r="D225" s="16">
        <f>-D224*Supuestos!$B$7</f>
        <v>-379.4317993</v>
      </c>
      <c r="E225" s="16">
        <f>-E224*Supuestos!$B$7</f>
        <v>-653.4730589</v>
      </c>
      <c r="F225" s="16">
        <f>-F224*Supuestos!$B$7</f>
        <v>-1163.069027</v>
      </c>
      <c r="G225" s="16">
        <f>-G224*Supuestos!$B$7</f>
        <v>-2222.351938</v>
      </c>
      <c r="H225" s="16">
        <f>-H224*Supuestos!$B$7</f>
        <v>-3793.91168</v>
      </c>
      <c r="I225" s="16">
        <f>-I224*Supuestos!$B$7</f>
        <v>-5325.601132</v>
      </c>
      <c r="J225" s="16">
        <f>-J224*Supuestos!$B$7</f>
        <v>-7222.154866</v>
      </c>
      <c r="K225" s="16">
        <f>-K224*Supuestos!$B$7</f>
        <v>-9164.931661</v>
      </c>
      <c r="L225" s="16">
        <f>-L224*Supuestos!$B$7</f>
        <v>-10427.94894</v>
      </c>
      <c r="M225" s="16">
        <f>-M224*Supuestos!$B$7</f>
        <v>-12045.69458</v>
      </c>
    </row>
    <row r="226" ht="14.25" customHeight="1">
      <c r="A226" s="7" t="s">
        <v>498</v>
      </c>
      <c r="D226" s="65">
        <f t="shared" ref="D226:M226" si="36">D190</f>
        <v>1.914596731</v>
      </c>
      <c r="E226" s="65">
        <f t="shared" si="36"/>
        <v>3.277205802</v>
      </c>
      <c r="F226" s="65">
        <f t="shared" si="36"/>
        <v>5.318179434</v>
      </c>
      <c r="G226" s="65">
        <f t="shared" si="36"/>
        <v>9.411566726</v>
      </c>
      <c r="H226" s="65">
        <f t="shared" si="36"/>
        <v>15.20250075</v>
      </c>
      <c r="I226" s="65">
        <f t="shared" si="36"/>
        <v>17.88184563</v>
      </c>
      <c r="J226" s="65">
        <f t="shared" si="36"/>
        <v>20.17968027</v>
      </c>
      <c r="K226" s="65">
        <f t="shared" si="36"/>
        <v>22.35272523</v>
      </c>
      <c r="L226" s="65">
        <f t="shared" si="36"/>
        <v>23.769429</v>
      </c>
      <c r="M226" s="65">
        <f t="shared" si="36"/>
        <v>25.5612857</v>
      </c>
    </row>
    <row r="227" ht="14.25" customHeight="1">
      <c r="A227" s="7" t="s">
        <v>685</v>
      </c>
      <c r="D227" s="16">
        <f>IF(D223=0,0,D226*D222/D223*Supuestos!$B$17)</f>
        <v>276.4205662</v>
      </c>
      <c r="E227" s="16">
        <f>IF(E223=0,0,E226*E222/E223*Supuestos!$B$17)</f>
        <v>473.1448664</v>
      </c>
      <c r="F227" s="16">
        <f>IF(F223=0,0,F226*F222/F223*Supuestos!$B$17)</f>
        <v>770.089777</v>
      </c>
      <c r="G227" s="16">
        <f>IF(G223=0,0,G226*G222/G223*Supuestos!$B$17)</f>
        <v>1366.278901</v>
      </c>
      <c r="H227" s="16">
        <f>IF(H223=0,0,H226*H222/H223*Supuestos!$B$17)</f>
        <v>2208.394278</v>
      </c>
      <c r="I227" s="16">
        <f>IF(I223=0,0,I226*I222/I223*Supuestos!$B$17)</f>
        <v>2598.056572</v>
      </c>
      <c r="J227" s="16">
        <f>IF(J223=0,0,J226*J222/J223*Supuestos!$B$17)</f>
        <v>2932.701367</v>
      </c>
      <c r="K227" s="16">
        <f>IF(K223=0,0,K226*K222/K223*Supuestos!$B$17)</f>
        <v>3248.813662</v>
      </c>
      <c r="L227" s="16">
        <f>IF(L223=0,0,L226*L222/L223*Supuestos!$B$17)</f>
        <v>3454.210318</v>
      </c>
      <c r="M227" s="16">
        <f>IF(M223=0,0,M226*M222/M223*Supuestos!$B$17)</f>
        <v>3714.533539</v>
      </c>
    </row>
    <row r="228" ht="14.25" customHeight="1">
      <c r="A228" s="7" t="s">
        <v>798</v>
      </c>
      <c r="D228" s="16">
        <f>D63/Supuestos!$B$35+SUM(D9:D15)/Supuestos!$B$36+D210*Supuestos!$B$38/60</f>
        <v>17.77721252</v>
      </c>
      <c r="E228" s="16">
        <f>E63/Supuestos!$B$35+SUM(E9:E15)/Supuestos!$B$36+E210*Supuestos!$B$38/60</f>
        <v>31.67970129</v>
      </c>
      <c r="F228" s="16">
        <f>F63/Supuestos!$B$35+SUM(F9:F15)/Supuestos!$B$36+F210*Supuestos!$B$38/60</f>
        <v>54.81892175</v>
      </c>
      <c r="G228" s="16">
        <f>G63/Supuestos!$B$35+SUM(G9:G15)/Supuestos!$B$36+G210*Supuestos!$B$38/60</f>
        <v>101.4805855</v>
      </c>
      <c r="H228" s="16">
        <f>H63/Supuestos!$B$35+SUM(H9:H15)/Supuestos!$B$36+H210*Supuestos!$B$38/60</f>
        <v>172.237775</v>
      </c>
      <c r="I228" s="16">
        <f>I63/Supuestos!$B$35+SUM(I9:I15)/Supuestos!$B$36+I210*Supuestos!$B$38/60</f>
        <v>241.7767664</v>
      </c>
      <c r="J228" s="16">
        <f>J63/Supuestos!$B$35+SUM(J9:J15)/Supuestos!$B$36+J210*Supuestos!$B$38/60</f>
        <v>326.0727622</v>
      </c>
      <c r="K228" s="16">
        <f>K63/Supuestos!$B$35+SUM(K9:K15)/Supuestos!$B$36+K210*Supuestos!$B$38/60</f>
        <v>412.8919241</v>
      </c>
      <c r="L228" s="16">
        <f>L63/Supuestos!$B$35+SUM(L9:L15)/Supuestos!$B$36+L210*Supuestos!$B$38/60</f>
        <v>471.3121075</v>
      </c>
      <c r="M228" s="16">
        <f>M63/Supuestos!$B$35+SUM(M9:M15)/Supuestos!$B$36+M210*Supuestos!$B$38/60</f>
        <v>544.8808431</v>
      </c>
    </row>
    <row r="229" ht="14.25" customHeight="1">
      <c r="A229" s="7" t="s">
        <v>799</v>
      </c>
      <c r="D229" s="16">
        <f>D228*Supuestos!$B$48</f>
        <v>111.6644307</v>
      </c>
      <c r="E229" s="16">
        <f>E228*Supuestos!$B$48</f>
        <v>198.9904663</v>
      </c>
      <c r="F229" s="16">
        <f>F228*Supuestos!$B$48</f>
        <v>344.3354058</v>
      </c>
      <c r="G229" s="16">
        <f>G228*Supuestos!$B$48</f>
        <v>637.4324315</v>
      </c>
      <c r="H229" s="16">
        <f>H228*Supuestos!$B$48</f>
        <v>1081.88126</v>
      </c>
      <c r="I229" s="16">
        <f>I228*Supuestos!$B$48</f>
        <v>1518.678192</v>
      </c>
      <c r="J229" s="16">
        <f>J228*Supuestos!$B$48</f>
        <v>2048.168648</v>
      </c>
      <c r="K229" s="16">
        <f>K228*Supuestos!$B$48</f>
        <v>2593.507929</v>
      </c>
      <c r="L229" s="16">
        <f>L228*Supuestos!$B$48</f>
        <v>2960.464026</v>
      </c>
      <c r="M229" s="16">
        <f>M228*Supuestos!$B$48</f>
        <v>3422.573086</v>
      </c>
    </row>
    <row r="230" ht="14.25" customHeight="1">
      <c r="A230" s="7" t="s">
        <v>703</v>
      </c>
      <c r="D230" s="16">
        <f>Supuestos!$H$108*Supuestos!$B$18</f>
        <v>4704.329239</v>
      </c>
      <c r="E230" s="16">
        <f>Supuestos!$H$108*Supuestos!$B$18</f>
        <v>4704.329239</v>
      </c>
      <c r="F230" s="16">
        <f>Supuestos!$H$108*Supuestos!$B$18</f>
        <v>4704.329239</v>
      </c>
      <c r="G230" s="16">
        <f>Supuestos!$H$108*Supuestos!$B$18</f>
        <v>4704.329239</v>
      </c>
      <c r="H230" s="16">
        <f>Supuestos!$H$108*Supuestos!$B$18</f>
        <v>4704.329239</v>
      </c>
      <c r="I230" s="16">
        <f>Supuestos!$H$108*Supuestos!$B$18</f>
        <v>4704.329239</v>
      </c>
      <c r="J230" s="16">
        <f>Supuestos!$H$108*Supuestos!$B$18</f>
        <v>4704.329239</v>
      </c>
      <c r="K230" s="16">
        <f>Supuestos!$H$108*Supuestos!$B$18</f>
        <v>4704.329239</v>
      </c>
      <c r="L230" s="16">
        <f>Supuestos!$H$108*Supuestos!$B$18</f>
        <v>4704.329239</v>
      </c>
      <c r="M230" s="16">
        <f>Supuestos!$H$108*Supuestos!$B$18</f>
        <v>4704.329239</v>
      </c>
    </row>
    <row r="231" ht="14.25" customHeight="1">
      <c r="A231" s="5" t="s">
        <v>800</v>
      </c>
      <c r="D231" s="80">
        <f t="shared" ref="D231:M231" si="37">D222+D225+D227+D229+D230</f>
        <v>18805.0113</v>
      </c>
      <c r="E231" s="80">
        <f t="shared" si="37"/>
        <v>29144.35663</v>
      </c>
      <c r="F231" s="80">
        <f t="shared" si="37"/>
        <v>46916.78167</v>
      </c>
      <c r="G231" s="80">
        <f t="shared" si="37"/>
        <v>82966.7606</v>
      </c>
      <c r="H231" s="80">
        <f t="shared" si="37"/>
        <v>137596.6845</v>
      </c>
      <c r="I231" s="80">
        <f t="shared" si="37"/>
        <v>190576.3501</v>
      </c>
      <c r="J231" s="80">
        <f t="shared" si="37"/>
        <v>255386.458</v>
      </c>
      <c r="K231" s="80">
        <f t="shared" si="37"/>
        <v>321888.4446</v>
      </c>
      <c r="L231" s="80">
        <f t="shared" si="37"/>
        <v>365757.1455</v>
      </c>
      <c r="M231" s="80">
        <f t="shared" si="37"/>
        <v>421272.6453</v>
      </c>
    </row>
    <row r="232" ht="14.25" customHeight="1"/>
    <row r="233" ht="14.25" customHeight="1">
      <c r="A233" s="72" t="s">
        <v>801</v>
      </c>
    </row>
    <row r="234" ht="14.25" customHeight="1">
      <c r="A234" s="7" t="s">
        <v>802</v>
      </c>
      <c r="D234" s="16">
        <f t="shared" ref="D234:M234" si="38">D216+D217</f>
        <v>15740.2247</v>
      </c>
      <c r="E234" s="16">
        <f t="shared" si="38"/>
        <v>27212.60418</v>
      </c>
      <c r="F234" s="16">
        <f t="shared" si="38"/>
        <v>47140.46833</v>
      </c>
      <c r="G234" s="16">
        <f t="shared" si="38"/>
        <v>87619.90128</v>
      </c>
      <c r="H234" s="16">
        <f t="shared" si="38"/>
        <v>148963.3023</v>
      </c>
      <c r="I234" s="16">
        <f t="shared" si="38"/>
        <v>208858.787</v>
      </c>
      <c r="J234" s="16">
        <f t="shared" si="38"/>
        <v>282446.7266</v>
      </c>
      <c r="K234" s="16">
        <f t="shared" si="38"/>
        <v>357949.2883</v>
      </c>
      <c r="L234" s="16">
        <f t="shared" si="38"/>
        <v>407622.9417</v>
      </c>
      <c r="M234" s="16">
        <f t="shared" si="38"/>
        <v>470545.3474</v>
      </c>
    </row>
    <row r="235" ht="14.25" customHeight="1">
      <c r="A235" s="7" t="s">
        <v>796</v>
      </c>
      <c r="D235" s="65">
        <f t="shared" ref="D235:M235" si="39">D99+D134</f>
        <v>12.40640695</v>
      </c>
      <c r="E235" s="65">
        <f t="shared" si="39"/>
        <v>21.45928422</v>
      </c>
      <c r="F235" s="65">
        <f t="shared" si="39"/>
        <v>37.00061512</v>
      </c>
      <c r="G235" s="65">
        <f t="shared" si="39"/>
        <v>68.5021035</v>
      </c>
      <c r="H235" s="65">
        <f t="shared" si="39"/>
        <v>116.336499</v>
      </c>
      <c r="I235" s="65">
        <f t="shared" si="39"/>
        <v>163.0848502</v>
      </c>
      <c r="J235" s="65">
        <f t="shared" si="39"/>
        <v>220.4436524</v>
      </c>
      <c r="K235" s="65">
        <f t="shared" si="39"/>
        <v>279.3321035</v>
      </c>
      <c r="L235" s="65">
        <f t="shared" si="39"/>
        <v>318.1870975</v>
      </c>
      <c r="M235" s="65">
        <f t="shared" si="39"/>
        <v>367.3319695</v>
      </c>
    </row>
    <row r="236" ht="14.25" customHeight="1">
      <c r="A236" s="7" t="s">
        <v>797</v>
      </c>
      <c r="D236" s="65">
        <f t="shared" ref="D236:M236" si="40">D235-D41</f>
        <v>2.211307089</v>
      </c>
      <c r="E236" s="65">
        <f t="shared" si="40"/>
        <v>3.774825109</v>
      </c>
      <c r="F236" s="65">
        <f t="shared" si="40"/>
        <v>6.630674369</v>
      </c>
      <c r="G236" s="65">
        <f t="shared" si="40"/>
        <v>12.51780105</v>
      </c>
      <c r="H236" s="65">
        <f t="shared" si="40"/>
        <v>21.31700454</v>
      </c>
      <c r="I236" s="65">
        <f t="shared" si="40"/>
        <v>29.87091749</v>
      </c>
      <c r="J236" s="65">
        <f t="shared" si="40"/>
        <v>40.49081207</v>
      </c>
      <c r="K236" s="65">
        <f t="shared" si="40"/>
        <v>51.37097421</v>
      </c>
      <c r="L236" s="65">
        <f t="shared" si="40"/>
        <v>58.4437392</v>
      </c>
      <c r="M236" s="65">
        <f t="shared" si="40"/>
        <v>67.4713196</v>
      </c>
    </row>
    <row r="237" ht="14.25" customHeight="1">
      <c r="A237" s="7" t="s">
        <v>679</v>
      </c>
      <c r="D237" s="16">
        <f>-D236*Supuestos!$B$7</f>
        <v>-552.8267722</v>
      </c>
      <c r="E237" s="16">
        <f>-E236*Supuestos!$B$7</f>
        <v>-943.7062773</v>
      </c>
      <c r="F237" s="16">
        <f>-F236*Supuestos!$B$7</f>
        <v>-1657.668592</v>
      </c>
      <c r="G237" s="16">
        <f>-G236*Supuestos!$B$7</f>
        <v>-3129.450263</v>
      </c>
      <c r="H237" s="16">
        <f>-H236*Supuestos!$B$7</f>
        <v>-5329.251134</v>
      </c>
      <c r="I237" s="16">
        <f>-I236*Supuestos!$B$7</f>
        <v>-7467.729373</v>
      </c>
      <c r="J237" s="16">
        <f>-J236*Supuestos!$B$7</f>
        <v>-10122.70302</v>
      </c>
      <c r="K237" s="16">
        <f>-K236*Supuestos!$B$7</f>
        <v>-12842.74355</v>
      </c>
      <c r="L237" s="16">
        <f>-L236*Supuestos!$B$7</f>
        <v>-14610.9348</v>
      </c>
      <c r="M237" s="16">
        <f>-M236*Supuestos!$B$7</f>
        <v>-16867.8299</v>
      </c>
    </row>
    <row r="238" ht="14.25" customHeight="1">
      <c r="A238" s="7" t="s">
        <v>498</v>
      </c>
      <c r="D238" s="65">
        <f>D235*(Supuestos!$B$31/2/12+Supuestos!$B$30/52)</f>
        <v>0.994103121</v>
      </c>
      <c r="E238" s="65">
        <f>E235*(Supuestos!$B$31/2/12+Supuestos!$B$30/52)</f>
        <v>1.719493928</v>
      </c>
      <c r="F238" s="65">
        <f>F235*(Supuestos!$B$31/2/12+Supuestos!$B$30/52)</f>
        <v>2.964792878</v>
      </c>
      <c r="G238" s="65">
        <f>G235*(Supuestos!$B$31/2/12+Supuestos!$B$30/52)</f>
        <v>5.488950601</v>
      </c>
      <c r="H238" s="65">
        <f>H235*(Supuestos!$B$31/2/12+Supuestos!$B$30/52)</f>
        <v>9.321834852</v>
      </c>
      <c r="I238" s="65">
        <f>I235*(Supuestos!$B$31/2/12+Supuestos!$B$30/52)</f>
        <v>13.06769633</v>
      </c>
      <c r="J238" s="65">
        <f>J235*(Supuestos!$B$31/2/12+Supuestos!$B$30/52)</f>
        <v>17.6637542</v>
      </c>
      <c r="K238" s="65">
        <f>K235*(Supuestos!$B$31/2/12+Supuestos!$B$30/52)</f>
        <v>22.38238009</v>
      </c>
      <c r="L238" s="65">
        <f>L235*(Supuestos!$B$31/2/12+Supuestos!$B$30/52)</f>
        <v>25.49576102</v>
      </c>
      <c r="M238" s="65">
        <f>M235*(Supuestos!$B$31/2/12+Supuestos!$B$30/52)</f>
        <v>29.4336514</v>
      </c>
    </row>
    <row r="239" ht="14.25" customHeight="1">
      <c r="A239" s="7" t="s">
        <v>685</v>
      </c>
      <c r="D239" s="16">
        <f>IF(D235=0,0,D238*D234/D235*Supuestos!$B$17)</f>
        <v>151.3483144</v>
      </c>
      <c r="E239" s="16">
        <f>IF(E235=0,0,E238*E234/E235*Supuestos!$B$17)</f>
        <v>261.6596556</v>
      </c>
      <c r="F239" s="16">
        <f>IF(F235=0,0,F238*F234/F235*Supuestos!$B$17)</f>
        <v>453.273734</v>
      </c>
      <c r="G239" s="16">
        <f>IF(G235=0,0,G238*G234/G235*Supuestos!$B$17)</f>
        <v>842.4990508</v>
      </c>
      <c r="H239" s="16">
        <f>IF(H235=0,0,H238*H234/H235*Supuestos!$B$17)</f>
        <v>1432.339446</v>
      </c>
      <c r="I239" s="16">
        <f>IF(I235=0,0,I238*I234/I235*Supuestos!$B$17)</f>
        <v>2008.257567</v>
      </c>
      <c r="J239" s="16">
        <f>IF(J235=0,0,J238*J234/J235*Supuestos!$B$17)</f>
        <v>2715.833909</v>
      </c>
      <c r="K239" s="16">
        <f>IF(K235=0,0,K238*K234/K235*Supuestos!$B$17)</f>
        <v>3441.82008</v>
      </c>
      <c r="L239" s="16">
        <f>IF(L235=0,0,L238*L234/L235*Supuestos!$B$17)</f>
        <v>3919.451362</v>
      </c>
      <c r="M239" s="16">
        <f>IF(M235=0,0,M238*M234/M235*Supuestos!$B$17)</f>
        <v>4524.474494</v>
      </c>
    </row>
    <row r="240" ht="14.25" customHeight="1">
      <c r="A240" s="7" t="s">
        <v>803</v>
      </c>
      <c r="D240" s="16">
        <f>(D112+D156)/Supuestos!$B$36+D145*Supuestos!$B$37/3600</f>
        <v>28.08321928</v>
      </c>
      <c r="E240" s="16">
        <f>(E112+E156)/Supuestos!$B$36+E145*Supuestos!$B$37/3600</f>
        <v>48.63636312</v>
      </c>
      <c r="F240" s="16">
        <f>(F112+F156)/Supuestos!$B$36+F145*Supuestos!$B$37/3600</f>
        <v>87.93106661</v>
      </c>
      <c r="G240" s="16">
        <f>(G112+G156)/Supuestos!$B$36+G145*Supuestos!$B$37/3600</f>
        <v>170.3341468</v>
      </c>
      <c r="H240" s="16">
        <f>(H112+H156)/Supuestos!$B$36+H145*Supuestos!$B$37/3600</f>
        <v>291.3402616</v>
      </c>
      <c r="I240" s="16">
        <f>(I112+I156)/Supuestos!$B$36+I145*Supuestos!$B$37/3600</f>
        <v>408.9738732</v>
      </c>
      <c r="J240" s="16">
        <f>(J112+J156)/Supuestos!$B$36+J145*Supuestos!$B$37/3600</f>
        <v>555.2209266</v>
      </c>
      <c r="K240" s="16">
        <f>(K112+K156)/Supuestos!$B$36+K145*Supuestos!$B$37/3600</f>
        <v>704.9440041</v>
      </c>
      <c r="L240" s="16">
        <f>(L112+L156)/Supuestos!$B$36+L145*Supuestos!$B$37/3600</f>
        <v>801.9933054</v>
      </c>
      <c r="M240" s="16">
        <f>(M112+M156)/Supuestos!$B$36+M145*Supuestos!$B$37/3600</f>
        <v>926.9400804</v>
      </c>
    </row>
    <row r="241" ht="14.25" customHeight="1">
      <c r="A241" s="7" t="s">
        <v>799</v>
      </c>
      <c r="D241" s="16">
        <f>D240*Supuestos!$B$48</f>
        <v>176.3997977</v>
      </c>
      <c r="E241" s="16">
        <f>E240*Supuestos!$B$48</f>
        <v>305.5007522</v>
      </c>
      <c r="F241" s="16">
        <f>F240*Supuestos!$B$48</f>
        <v>552.3235141</v>
      </c>
      <c r="G241" s="16">
        <f>G240*Supuestos!$B$48</f>
        <v>1069.923955</v>
      </c>
      <c r="H241" s="16">
        <f>H240*Supuestos!$B$48</f>
        <v>1830.002561</v>
      </c>
      <c r="I241" s="16">
        <f>I240*Supuestos!$B$48</f>
        <v>2568.897382</v>
      </c>
      <c r="J241" s="16">
        <f>J240*Supuestos!$B$48</f>
        <v>3487.5225</v>
      </c>
      <c r="K241" s="16">
        <f>K240*Supuestos!$B$48</f>
        <v>4427.981652</v>
      </c>
      <c r="L241" s="16">
        <f>L240*Supuestos!$B$48</f>
        <v>5037.579752</v>
      </c>
      <c r="M241" s="16">
        <f>M240*Supuestos!$B$48</f>
        <v>5822.410922</v>
      </c>
    </row>
    <row r="242" ht="14.25" customHeight="1">
      <c r="A242" s="7" t="s">
        <v>703</v>
      </c>
      <c r="D242" s="16">
        <f>Supuestos!$I$108*Supuestos!$B$18</f>
        <v>1734.329239</v>
      </c>
      <c r="E242" s="16">
        <f>Supuestos!$I$108*Supuestos!$B$18</f>
        <v>1734.329239</v>
      </c>
      <c r="F242" s="16">
        <f>Supuestos!$I$108*Supuestos!$B$18</f>
        <v>1734.329239</v>
      </c>
      <c r="G242" s="16">
        <f>Supuestos!$I$108*Supuestos!$B$18</f>
        <v>1734.329239</v>
      </c>
      <c r="H242" s="16">
        <f>Supuestos!$I$108*Supuestos!$B$18</f>
        <v>1734.329239</v>
      </c>
      <c r="I242" s="16">
        <f>Supuestos!$I$108*Supuestos!$B$18</f>
        <v>1734.329239</v>
      </c>
      <c r="J242" s="16">
        <f>Supuestos!$I$108*Supuestos!$B$18</f>
        <v>1734.329239</v>
      </c>
      <c r="K242" s="16">
        <f>Supuestos!$I$108*Supuestos!$B$18</f>
        <v>1734.329239</v>
      </c>
      <c r="L242" s="16">
        <f>Supuestos!$I$108*Supuestos!$B$18</f>
        <v>1734.329239</v>
      </c>
      <c r="M242" s="16">
        <f>Supuestos!$I$108*Supuestos!$B$18</f>
        <v>1734.329239</v>
      </c>
    </row>
    <row r="243" ht="14.25" customHeight="1">
      <c r="A243" s="5" t="s">
        <v>804</v>
      </c>
      <c r="D243" s="80">
        <f t="shared" ref="D243:M243" si="41">D234+D237+D239+D241+D242</f>
        <v>17249.47528</v>
      </c>
      <c r="E243" s="80">
        <f t="shared" si="41"/>
        <v>28570.38755</v>
      </c>
      <c r="F243" s="80">
        <f t="shared" si="41"/>
        <v>48222.72623</v>
      </c>
      <c r="G243" s="80">
        <f t="shared" si="41"/>
        <v>88137.20326</v>
      </c>
      <c r="H243" s="80">
        <f t="shared" si="41"/>
        <v>148630.7224</v>
      </c>
      <c r="I243" s="80">
        <f t="shared" si="41"/>
        <v>207702.5418</v>
      </c>
      <c r="J243" s="80">
        <f t="shared" si="41"/>
        <v>280261.7092</v>
      </c>
      <c r="K243" s="80">
        <f t="shared" si="41"/>
        <v>354710.6757</v>
      </c>
      <c r="L243" s="80">
        <f t="shared" si="41"/>
        <v>403703.3673</v>
      </c>
      <c r="M243" s="80">
        <f t="shared" si="41"/>
        <v>465758.7321</v>
      </c>
    </row>
    <row r="244" ht="14.25" customHeight="1"/>
    <row r="245" ht="14.25" customHeight="1">
      <c r="A245" s="72" t="s">
        <v>805</v>
      </c>
    </row>
    <row r="246" ht="14.25" customHeight="1">
      <c r="A246" s="7" t="s">
        <v>795</v>
      </c>
      <c r="D246" s="16">
        <f t="shared" ref="D246:M246" si="42">D218</f>
        <v>14100.76124</v>
      </c>
      <c r="E246" s="16">
        <f t="shared" si="42"/>
        <v>24417.16201</v>
      </c>
      <c r="F246" s="16">
        <f t="shared" si="42"/>
        <v>42264.97797</v>
      </c>
      <c r="G246" s="16">
        <f t="shared" si="42"/>
        <v>78510.53423</v>
      </c>
      <c r="H246" s="16">
        <f t="shared" si="42"/>
        <v>133448.845</v>
      </c>
      <c r="I246" s="16">
        <f t="shared" si="42"/>
        <v>187139.2881</v>
      </c>
      <c r="J246" s="16">
        <f t="shared" si="42"/>
        <v>253058.7888</v>
      </c>
      <c r="K246" s="16">
        <f t="shared" si="42"/>
        <v>320663.8527</v>
      </c>
      <c r="L246" s="16">
        <f t="shared" si="42"/>
        <v>365193.68</v>
      </c>
      <c r="M246" s="16">
        <f t="shared" si="42"/>
        <v>421626.9664</v>
      </c>
    </row>
    <row r="247" ht="14.25" customHeight="1">
      <c r="A247" s="7" t="s">
        <v>806</v>
      </c>
      <c r="D247" s="65">
        <f t="shared" ref="D247:M247" si="43">D159-D41</f>
        <v>1.369329742</v>
      </c>
      <c r="E247" s="65">
        <f t="shared" si="43"/>
        <v>2.336517012</v>
      </c>
      <c r="F247" s="65">
        <f t="shared" si="43"/>
        <v>4.180287699</v>
      </c>
      <c r="G247" s="65">
        <f t="shared" si="43"/>
        <v>8.035584151</v>
      </c>
      <c r="H247" s="65">
        <f t="shared" si="43"/>
        <v>13.72343503</v>
      </c>
      <c r="I247" s="65">
        <f t="shared" si="43"/>
        <v>19.25012919</v>
      </c>
      <c r="J247" s="65">
        <f t="shared" si="43"/>
        <v>26.16725417</v>
      </c>
      <c r="K247" s="65">
        <f t="shared" si="43"/>
        <v>33.20093202</v>
      </c>
      <c r="L247" s="65">
        <f t="shared" si="43"/>
        <v>37.72656702</v>
      </c>
      <c r="M247" s="65">
        <f t="shared" si="43"/>
        <v>43.58756592</v>
      </c>
    </row>
    <row r="248" ht="14.25" customHeight="1">
      <c r="A248" s="7" t="s">
        <v>679</v>
      </c>
      <c r="D248" s="16">
        <f>-D247*Supuestos!$B$7</f>
        <v>-342.3324356</v>
      </c>
      <c r="E248" s="16">
        <f>-E247*Supuestos!$B$7</f>
        <v>-584.1292531</v>
      </c>
      <c r="F248" s="16">
        <f>-F247*Supuestos!$B$7</f>
        <v>-1045.071925</v>
      </c>
      <c r="G248" s="16">
        <f>-G247*Supuestos!$B$7</f>
        <v>-2008.896038</v>
      </c>
      <c r="H248" s="16">
        <f>-H247*Supuestos!$B$7</f>
        <v>-3430.858757</v>
      </c>
      <c r="I248" s="16">
        <f>-I247*Supuestos!$B$7</f>
        <v>-4812.532297</v>
      </c>
      <c r="J248" s="16">
        <f>-J247*Supuestos!$B$7</f>
        <v>-6541.813543</v>
      </c>
      <c r="K248" s="16">
        <f>-K247*Supuestos!$B$7</f>
        <v>-8300.233006</v>
      </c>
      <c r="L248" s="16">
        <f>-L247*Supuestos!$B$7</f>
        <v>-9431.641755</v>
      </c>
      <c r="M248" s="16">
        <f>-M247*Supuestos!$B$7</f>
        <v>-10896.89148</v>
      </c>
    </row>
    <row r="249" ht="14.25" customHeight="1">
      <c r="A249" s="7" t="s">
        <v>498</v>
      </c>
      <c r="D249" s="65">
        <f t="shared" ref="D249:M249" si="44">D199</f>
        <v>3.335893155</v>
      </c>
      <c r="E249" s="65">
        <f t="shared" si="44"/>
        <v>5.775281574</v>
      </c>
      <c r="F249" s="65">
        <f t="shared" si="44"/>
        <v>9.966412052</v>
      </c>
      <c r="G249" s="65">
        <f t="shared" si="44"/>
        <v>18.46727498</v>
      </c>
      <c r="H249" s="65">
        <f t="shared" si="44"/>
        <v>27.53263754</v>
      </c>
      <c r="I249" s="65">
        <f t="shared" si="44"/>
        <v>30.86400238</v>
      </c>
      <c r="J249" s="65">
        <f t="shared" si="44"/>
        <v>32.92769594</v>
      </c>
      <c r="K249" s="65">
        <f t="shared" si="44"/>
        <v>35.04469467</v>
      </c>
      <c r="L249" s="65">
        <f t="shared" si="44"/>
        <v>36.44115097</v>
      </c>
      <c r="M249" s="65">
        <f t="shared" si="44"/>
        <v>38.20954676</v>
      </c>
    </row>
    <row r="250" ht="14.25" customHeight="1">
      <c r="A250" s="7" t="s">
        <v>685</v>
      </c>
      <c r="D250" s="16">
        <f>IF(D159=0,0,D249*D246/D159*Supuestos!$B$17)</f>
        <v>488.1032737</v>
      </c>
      <c r="E250" s="16">
        <f>IF(E159=0,0,E249*E246/E159*Supuestos!$B$17)</f>
        <v>845.2094541</v>
      </c>
      <c r="F250" s="16">
        <f>IF(F159=0,0,F249*F246/F159*Supuestos!$B$17)</f>
        <v>1463.018468</v>
      </c>
      <c r="G250" s="16">
        <f>IF(G159=0,0,G249*G246/G159*Supuestos!$B$17)</f>
        <v>2717.672339</v>
      </c>
      <c r="H250" s="16">
        <f>IF(H159=0,0,H249*H246/H159*Supuestos!$B$17)</f>
        <v>4054.551811</v>
      </c>
      <c r="I250" s="16">
        <f>IF(I159=0,0,I249*I246/I159*Supuestos!$B$17)</f>
        <v>4546.016178</v>
      </c>
      <c r="J250" s="16">
        <f>IF(J159=0,0,J249*J246/J159*Supuestos!$B$17)</f>
        <v>4851.13858</v>
      </c>
      <c r="K250" s="16">
        <f>IF(K159=0,0,K249*K246/K159*Supuestos!$B$17)</f>
        <v>5163.491244</v>
      </c>
      <c r="L250" s="16">
        <f>IF(L159=0,0,L249*L246/L159*Supuestos!$B$17)</f>
        <v>5368.506956</v>
      </c>
      <c r="M250" s="16">
        <f>IF(M159=0,0,M249*M246/M159*Supuestos!$B$17)</f>
        <v>5628.85741</v>
      </c>
    </row>
    <row r="251" ht="14.25" customHeight="1">
      <c r="A251" s="7" t="s">
        <v>807</v>
      </c>
      <c r="D251" s="16">
        <f>BobinaMadre!D147</f>
        <v>2.052755719</v>
      </c>
      <c r="E251" s="16">
        <f>BobinaMadre!E147</f>
        <v>3.636069095</v>
      </c>
      <c r="F251" s="16">
        <f>BobinaMadre!F147</f>
        <v>6.34812567</v>
      </c>
      <c r="G251" s="16">
        <f>BobinaMadre!G147</f>
        <v>11.95272637</v>
      </c>
      <c r="H251" s="16">
        <f>BobinaMadre!H147</f>
        <v>20.28921797</v>
      </c>
      <c r="I251" s="16">
        <f>BobinaMadre!I147</f>
        <v>28.54167189</v>
      </c>
      <c r="J251" s="16">
        <f>BobinaMadre!J147</f>
        <v>38.57934174</v>
      </c>
      <c r="K251" s="16">
        <f>BobinaMadre!K147</f>
        <v>48.9229751</v>
      </c>
      <c r="L251" s="16">
        <f>BobinaMadre!L147</f>
        <v>55.84409209</v>
      </c>
      <c r="M251" s="16">
        <f>BobinaMadre!M147</f>
        <v>64.65225436</v>
      </c>
    </row>
    <row r="252" ht="14.25" customHeight="1">
      <c r="A252" s="7" t="s">
        <v>808</v>
      </c>
      <c r="D252" s="16">
        <f>D251*Supuestos!$B$41+D171/Supuestos!$B$35+BobinaMadre!D146*Supuestos!$B$38/60</f>
        <v>7.498612845</v>
      </c>
      <c r="E252" s="16">
        <f>E251*Supuestos!$B$41+E171/Supuestos!$B$35+BobinaMadre!E146*Supuestos!$B$38/60</f>
        <v>13.17226812</v>
      </c>
      <c r="F252" s="16">
        <f>F251*Supuestos!$B$41+F171/Supuestos!$B$35+BobinaMadre!F146*Supuestos!$B$38/60</f>
        <v>23.56448747</v>
      </c>
      <c r="G252" s="16">
        <f>G251*Supuestos!$B$41+G171/Supuestos!$B$35+BobinaMadre!G146*Supuestos!$B$38/60</f>
        <v>45.33732103</v>
      </c>
      <c r="H252" s="16">
        <f>H251*Supuestos!$B$41+H171/Supuestos!$B$35+BobinaMadre!H146*Supuestos!$B$38/60</f>
        <v>77.31777968</v>
      </c>
      <c r="I252" s="16">
        <f>I251*Supuestos!$B$41+I171/Supuestos!$B$35+BobinaMadre!I146*Supuestos!$B$38/60</f>
        <v>108.734565</v>
      </c>
      <c r="J252" s="16">
        <f>J251*Supuestos!$B$41+J171/Supuestos!$B$35+BobinaMadre!J146*Supuestos!$B$38/60</f>
        <v>147.3738647</v>
      </c>
      <c r="K252" s="16">
        <f>K251*Supuestos!$B$41+K171/Supuestos!$B$35+BobinaMadre!K146*Supuestos!$B$38/60</f>
        <v>187.0680756</v>
      </c>
      <c r="L252" s="16">
        <f>L251*Supuestos!$B$41+L171/Supuestos!$B$35+BobinaMadre!L146*Supuestos!$B$38/60</f>
        <v>213.1924388</v>
      </c>
      <c r="M252" s="16">
        <f>M251*Supuestos!$B$41+M171/Supuestos!$B$35+BobinaMadre!M146*Supuestos!$B$38/60</f>
        <v>246.7217588</v>
      </c>
    </row>
    <row r="253" ht="14.25" customHeight="1">
      <c r="A253" s="7" t="s">
        <v>799</v>
      </c>
      <c r="D253" s="16">
        <f>D252*Supuestos!$B$48</f>
        <v>47.10121641</v>
      </c>
      <c r="E253" s="16">
        <f>E252*Supuestos!$B$48</f>
        <v>82.73928314</v>
      </c>
      <c r="F253" s="16">
        <f>F252*Supuestos!$B$48</f>
        <v>148.0161794</v>
      </c>
      <c r="G253" s="16">
        <f>G252*Supuestos!$B$48</f>
        <v>284.7784001</v>
      </c>
      <c r="H253" s="16">
        <f>H252*Supuestos!$B$48</f>
        <v>485.6580208</v>
      </c>
      <c r="I253" s="16">
        <f>I252*Supuestos!$B$48</f>
        <v>682.9970268</v>
      </c>
      <c r="J253" s="16">
        <f>J252*Supuestos!$B$48</f>
        <v>925.7029853</v>
      </c>
      <c r="K253" s="16">
        <f>K252*Supuestos!$B$48</f>
        <v>1175.035183</v>
      </c>
      <c r="L253" s="16">
        <f>L252*Supuestos!$B$48</f>
        <v>1339.130771</v>
      </c>
      <c r="M253" s="16">
        <f>M252*Supuestos!$B$48</f>
        <v>1549.739291</v>
      </c>
    </row>
    <row r="254" ht="14.25" customHeight="1">
      <c r="A254" s="7" t="s">
        <v>703</v>
      </c>
      <c r="D254" s="16">
        <f>Supuestos!$J$108*Supuestos!$B$18</f>
        <v>5730</v>
      </c>
      <c r="E254" s="16">
        <f>Supuestos!$J$108*Supuestos!$B$18</f>
        <v>5730</v>
      </c>
      <c r="F254" s="16">
        <f>Supuestos!$J$108*Supuestos!$B$18</f>
        <v>5730</v>
      </c>
      <c r="G254" s="16">
        <f>Supuestos!$J$108*Supuestos!$B$18</f>
        <v>5730</v>
      </c>
      <c r="H254" s="16">
        <f>Supuestos!$J$108*Supuestos!$B$18</f>
        <v>5730</v>
      </c>
      <c r="I254" s="16">
        <f>Supuestos!$J$108*Supuestos!$B$18</f>
        <v>5730</v>
      </c>
      <c r="J254" s="16">
        <f>Supuestos!$J$108*Supuestos!$B$18</f>
        <v>5730</v>
      </c>
      <c r="K254" s="16">
        <f>Supuestos!$J$108*Supuestos!$B$18</f>
        <v>5730</v>
      </c>
      <c r="L254" s="16">
        <f>Supuestos!$J$108*Supuestos!$B$18</f>
        <v>5730</v>
      </c>
      <c r="M254" s="16">
        <f>Supuestos!$J$108*Supuestos!$B$18</f>
        <v>5730</v>
      </c>
    </row>
    <row r="255" ht="14.25" customHeight="1">
      <c r="A255" s="5" t="s">
        <v>809</v>
      </c>
      <c r="D255" s="80">
        <f t="shared" ref="D255:M255" si="45">D246+D248+D250+D253+D254</f>
        <v>20023.63329</v>
      </c>
      <c r="E255" s="80">
        <f t="shared" si="45"/>
        <v>30490.98149</v>
      </c>
      <c r="F255" s="80">
        <f t="shared" si="45"/>
        <v>48560.9407</v>
      </c>
      <c r="G255" s="80">
        <f t="shared" si="45"/>
        <v>85234.08893</v>
      </c>
      <c r="H255" s="80">
        <f t="shared" si="45"/>
        <v>140288.1961</v>
      </c>
      <c r="I255" s="80">
        <f t="shared" si="45"/>
        <v>193285.769</v>
      </c>
      <c r="J255" s="80">
        <f t="shared" si="45"/>
        <v>258023.8168</v>
      </c>
      <c r="K255" s="80">
        <f t="shared" si="45"/>
        <v>324432.1461</v>
      </c>
      <c r="L255" s="80">
        <f t="shared" si="45"/>
        <v>368199.676</v>
      </c>
      <c r="M255" s="80">
        <f t="shared" si="45"/>
        <v>423638.6716</v>
      </c>
    </row>
    <row r="256" ht="14.25" customHeight="1"/>
    <row r="257" ht="14.25" customHeight="1">
      <c r="A257" s="72" t="s">
        <v>810</v>
      </c>
    </row>
    <row r="258" ht="14.25" customHeight="1">
      <c r="A258" s="7" t="s">
        <v>811</v>
      </c>
      <c r="D258" s="16">
        <f t="shared" ref="D258:M258" si="46">D216+D215</f>
        <v>15070.51222</v>
      </c>
      <c r="E258" s="16">
        <f t="shared" si="46"/>
        <v>26105.93647</v>
      </c>
      <c r="F258" s="16">
        <f t="shared" si="46"/>
        <v>45087.64066</v>
      </c>
      <c r="G258" s="16">
        <f t="shared" si="46"/>
        <v>83551.96153</v>
      </c>
      <c r="H258" s="16">
        <f t="shared" si="46"/>
        <v>141958.5309</v>
      </c>
      <c r="I258" s="16">
        <f t="shared" si="46"/>
        <v>199045.6448</v>
      </c>
      <c r="J258" s="16">
        <f t="shared" si="46"/>
        <v>269051.3721</v>
      </c>
      <c r="K258" s="16">
        <f t="shared" si="46"/>
        <v>340916.0896</v>
      </c>
      <c r="L258" s="16">
        <f t="shared" si="46"/>
        <v>388331.1984</v>
      </c>
      <c r="M258" s="16">
        <f t="shared" si="46"/>
        <v>448303.8831</v>
      </c>
    </row>
    <row r="259" ht="14.25" customHeight="1">
      <c r="A259" s="7" t="s">
        <v>796</v>
      </c>
      <c r="D259" s="65">
        <f t="shared" ref="D259:M259" si="47">D99+D74</f>
        <v>12.26007382</v>
      </c>
      <c r="E259" s="65">
        <f t="shared" si="47"/>
        <v>21.23617749</v>
      </c>
      <c r="F259" s="65">
        <f t="shared" si="47"/>
        <v>36.55836881</v>
      </c>
      <c r="G259" s="65">
        <f t="shared" si="47"/>
        <v>67.57180364</v>
      </c>
      <c r="H259" s="65">
        <f t="shared" si="47"/>
        <v>114.7175349</v>
      </c>
      <c r="I259" s="65">
        <f t="shared" si="47"/>
        <v>160.8229518</v>
      </c>
      <c r="J259" s="65">
        <f t="shared" si="47"/>
        <v>217.3251473</v>
      </c>
      <c r="K259" s="65">
        <f t="shared" si="47"/>
        <v>275.352838</v>
      </c>
      <c r="L259" s="65">
        <f t="shared" si="47"/>
        <v>313.7080758</v>
      </c>
      <c r="M259" s="65">
        <f t="shared" si="47"/>
        <v>362.1787171</v>
      </c>
    </row>
    <row r="260" ht="14.25" customHeight="1">
      <c r="A260" s="7" t="s">
        <v>797</v>
      </c>
      <c r="D260" s="65">
        <f t="shared" ref="D260:M260" si="48">D259-D41</f>
        <v>2.064973956</v>
      </c>
      <c r="E260" s="65">
        <f t="shared" si="48"/>
        <v>3.551718381</v>
      </c>
      <c r="F260" s="65">
        <f t="shared" si="48"/>
        <v>6.188428057</v>
      </c>
      <c r="G260" s="65">
        <f t="shared" si="48"/>
        <v>11.58750119</v>
      </c>
      <c r="H260" s="65">
        <f t="shared" si="48"/>
        <v>19.69804051</v>
      </c>
      <c r="I260" s="65">
        <f t="shared" si="48"/>
        <v>27.60901906</v>
      </c>
      <c r="J260" s="65">
        <f t="shared" si="48"/>
        <v>37.37230703</v>
      </c>
      <c r="K260" s="65">
        <f t="shared" si="48"/>
        <v>47.39170864</v>
      </c>
      <c r="L260" s="65">
        <f t="shared" si="48"/>
        <v>53.96471745</v>
      </c>
      <c r="M260" s="65">
        <f t="shared" si="48"/>
        <v>62.31806724</v>
      </c>
    </row>
    <row r="261" ht="14.25" customHeight="1">
      <c r="A261" s="7" t="s">
        <v>679</v>
      </c>
      <c r="D261" s="16">
        <f>-D260*Supuestos!$B$7</f>
        <v>-516.2434891</v>
      </c>
      <c r="E261" s="16">
        <f>-E260*Supuestos!$B$7</f>
        <v>-887.9295953</v>
      </c>
      <c r="F261" s="16">
        <f>-F260*Supuestos!$B$7</f>
        <v>-1547.107014</v>
      </c>
      <c r="G261" s="16">
        <f>-G260*Supuestos!$B$7</f>
        <v>-2896.875297</v>
      </c>
      <c r="H261" s="16">
        <f>-H260*Supuestos!$B$7</f>
        <v>-4924.510127</v>
      </c>
      <c r="I261" s="16">
        <f>-I260*Supuestos!$B$7</f>
        <v>-6902.254764</v>
      </c>
      <c r="J261" s="16">
        <f>-J260*Supuestos!$B$7</f>
        <v>-9343.076759</v>
      </c>
      <c r="K261" s="16">
        <f>-K260*Supuestos!$B$7</f>
        <v>-11847.92716</v>
      </c>
      <c r="L261" s="16">
        <f>-L260*Supuestos!$B$7</f>
        <v>-13491.17936</v>
      </c>
      <c r="M261" s="16">
        <f>-M260*Supuestos!$B$7</f>
        <v>-15579.51681</v>
      </c>
    </row>
    <row r="262" ht="14.25" customHeight="1">
      <c r="A262" s="7" t="s">
        <v>812</v>
      </c>
      <c r="D262" s="65">
        <f>D99*(Supuestos!$B$31/2/12+Supuestos!$B$30/52)+SUM(D182:D189)</f>
        <v>1.291664443</v>
      </c>
      <c r="E262" s="65">
        <f>E99*(Supuestos!$B$31/2/12+Supuestos!$B$30/52)+SUM(E182:E189)</f>
        <v>2.187190314</v>
      </c>
      <c r="F262" s="65">
        <f>F99*(Supuestos!$B$31/2/12+Supuestos!$B$30/52)+SUM(F182:F189)</f>
        <v>3.492884879</v>
      </c>
      <c r="G262" s="65">
        <f>G99*(Supuestos!$B$31/2/12+Supuestos!$B$30/52)+SUM(G182:G189)</f>
        <v>6.130224341</v>
      </c>
      <c r="H262" s="65">
        <f>H99*(Supuestos!$B$31/2/12+Supuestos!$B$30/52)+SUM(H182:H189)</f>
        <v>9.756441588</v>
      </c>
      <c r="I262" s="65">
        <f>I99*(Supuestos!$B$31/2/12+Supuestos!$B$30/52)+SUM(I182:I189)</f>
        <v>13.05089914</v>
      </c>
      <c r="J262" s="65">
        <f>J99*(Supuestos!$B$31/2/12+Supuestos!$B$30/52)+SUM(J182:J189)</f>
        <v>16.9254312</v>
      </c>
      <c r="K262" s="65">
        <f>K99*(Supuestos!$B$31/2/12+Supuestos!$B$30/52)+SUM(K182:K189)</f>
        <v>20.75403484</v>
      </c>
      <c r="L262" s="65">
        <f>L99*(Supuestos!$B$31/2/12+Supuestos!$B$30/52)+SUM(L182:L189)</f>
        <v>23.2885452</v>
      </c>
      <c r="M262" s="65">
        <f>M99*(Supuestos!$B$31/2/12+Supuestos!$B$30/52)+SUM(M182:M189)</f>
        <v>26.4735329</v>
      </c>
    </row>
    <row r="263" ht="14.25" customHeight="1">
      <c r="A263" s="7" t="s">
        <v>685</v>
      </c>
      <c r="D263" s="16">
        <f>IF(D259=0,0,D262*D258/D259*Supuestos!$B$17)</f>
        <v>190.5311019</v>
      </c>
      <c r="E263" s="16">
        <f>IF(E259=0,0,E262*E258/E259*Supuestos!$B$17)</f>
        <v>322.6493171</v>
      </c>
      <c r="F263" s="16">
        <f>IF(F259=0,0,F262*F258/F259*Supuestos!$B$17)</f>
        <v>516.9353341</v>
      </c>
      <c r="G263" s="16">
        <f>IF(G259=0,0,G262*G258/G259*Supuestos!$B$17)</f>
        <v>909.5964423</v>
      </c>
      <c r="H263" s="16">
        <f>IF(H259=0,0,H262*H258/H259*Supuestos!$B$17)</f>
        <v>1448.786482</v>
      </c>
      <c r="I263" s="16">
        <f>IF(I259=0,0,I262*I258/I259*Supuestos!$B$17)</f>
        <v>1938.323806</v>
      </c>
      <c r="J263" s="16">
        <f>IF(J259=0,0,J262*J258/J259*Supuestos!$B$17)</f>
        <v>2514.468598</v>
      </c>
      <c r="K263" s="16">
        <f>IF(K259=0,0,K262*K258/K259*Supuestos!$B$17)</f>
        <v>3083.484211</v>
      </c>
      <c r="L263" s="16">
        <f>IF(L259=0,0,L262*L258/L259*Supuestos!$B$17)</f>
        <v>3459.39529</v>
      </c>
      <c r="M263" s="16">
        <f>IF(M259=0,0,M262*M258/M259*Supuestos!$B$17)</f>
        <v>3932.264498</v>
      </c>
    </row>
    <row r="264" ht="14.25" customHeight="1">
      <c r="A264" s="7" t="s">
        <v>813</v>
      </c>
      <c r="D264" s="16">
        <f>D112/Supuestos!$B$36+D210*Supuestos!$B$38/60</f>
        <v>20.62670326</v>
      </c>
      <c r="E264" s="16">
        <f>E112/Supuestos!$B$36+E210*Supuestos!$B$38/60</f>
        <v>36.62274142</v>
      </c>
      <c r="F264" s="16">
        <f>F112/Supuestos!$B$36+F210*Supuestos!$B$38/60</f>
        <v>63.27001743</v>
      </c>
      <c r="G264" s="16">
        <f>G112/Supuestos!$B$36+G210*Supuestos!$B$38/60</f>
        <v>116.9089343</v>
      </c>
      <c r="H264" s="16">
        <f>H112/Supuestos!$B$36+H210*Supuestos!$B$38/60</f>
        <v>198.4324664</v>
      </c>
      <c r="I264" s="16">
        <f>I112/Supuestos!$B$36+I210*Supuestos!$B$38/60</f>
        <v>278.446859</v>
      </c>
      <c r="J264" s="16">
        <f>J112/Supuestos!$B$36+J210*Supuestos!$B$38/60</f>
        <v>375.5649535</v>
      </c>
      <c r="K264" s="16">
        <f>K112/Supuestos!$B$36+K210*Supuestos!$B$38/60</f>
        <v>475.5332358</v>
      </c>
      <c r="L264" s="16">
        <f>L112/Supuestos!$B$36+L210*Supuestos!$B$38/60</f>
        <v>542.6549933</v>
      </c>
      <c r="M264" s="16">
        <f>M112/Supuestos!$B$36+M210*Supuestos!$B$38/60</f>
        <v>627.1489759</v>
      </c>
    </row>
    <row r="265" ht="14.25" customHeight="1">
      <c r="A265" s="7" t="s">
        <v>799</v>
      </c>
      <c r="D265" s="16">
        <f>D264*Supuestos!$B$48</f>
        <v>129.5630051</v>
      </c>
      <c r="E265" s="16">
        <f>E264*Supuestos!$B$48</f>
        <v>230.0393025</v>
      </c>
      <c r="F265" s="16">
        <f>F264*Supuestos!$B$48</f>
        <v>397.4194754</v>
      </c>
      <c r="G265" s="16">
        <f>G264*Supuestos!$B$48</f>
        <v>734.342888</v>
      </c>
      <c r="H265" s="16">
        <f>H264*Supuestos!$B$48</f>
        <v>1246.418602</v>
      </c>
      <c r="I265" s="16">
        <f>I264*Supuestos!$B$48</f>
        <v>1749.014922</v>
      </c>
      <c r="J265" s="16">
        <f>J264*Supuestos!$B$48</f>
        <v>2359.045135</v>
      </c>
      <c r="K265" s="16">
        <f>K264*Supuestos!$B$48</f>
        <v>2986.9783</v>
      </c>
      <c r="L265" s="16">
        <f>L264*Supuestos!$B$48</f>
        <v>3408.591802</v>
      </c>
      <c r="M265" s="16">
        <f>M264*Supuestos!$B$48</f>
        <v>3939.325878</v>
      </c>
    </row>
    <row r="266" ht="14.25" customHeight="1">
      <c r="A266" s="7" t="s">
        <v>703</v>
      </c>
      <c r="D266" s="16">
        <f>Supuestos!$K$108*Supuestos!$B$18</f>
        <v>2139.329239</v>
      </c>
      <c r="E266" s="16">
        <f>Supuestos!$K$108*Supuestos!$B$18</f>
        <v>2139.329239</v>
      </c>
      <c r="F266" s="16">
        <f>Supuestos!$K$108*Supuestos!$B$18</f>
        <v>2139.329239</v>
      </c>
      <c r="G266" s="16">
        <f>Supuestos!$K$108*Supuestos!$B$18</f>
        <v>2139.329239</v>
      </c>
      <c r="H266" s="16">
        <f>Supuestos!$K$108*Supuestos!$B$18</f>
        <v>2139.329239</v>
      </c>
      <c r="I266" s="16">
        <f>Supuestos!$K$108*Supuestos!$B$18</f>
        <v>2139.329239</v>
      </c>
      <c r="J266" s="16">
        <f>Supuestos!$K$108*Supuestos!$B$18</f>
        <v>2139.329239</v>
      </c>
      <c r="K266" s="16">
        <f>Supuestos!$K$108*Supuestos!$B$18</f>
        <v>2139.329239</v>
      </c>
      <c r="L266" s="16">
        <f>Supuestos!$K$108*Supuestos!$B$18</f>
        <v>2139.329239</v>
      </c>
      <c r="M266" s="16">
        <f>Supuestos!$K$108*Supuestos!$B$18</f>
        <v>2139.329239</v>
      </c>
    </row>
    <row r="267" ht="14.25" customHeight="1">
      <c r="A267" s="5" t="s">
        <v>814</v>
      </c>
      <c r="D267" s="80">
        <f t="shared" ref="D267:M267" si="49">D258+D261+D263+D265+D266</f>
        <v>17013.69208</v>
      </c>
      <c r="E267" s="80">
        <f t="shared" si="49"/>
        <v>27910.02473</v>
      </c>
      <c r="F267" s="80">
        <f t="shared" si="49"/>
        <v>46594.21769</v>
      </c>
      <c r="G267" s="80">
        <f t="shared" si="49"/>
        <v>84438.3548</v>
      </c>
      <c r="H267" s="80">
        <f t="shared" si="49"/>
        <v>141868.5551</v>
      </c>
      <c r="I267" s="80">
        <f t="shared" si="49"/>
        <v>197970.058</v>
      </c>
      <c r="J267" s="80">
        <f t="shared" si="49"/>
        <v>266721.1383</v>
      </c>
      <c r="K267" s="80">
        <f t="shared" si="49"/>
        <v>337277.9542</v>
      </c>
      <c r="L267" s="80">
        <f t="shared" si="49"/>
        <v>383847.3353</v>
      </c>
      <c r="M267" s="80">
        <f t="shared" si="49"/>
        <v>442735.2859</v>
      </c>
    </row>
    <row r="268" ht="14.25" customHeight="1"/>
    <row r="269" ht="14.25" customHeight="1">
      <c r="A269" s="72" t="s">
        <v>815</v>
      </c>
    </row>
    <row r="270" ht="14.25" customHeight="1">
      <c r="A270" s="7" t="s">
        <v>795</v>
      </c>
      <c r="D270" s="16">
        <f t="shared" ref="D270:M270" si="50">D219+D215</f>
        <v>15052.79721</v>
      </c>
      <c r="E270" s="16">
        <f t="shared" si="50"/>
        <v>26095.57437</v>
      </c>
      <c r="F270" s="16">
        <f t="shared" si="50"/>
        <v>45139.50615</v>
      </c>
      <c r="G270" s="16">
        <f t="shared" si="50"/>
        <v>83755.10745</v>
      </c>
      <c r="H270" s="16">
        <f t="shared" si="50"/>
        <v>142368.2075</v>
      </c>
      <c r="I270" s="16">
        <f t="shared" si="50"/>
        <v>199659.7445</v>
      </c>
      <c r="J270" s="16">
        <f t="shared" si="50"/>
        <v>269907.7048</v>
      </c>
      <c r="K270" s="16">
        <f t="shared" si="50"/>
        <v>342006.7721</v>
      </c>
      <c r="L270" s="16">
        <f t="shared" si="50"/>
        <v>389545.7865</v>
      </c>
      <c r="M270" s="16">
        <f t="shared" si="50"/>
        <v>449704.0397</v>
      </c>
    </row>
    <row r="271" ht="14.25" customHeight="1">
      <c r="A271" s="7" t="s">
        <v>796</v>
      </c>
      <c r="D271" s="65">
        <f t="shared" ref="D271:M271" si="51">D26+D74</f>
        <v>11.36775519</v>
      </c>
      <c r="E271" s="65">
        <f t="shared" si="51"/>
        <v>19.69488636</v>
      </c>
      <c r="F271" s="65">
        <f t="shared" si="51"/>
        <v>34.05405095</v>
      </c>
      <c r="G271" s="65">
        <f t="shared" si="51"/>
        <v>63.1913081</v>
      </c>
      <c r="H271" s="65">
        <f t="shared" si="51"/>
        <v>107.3932886</v>
      </c>
      <c r="I271" s="65">
        <f t="shared" si="51"/>
        <v>150.5977186</v>
      </c>
      <c r="J271" s="65">
        <f t="shared" si="51"/>
        <v>203.593268</v>
      </c>
      <c r="K271" s="65">
        <f t="shared" si="51"/>
        <v>257.9893272</v>
      </c>
      <c r="L271" s="65">
        <f t="shared" si="51"/>
        <v>293.8544627</v>
      </c>
      <c r="M271" s="65">
        <f t="shared" si="51"/>
        <v>339.2507791</v>
      </c>
    </row>
    <row r="272" ht="14.25" customHeight="1">
      <c r="A272" s="7" t="s">
        <v>816</v>
      </c>
      <c r="D272" s="65">
        <f t="shared" ref="D272:M272" si="52">D271-D41</f>
        <v>1.172655325</v>
      </c>
      <c r="E272" s="65">
        <f t="shared" si="52"/>
        <v>2.010427252</v>
      </c>
      <c r="F272" s="65">
        <f t="shared" si="52"/>
        <v>3.684110199</v>
      </c>
      <c r="G272" s="65">
        <f t="shared" si="52"/>
        <v>7.207005652</v>
      </c>
      <c r="H272" s="65">
        <f t="shared" si="52"/>
        <v>12.37379417</v>
      </c>
      <c r="I272" s="65">
        <f t="shared" si="52"/>
        <v>17.38378587</v>
      </c>
      <c r="J272" s="65">
        <f t="shared" si="52"/>
        <v>23.64042769</v>
      </c>
      <c r="K272" s="65">
        <f t="shared" si="52"/>
        <v>30.02819792</v>
      </c>
      <c r="L272" s="65">
        <f t="shared" si="52"/>
        <v>34.11110444</v>
      </c>
      <c r="M272" s="65">
        <f t="shared" si="52"/>
        <v>39.39012921</v>
      </c>
    </row>
    <row r="273" ht="14.25" customHeight="1">
      <c r="A273" s="7" t="s">
        <v>679</v>
      </c>
      <c r="D273" s="16">
        <f>-D272*Supuestos!$B$7</f>
        <v>-293.1638312</v>
      </c>
      <c r="E273" s="16">
        <f>-E272*Supuestos!$B$7</f>
        <v>-502.6068129</v>
      </c>
      <c r="F273" s="16">
        <f>-F272*Supuestos!$B$7</f>
        <v>-921.0275497</v>
      </c>
      <c r="G273" s="16">
        <f>-G272*Supuestos!$B$7</f>
        <v>-1801.751413</v>
      </c>
      <c r="H273" s="16">
        <f>-H272*Supuestos!$B$7</f>
        <v>-3093.448542</v>
      </c>
      <c r="I273" s="16">
        <f>-I272*Supuestos!$B$7</f>
        <v>-4345.946468</v>
      </c>
      <c r="J273" s="16">
        <f>-J272*Supuestos!$B$7</f>
        <v>-5910.106923</v>
      </c>
      <c r="K273" s="16">
        <f>-K272*Supuestos!$B$7</f>
        <v>-7507.049481</v>
      </c>
      <c r="L273" s="16">
        <f>-L272*Supuestos!$B$7</f>
        <v>-8527.77611</v>
      </c>
      <c r="M273" s="16">
        <f>-M272*Supuestos!$B$7</f>
        <v>-9847.532302</v>
      </c>
    </row>
    <row r="274" ht="14.25" customHeight="1">
      <c r="A274" s="7" t="s">
        <v>498</v>
      </c>
      <c r="D274" s="65">
        <f>D26*(Supuestos!$B$31/2/12+Supuestos!$B$30/52)+SUM(D182:D189)</f>
        <v>1.220164553</v>
      </c>
      <c r="E274" s="65">
        <f>E26*(Supuestos!$B$31/2/12+Supuestos!$B$30/52)+SUM(E182:E189)</f>
        <v>2.063689423</v>
      </c>
      <c r="F274" s="65">
        <f>F26*(Supuestos!$B$31/2/12+Supuestos!$B$30/52)+SUM(F182:F189)</f>
        <v>3.292218384</v>
      </c>
      <c r="G274" s="65">
        <f>G26*(Supuestos!$B$31/2/12+Supuestos!$B$30/52)+SUM(G182:G189)</f>
        <v>5.779223096</v>
      </c>
      <c r="H274" s="65">
        <f>H26*(Supuestos!$B$31/2/12+Supuestos!$B$30/52)+SUM(H182:H189)</f>
        <v>9.169562875</v>
      </c>
      <c r="I274" s="65">
        <f>I26*(Supuestos!$B$31/2/12+Supuestos!$B$30/52)+SUM(I182:I189)</f>
        <v>12.23156955</v>
      </c>
      <c r="J274" s="65">
        <f>J26*(Supuestos!$B$31/2/12+Supuestos!$B$30/52)+SUM(J182:J189)</f>
        <v>15.82512035</v>
      </c>
      <c r="K274" s="65">
        <f>K26*(Supuestos!$B$31/2/12+Supuestos!$B$30/52)+SUM(K182:K189)</f>
        <v>19.3627279</v>
      </c>
      <c r="L274" s="65">
        <f>L26*(Supuestos!$B$31/2/12+Supuestos!$B$30/52)+SUM(L182:L189)</f>
        <v>21.69771082</v>
      </c>
      <c r="M274" s="65">
        <f>M26*(Supuestos!$B$31/2/12+Supuestos!$B$30/52)+SUM(M182:M189)</f>
        <v>24.63635837</v>
      </c>
    </row>
    <row r="275" ht="14.25" customHeight="1">
      <c r="A275" s="7" t="s">
        <v>685</v>
      </c>
      <c r="D275" s="16">
        <f>IF(D271=0,0,D274*D270/D271*Supuestos!$B$17)</f>
        <v>193.8840794</v>
      </c>
      <c r="E275" s="16">
        <f>IF(E271=0,0,E274*E270/E271*Supuestos!$B$17)</f>
        <v>328.1247313</v>
      </c>
      <c r="F275" s="16">
        <f>IF(F271=0,0,F274*F270/F271*Supuestos!$B$17)</f>
        <v>523.670252</v>
      </c>
      <c r="G275" s="16">
        <f>IF(G271=0,0,G274*G270/G271*Supuestos!$B$17)</f>
        <v>919.1886654</v>
      </c>
      <c r="H275" s="16">
        <f>IF(H271=0,0,H274*H270/H271*Supuestos!$B$17)</f>
        <v>1458.699232</v>
      </c>
      <c r="I275" s="16">
        <f>IF(I271=0,0,I274*I270/I271*Supuestos!$B$17)</f>
        <v>1945.967369</v>
      </c>
      <c r="J275" s="16">
        <f>IF(J271=0,0,J274*J270/J271*Supuestos!$B$17)</f>
        <v>2517.561777</v>
      </c>
      <c r="K275" s="16">
        <f>IF(K271=0,0,K274*K270/K271*Supuestos!$B$17)</f>
        <v>3080.213032</v>
      </c>
      <c r="L275" s="16">
        <f>IF(L271=0,0,L274*L270/L271*Supuestos!$B$17)</f>
        <v>3451.607336</v>
      </c>
      <c r="M275" s="16">
        <f>IF(M271=0,0,M274*M270/M271*Supuestos!$B$17)</f>
        <v>3918.895601</v>
      </c>
    </row>
    <row r="276" ht="14.25" customHeight="1">
      <c r="A276" s="7" t="s">
        <v>817</v>
      </c>
      <c r="D276" s="16">
        <f>D210*Supuestos!$B$38/60</f>
        <v>1.528184746</v>
      </c>
      <c r="E276" s="16">
        <f>E210*Supuestos!$B$38/60</f>
        <v>2.642895737</v>
      </c>
      <c r="F276" s="16">
        <f>F210*Supuestos!$B$38/60</f>
        <v>4.752949529</v>
      </c>
      <c r="G276" s="16">
        <f>G210*Supuestos!$B$38/60</f>
        <v>9.130446601</v>
      </c>
      <c r="H276" s="16">
        <f>H210*Supuestos!$B$38/60</f>
        <v>15.62888614</v>
      </c>
      <c r="I276" s="16">
        <f>I210*Supuestos!$B$38/60</f>
        <v>21.94537747</v>
      </c>
      <c r="J276" s="16">
        <f>J210*Supuestos!$B$38/60</f>
        <v>29.77553993</v>
      </c>
      <c r="K276" s="16">
        <f>K210*Supuestos!$B$38/60</f>
        <v>37.78400741</v>
      </c>
      <c r="L276" s="16">
        <f>L210*Supuestos!$B$38/60</f>
        <v>42.96585747</v>
      </c>
      <c r="M276" s="16">
        <f>M210*Supuestos!$B$38/60</f>
        <v>49.61125981</v>
      </c>
    </row>
    <row r="277" ht="14.25" customHeight="1">
      <c r="A277" s="7" t="s">
        <v>799</v>
      </c>
      <c r="D277" s="16">
        <f>D276*Supuestos!$B$48</f>
        <v>9.599023435</v>
      </c>
      <c r="E277" s="16">
        <f>E276*Supuestos!$B$48</f>
        <v>16.60088428</v>
      </c>
      <c r="F277" s="16">
        <f>F276*Supuestos!$B$48</f>
        <v>29.85481568</v>
      </c>
      <c r="G277" s="16">
        <f>G276*Supuestos!$B$48</f>
        <v>57.35129285</v>
      </c>
      <c r="H277" s="16">
        <f>H276*Supuestos!$B$48</f>
        <v>98.17009674</v>
      </c>
      <c r="I277" s="16">
        <f>I276*Supuestos!$B$48</f>
        <v>137.846025</v>
      </c>
      <c r="J277" s="16">
        <f>J276*Supuestos!$B$48</f>
        <v>187.0298119</v>
      </c>
      <c r="K277" s="16">
        <f>K276*Supuestos!$B$48</f>
        <v>237.3335904</v>
      </c>
      <c r="L277" s="16">
        <f>L276*Supuestos!$B$48</f>
        <v>269.8824693</v>
      </c>
      <c r="M277" s="16">
        <f>M276*Supuestos!$B$48</f>
        <v>311.6243941</v>
      </c>
    </row>
    <row r="278" ht="14.25" customHeight="1">
      <c r="A278" s="7" t="s">
        <v>703</v>
      </c>
      <c r="D278" s="16">
        <f>Supuestos!$L$108*Supuestos!$B$18</f>
        <v>450</v>
      </c>
      <c r="E278" s="16">
        <f>Supuestos!$L$108*Supuestos!$B$18</f>
        <v>450</v>
      </c>
      <c r="F278" s="16">
        <f>Supuestos!$L$108*Supuestos!$B$18</f>
        <v>450</v>
      </c>
      <c r="G278" s="16">
        <f>Supuestos!$L$108*Supuestos!$B$18</f>
        <v>450</v>
      </c>
      <c r="H278" s="16">
        <f>Supuestos!$L$108*Supuestos!$B$18</f>
        <v>450</v>
      </c>
      <c r="I278" s="16">
        <f>Supuestos!$L$108*Supuestos!$B$18</f>
        <v>450</v>
      </c>
      <c r="J278" s="16">
        <f>Supuestos!$L$108*Supuestos!$B$18</f>
        <v>450</v>
      </c>
      <c r="K278" s="16">
        <f>Supuestos!$L$108*Supuestos!$B$18</f>
        <v>450</v>
      </c>
      <c r="L278" s="16">
        <f>Supuestos!$L$108*Supuestos!$B$18</f>
        <v>450</v>
      </c>
      <c r="M278" s="16">
        <f>Supuestos!$L$108*Supuestos!$B$18</f>
        <v>450</v>
      </c>
    </row>
    <row r="279" ht="14.25" customHeight="1">
      <c r="A279" s="5" t="s">
        <v>818</v>
      </c>
      <c r="D279" s="80">
        <f t="shared" ref="D279:M279" si="53">D270+D273+D275+D277+D278</f>
        <v>15413.11648</v>
      </c>
      <c r="E279" s="80">
        <f t="shared" si="53"/>
        <v>26387.69317</v>
      </c>
      <c r="F279" s="80">
        <f t="shared" si="53"/>
        <v>45222.00367</v>
      </c>
      <c r="G279" s="80">
        <f t="shared" si="53"/>
        <v>83379.89599</v>
      </c>
      <c r="H279" s="80">
        <f t="shared" si="53"/>
        <v>141281.6283</v>
      </c>
      <c r="I279" s="80">
        <f t="shared" si="53"/>
        <v>197847.6114</v>
      </c>
      <c r="J279" s="80">
        <f t="shared" si="53"/>
        <v>267152.1894</v>
      </c>
      <c r="K279" s="80">
        <f t="shared" si="53"/>
        <v>338267.2692</v>
      </c>
      <c r="L279" s="80">
        <f t="shared" si="53"/>
        <v>385189.5002</v>
      </c>
      <c r="M279" s="80">
        <f t="shared" si="53"/>
        <v>444537.0274</v>
      </c>
    </row>
    <row r="280" ht="14.25" customHeight="1"/>
    <row r="281" ht="14.25" customHeight="1">
      <c r="A281" s="3" t="s">
        <v>819</v>
      </c>
    </row>
    <row r="282" ht="14.25" customHeight="1">
      <c r="A282" s="7" t="s">
        <v>820</v>
      </c>
      <c r="D282" s="35">
        <f>1/(1+Supuestos!$B$17)^D$5</f>
        <v>0.8928571429</v>
      </c>
      <c r="E282" s="35">
        <f>1/(1+Supuestos!$B$17)^E$5</f>
        <v>0.7971938776</v>
      </c>
      <c r="F282" s="35">
        <f>1/(1+Supuestos!$B$17)^F$5</f>
        <v>0.7117802478</v>
      </c>
      <c r="G282" s="35">
        <f>1/(1+Supuestos!$B$17)^G$5</f>
        <v>0.6355180784</v>
      </c>
      <c r="H282" s="35">
        <f>1/(1+Supuestos!$B$17)^H$5</f>
        <v>0.5674268557</v>
      </c>
      <c r="I282" s="35">
        <f>1/(1+Supuestos!$B$17)^I$5</f>
        <v>0.5066311212</v>
      </c>
      <c r="J282" s="35">
        <f>1/(1+Supuestos!$B$17)^J$5</f>
        <v>0.4523492153</v>
      </c>
      <c r="K282" s="35">
        <f>1/(1+Supuestos!$B$17)^K$5</f>
        <v>0.403883228</v>
      </c>
      <c r="L282" s="35">
        <f>1/(1+Supuestos!$B$17)^L$5</f>
        <v>0.360610025</v>
      </c>
      <c r="M282" s="35">
        <f>1/(1+Supuestos!$B$17)^M$5</f>
        <v>0.3219732366</v>
      </c>
    </row>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30.0"/>
    <col customWidth="1" min="3" max="3" width="18.29"/>
    <col customWidth="1" min="4" max="4" width="14.0"/>
    <col customWidth="1" min="5" max="5" width="16.0"/>
    <col customWidth="1" min="6" max="7" width="14.0"/>
    <col customWidth="1" min="8" max="8" width="23.43"/>
    <col customWidth="1" min="9" max="11" width="14.0"/>
    <col customWidth="1" min="12" max="26" width="8.57"/>
  </cols>
  <sheetData>
    <row r="1" ht="14.25" customHeight="1">
      <c r="A1" s="1" t="s">
        <v>448</v>
      </c>
    </row>
    <row r="2" ht="14.25" customHeight="1">
      <c r="A2" s="2" t="s">
        <v>449</v>
      </c>
    </row>
    <row r="3" ht="14.25" customHeight="1">
      <c r="B3" s="74" t="str">
        <f>"Año de referencia: "&amp;Supuestos!$B$21</f>
        <v>Año de referencia: 2035</v>
      </c>
    </row>
    <row r="4" ht="14.25" customHeight="1"/>
    <row r="5" ht="14.25" customHeight="1">
      <c r="B5" s="3" t="s">
        <v>451</v>
      </c>
    </row>
    <row r="6" ht="45.0" customHeight="1">
      <c r="B6" s="23" t="s">
        <v>452</v>
      </c>
    </row>
    <row r="7" ht="15.0" customHeight="1">
      <c r="B7" s="75" t="s">
        <v>453</v>
      </c>
    </row>
    <row r="8" ht="30.0" customHeight="1">
      <c r="A8" s="76">
        <v>1.0</v>
      </c>
      <c r="B8" s="23" t="s">
        <v>455</v>
      </c>
    </row>
    <row r="9" ht="15.0" customHeight="1">
      <c r="A9" s="76">
        <v>2.0</v>
      </c>
      <c r="B9" s="23" t="s">
        <v>456</v>
      </c>
    </row>
    <row r="10" ht="15.0" customHeight="1">
      <c r="A10" s="76">
        <v>3.0</v>
      </c>
      <c r="B10" s="23" t="s">
        <v>457</v>
      </c>
    </row>
    <row r="11" ht="15.0" customHeight="1">
      <c r="A11" s="76">
        <v>4.0</v>
      </c>
      <c r="B11" s="23" t="s">
        <v>458</v>
      </c>
    </row>
    <row r="12" ht="15.0" customHeight="1">
      <c r="A12" s="76">
        <v>5.0</v>
      </c>
      <c r="B12" s="23" t="s">
        <v>459</v>
      </c>
    </row>
    <row r="13" ht="15.0" customHeight="1">
      <c r="A13" s="76">
        <v>6.0</v>
      </c>
      <c r="B13" s="23" t="s">
        <v>460</v>
      </c>
    </row>
    <row r="14" ht="15.0" customHeight="1">
      <c r="B14" s="75" t="s">
        <v>461</v>
      </c>
    </row>
    <row r="15" ht="15.0" customHeight="1">
      <c r="A15" s="76">
        <v>1.0</v>
      </c>
      <c r="B15" s="23" t="s">
        <v>462</v>
      </c>
    </row>
    <row r="16" ht="15.0" customHeight="1">
      <c r="A16" s="76">
        <v>2.0</v>
      </c>
      <c r="B16" s="23" t="s">
        <v>463</v>
      </c>
    </row>
    <row r="17" ht="15.0" customHeight="1">
      <c r="A17" s="76">
        <v>3.0</v>
      </c>
      <c r="B17" s="23" t="s">
        <v>464</v>
      </c>
    </row>
    <row r="18" ht="15.0" customHeight="1">
      <c r="A18" s="76">
        <v>4.0</v>
      </c>
      <c r="B18" s="23" t="s">
        <v>465</v>
      </c>
    </row>
    <row r="19" ht="15.0" customHeight="1">
      <c r="B19" s="75" t="s">
        <v>467</v>
      </c>
    </row>
    <row r="20" ht="26.25" customHeight="1">
      <c r="B20" s="18" t="s">
        <v>311</v>
      </c>
      <c r="C20" s="63"/>
      <c r="D20" s="63"/>
      <c r="E20" s="64"/>
      <c r="F20" s="4" t="s">
        <v>468</v>
      </c>
      <c r="G20" s="4" t="s">
        <v>469</v>
      </c>
      <c r="H20" s="4" t="s">
        <v>471</v>
      </c>
    </row>
    <row r="21" ht="30.0" customHeight="1">
      <c r="B21" s="77" t="str">
        <f>Supuestos!A96</f>
        <v>Línea de corte transversal 1–6 mm × 1.600 (desbobinador, aplanadora, alimentador servo, cizalla)</v>
      </c>
      <c r="C21" s="63"/>
      <c r="D21" s="63"/>
      <c r="E21" s="63"/>
      <c r="F21" s="67">
        <f>Supuestos!C96</f>
        <v>1</v>
      </c>
      <c r="G21" s="67">
        <f>Supuestos!B96</f>
        <v>80000</v>
      </c>
      <c r="H21" s="16">
        <f t="shared" ref="H21:H32" si="1">F21*G21</f>
        <v>80000</v>
      </c>
    </row>
    <row r="22" ht="30.0" customHeight="1">
      <c r="B22" s="77" t="str">
        <f>Supuestos!A97</f>
        <v>Guillotina hidráulica 6 × 3.200 mm con tope motorizado</v>
      </c>
      <c r="C22" s="63"/>
      <c r="D22" s="63"/>
      <c r="E22" s="63"/>
      <c r="F22" s="67">
        <f>Supuestos!C97</f>
        <v>1</v>
      </c>
      <c r="G22" s="67">
        <f>Supuestos!B97</f>
        <v>25810.97465</v>
      </c>
      <c r="H22" s="16">
        <f t="shared" si="1"/>
        <v>25810.97465</v>
      </c>
    </row>
    <row r="23" ht="30.0" customHeight="1">
      <c r="B23" s="77" t="str">
        <f>Supuestos!A98</f>
        <v>Cortadora longitudinal (slitter) 0,3–3,2 × 1.600</v>
      </c>
      <c r="C23" s="63"/>
      <c r="D23" s="63"/>
      <c r="E23" s="63"/>
      <c r="F23" s="67">
        <f>Supuestos!C98</f>
        <v>0</v>
      </c>
      <c r="G23" s="67">
        <f>Supuestos!B98</f>
        <v>60000</v>
      </c>
      <c r="H23" s="16">
        <f t="shared" si="1"/>
        <v>0</v>
      </c>
    </row>
    <row r="24" ht="30.0" customHeight="1">
      <c r="B24" s="77" t="str">
        <f>Supuestos!A99</f>
        <v>Puente grúa monoviga 10 t (incluye carrilera)</v>
      </c>
      <c r="C24" s="63"/>
      <c r="D24" s="63"/>
      <c r="E24" s="63"/>
      <c r="F24" s="67">
        <f>Supuestos!C99</f>
        <v>1</v>
      </c>
      <c r="G24" s="67">
        <f>Supuestos!B99</f>
        <v>30000</v>
      </c>
      <c r="H24" s="16">
        <f t="shared" si="1"/>
        <v>30000</v>
      </c>
    </row>
    <row r="25" ht="30.0" customHeight="1">
      <c r="B25" s="77" t="str">
        <f>Supuestos!A100</f>
        <v>Pinza en C portabobinas + cunas</v>
      </c>
      <c r="C25" s="63"/>
      <c r="D25" s="63"/>
      <c r="E25" s="63"/>
      <c r="F25" s="67">
        <f>Supuestos!C100</f>
        <v>1</v>
      </c>
      <c r="G25" s="67">
        <f>Supuestos!B100</f>
        <v>6000</v>
      </c>
      <c r="H25" s="16">
        <f t="shared" si="1"/>
        <v>6000</v>
      </c>
    </row>
    <row r="26" ht="30.0" customHeight="1">
      <c r="B26" s="77" t="str">
        <f>Supuestos!A101</f>
        <v>Desbobinador + enderezador + alimentador servo para la prensa de discos</v>
      </c>
      <c r="C26" s="63"/>
      <c r="D26" s="63"/>
      <c r="E26" s="63"/>
      <c r="F26" s="67">
        <f>Supuestos!C101</f>
        <v>1</v>
      </c>
      <c r="G26" s="67">
        <f>Supuestos!B101</f>
        <v>12000</v>
      </c>
      <c r="H26" s="16">
        <f t="shared" si="1"/>
        <v>12000</v>
      </c>
    </row>
    <row r="27" ht="30.0" customHeight="1">
      <c r="B27" s="77" t="str">
        <f>Supuestos!A102</f>
        <v>Estantería porta-flejes</v>
      </c>
      <c r="C27" s="63"/>
      <c r="D27" s="63"/>
      <c r="E27" s="63"/>
      <c r="F27" s="67">
        <f>Supuestos!C102</f>
        <v>1</v>
      </c>
      <c r="G27" s="67">
        <f>Supuestos!B102</f>
        <v>3000</v>
      </c>
      <c r="H27" s="16">
        <f t="shared" si="1"/>
        <v>3000</v>
      </c>
    </row>
    <row r="28" ht="30.0" customHeight="1">
      <c r="B28" s="77" t="str">
        <f>Supuestos!A103</f>
        <v>Autoelevador eléctrico 2,5 t</v>
      </c>
      <c r="C28" s="63"/>
      <c r="D28" s="63"/>
      <c r="E28" s="63"/>
      <c r="F28" s="67">
        <f>Supuestos!C103</f>
        <v>0</v>
      </c>
      <c r="G28" s="67">
        <f>Supuestos!B103</f>
        <v>20000</v>
      </c>
      <c r="H28" s="16">
        <f t="shared" si="1"/>
        <v>0</v>
      </c>
    </row>
    <row r="29" ht="30.0" customHeight="1">
      <c r="B29" s="77" t="str">
        <f>Supuestos!A104</f>
        <v>Mesa elevadora de tijera 1500 × 3000 mm, 3 t, elevación ~1 m (paquete de hojas a la altura de la guillotina)</v>
      </c>
      <c r="C29" s="63"/>
      <c r="D29" s="63"/>
      <c r="E29" s="63"/>
      <c r="F29" s="67">
        <f>Supuestos!C104</f>
        <v>0</v>
      </c>
      <c r="G29" s="67">
        <f>Supuestos!B104</f>
        <v>7000</v>
      </c>
      <c r="H29" s="16">
        <f t="shared" si="1"/>
        <v>0</v>
      </c>
    </row>
    <row r="30" ht="30.0" customHeight="1">
      <c r="B30" s="77" t="str">
        <f>Supuestos!A105</f>
        <v>Apoyos con bolas (mesa de bolas) entre la mesa elevadora y la guillotina</v>
      </c>
      <c r="C30" s="63"/>
      <c r="D30" s="63"/>
      <c r="E30" s="63"/>
      <c r="F30" s="67">
        <f>Supuestos!C105</f>
        <v>0</v>
      </c>
      <c r="G30" s="67">
        <f>Supuestos!B105</f>
        <v>1500</v>
      </c>
      <c r="H30" s="16">
        <f t="shared" si="1"/>
        <v>0</v>
      </c>
    </row>
    <row r="31" ht="30.0" customHeight="1">
      <c r="B31" s="77" t="str">
        <f>Supuestos!A106</f>
        <v>Racks por espesor en el almacén de MP y carros porta-desarrollos</v>
      </c>
      <c r="C31" s="63"/>
      <c r="D31" s="63"/>
      <c r="E31" s="63"/>
      <c r="F31" s="67">
        <f>Supuestos!C106</f>
        <v>0</v>
      </c>
      <c r="G31" s="67">
        <f>Supuestos!B106</f>
        <v>2000</v>
      </c>
      <c r="H31" s="16">
        <f t="shared" si="1"/>
        <v>0</v>
      </c>
    </row>
    <row r="32" ht="30.0" customHeight="1">
      <c r="B32" s="77" t="str">
        <f>Supuestos!A107</f>
        <v>Mesa de alimentación de tiras al balancín</v>
      </c>
      <c r="C32" s="63"/>
      <c r="D32" s="63"/>
      <c r="E32" s="63"/>
      <c r="F32" s="67">
        <f>Supuestos!C107</f>
        <v>0</v>
      </c>
      <c r="G32" s="67">
        <f>Supuestos!B107</f>
        <v>1500</v>
      </c>
      <c r="H32" s="16">
        <f t="shared" si="1"/>
        <v>0</v>
      </c>
    </row>
    <row r="33" ht="14.25" customHeight="1">
      <c r="B33" s="78" t="s">
        <v>475</v>
      </c>
      <c r="C33" s="63"/>
      <c r="D33" s="63"/>
      <c r="E33" s="63"/>
      <c r="H33" s="26">
        <f>SUM(H21:H32)</f>
        <v>156810.9746</v>
      </c>
    </row>
    <row r="34" ht="14.25" customHeight="1"/>
    <row r="35" ht="15.0" customHeight="1">
      <c r="B35" s="75" t="s">
        <v>477</v>
      </c>
    </row>
    <row r="36" ht="39.75" customHeight="1">
      <c r="B36" s="4" t="s">
        <v>361</v>
      </c>
      <c r="C36" s="4" t="s">
        <v>364</v>
      </c>
      <c r="D36" s="4" t="s">
        <v>86</v>
      </c>
      <c r="E36" s="4" t="s">
        <v>478</v>
      </c>
      <c r="F36" s="4" t="s">
        <v>479</v>
      </c>
      <c r="G36" s="4" t="s">
        <v>376</v>
      </c>
      <c r="H36" s="4" t="s">
        <v>480</v>
      </c>
      <c r="I36" s="4" t="s">
        <v>373</v>
      </c>
    </row>
    <row r="37" ht="14.25" customHeight="1">
      <c r="B37" s="47" t="str">
        <f>Bobinas!A6</f>
        <v>Cuerpo 2,5 kg</v>
      </c>
      <c r="C37" s="67">
        <f>Bobinas!D6</f>
        <v>1220</v>
      </c>
      <c r="D37" s="45">
        <f>Bobinas!C6</f>
        <v>1.25</v>
      </c>
      <c r="E37" s="68">
        <f>Bobinas!K6</f>
        <v>1.5</v>
      </c>
      <c r="F37" s="68">
        <f>Bobinas!F6</f>
        <v>15.27190723</v>
      </c>
      <c r="G37" s="48">
        <f>Bobinas!O6</f>
        <v>10.18127149</v>
      </c>
      <c r="H37" s="67">
        <f>Bobinas!N6</f>
        <v>23.57269427</v>
      </c>
      <c r="I37" s="67">
        <f>Bobinas!M6</f>
        <v>1391.262785</v>
      </c>
    </row>
    <row r="38" ht="14.25" customHeight="1">
      <c r="B38" s="47" t="str">
        <f>Bobinas!A7</f>
        <v>Cuerpo 5 kg</v>
      </c>
      <c r="C38" s="67">
        <f>Bobinas!D7</f>
        <v>1000</v>
      </c>
      <c r="D38" s="45">
        <f>Bobinas!C7</f>
        <v>1.6</v>
      </c>
      <c r="E38" s="68">
        <f>Bobinas!K7</f>
        <v>10</v>
      </c>
      <c r="F38" s="68">
        <f>Bobinas!F7</f>
        <v>127.4365957</v>
      </c>
      <c r="G38" s="48">
        <f>Bobinas!O7</f>
        <v>12.74365957</v>
      </c>
      <c r="H38" s="67">
        <f>Bobinas!N7</f>
        <v>18.8328948</v>
      </c>
      <c r="I38" s="67">
        <f>Bobinas!M7</f>
        <v>5021.001174</v>
      </c>
    </row>
    <row r="39" ht="14.25" customHeight="1">
      <c r="B39" s="47" t="str">
        <f>Bobinas!A8</f>
        <v>Cuerpo 10 kg</v>
      </c>
      <c r="C39" s="67">
        <f>Bobinas!D8</f>
        <v>1000</v>
      </c>
      <c r="D39" s="45">
        <f>Bobinas!C8</f>
        <v>2</v>
      </c>
      <c r="E39" s="68">
        <f>Bobinas!K8</f>
        <v>1.5</v>
      </c>
      <c r="F39" s="68">
        <f>Bobinas!F8</f>
        <v>17.15324635</v>
      </c>
      <c r="G39" s="48">
        <f>Bobinas!O8</f>
        <v>11.43549757</v>
      </c>
      <c r="H39" s="67">
        <f>Bobinas!N8</f>
        <v>20.98728093</v>
      </c>
      <c r="I39" s="67">
        <f>Bobinas!M8</f>
        <v>338.5385516</v>
      </c>
    </row>
    <row r="40" ht="14.25" customHeight="1">
      <c r="B40" s="47" t="str">
        <f>Bobinas!A9</f>
        <v>Cuerpo 25 kg</v>
      </c>
      <c r="C40" s="67">
        <f>Bobinas!D9</f>
        <v>1500</v>
      </c>
      <c r="D40" s="45">
        <f>Bobinas!C9</f>
        <v>3.2</v>
      </c>
      <c r="E40" s="68">
        <f>Bobinas!K9</f>
        <v>1</v>
      </c>
      <c r="F40" s="68">
        <f>Bobinas!F9</f>
        <v>8.41512603</v>
      </c>
      <c r="G40" s="48">
        <f>Bobinas!O9</f>
        <v>8.41512603</v>
      </c>
      <c r="H40" s="67">
        <f>Bobinas!N9</f>
        <v>28.52007197</v>
      </c>
      <c r="I40" s="67">
        <f>Bobinas!M9</f>
        <v>92.55886003</v>
      </c>
    </row>
    <row r="41" ht="14.25" customHeight="1">
      <c r="B41" s="47" t="str">
        <f>Bobinas!A10</f>
        <v>Cuerpo 50 kg</v>
      </c>
      <c r="C41" s="67">
        <f>Bobinas!D10</f>
        <v>1500</v>
      </c>
      <c r="D41" s="45">
        <f>Bobinas!C10</f>
        <v>3.2</v>
      </c>
      <c r="E41" s="68">
        <f>Bobinas!K10</f>
        <v>3</v>
      </c>
      <c r="F41" s="68">
        <f>Bobinas!F10</f>
        <v>32.17167413</v>
      </c>
      <c r="G41" s="48">
        <f>Bobinas!O10</f>
        <v>10.72389138</v>
      </c>
      <c r="H41" s="67">
        <f>Bobinas!N10</f>
        <v>22.37993575</v>
      </c>
      <c r="I41" s="67">
        <f>Bobinas!M10</f>
        <v>159.7897423</v>
      </c>
    </row>
    <row r="42" ht="14.25" customHeight="1">
      <c r="B42" s="47" t="str">
        <f>Bobinas!A11</f>
        <v>Cuerpo 70 kg</v>
      </c>
      <c r="C42" s="67">
        <f>Bobinas!D11</f>
        <v>1245</v>
      </c>
      <c r="D42" s="45">
        <f>Bobinas!C11</f>
        <v>4.75</v>
      </c>
      <c r="E42" s="68">
        <f>Bobinas!K11</f>
        <v>1</v>
      </c>
      <c r="F42" s="68">
        <f>Bobinas!F11</f>
        <v>11.86403331</v>
      </c>
      <c r="G42" s="48">
        <f>Bobinas!O11</f>
        <v>11.86403331</v>
      </c>
      <c r="H42" s="67">
        <f>Bobinas!N11</f>
        <v>20.22920822</v>
      </c>
      <c r="I42" s="67">
        <f>Bobinas!M11</f>
        <v>31.59754885</v>
      </c>
    </row>
    <row r="43" ht="14.25" customHeight="1">
      <c r="B43" s="47" t="str">
        <f>Bobinas!A12</f>
        <v>Cuerpo 100 kg</v>
      </c>
      <c r="C43" s="67">
        <f>Bobinas!D12</f>
        <v>1245</v>
      </c>
      <c r="D43" s="45">
        <f>Bobinas!C12</f>
        <v>4.75</v>
      </c>
      <c r="E43" s="68">
        <f>Bobinas!K12</f>
        <v>1</v>
      </c>
      <c r="F43" s="68">
        <f>Bobinas!F12</f>
        <v>10.39810205</v>
      </c>
      <c r="G43" s="48">
        <f>Bobinas!O12</f>
        <v>10.39810205</v>
      </c>
      <c r="H43" s="67">
        <f>Bobinas!N12</f>
        <v>23.08113528</v>
      </c>
      <c r="I43" s="67">
        <f>Bobinas!M12</f>
        <v>23.87370357</v>
      </c>
    </row>
    <row r="44" ht="14.25" customHeight="1">
      <c r="B44" s="47" t="str">
        <f>Bobinas!A13</f>
        <v>Fleje Cúpula 1 kg</v>
      </c>
      <c r="C44" s="67">
        <f>Bobinas!D13</f>
        <v>114</v>
      </c>
      <c r="D44" s="45">
        <f>Bobinas!C13</f>
        <v>0.9</v>
      </c>
      <c r="E44" s="68">
        <f>Bobinas!K13</f>
        <v>1</v>
      </c>
      <c r="F44" s="68">
        <f>Bobinas!F13</f>
        <v>18.25183128</v>
      </c>
      <c r="G44" s="48">
        <f>Bobinas!O13</f>
        <v>18.25183128</v>
      </c>
      <c r="H44" s="67">
        <f>Bobinas!N13</f>
        <v>13.14936547</v>
      </c>
      <c r="I44" s="67">
        <f>Bobinas!M13</f>
        <v>11157.19255</v>
      </c>
    </row>
    <row r="45" ht="14.25" customHeight="1">
      <c r="B45" s="47" t="str">
        <f>Bobinas!A14</f>
        <v>Fleje Fondo 1 kg</v>
      </c>
      <c r="C45" s="67">
        <f>Bobinas!D14</f>
        <v>106</v>
      </c>
      <c r="D45" s="45">
        <f>Bobinas!C14</f>
        <v>0.9</v>
      </c>
      <c r="E45" s="68">
        <f>Bobinas!K14</f>
        <v>1</v>
      </c>
      <c r="F45" s="68">
        <f>Bobinas!F14</f>
        <v>15.74786581</v>
      </c>
      <c r="G45" s="48">
        <f>Bobinas!O14</f>
        <v>15.74786581</v>
      </c>
      <c r="H45" s="67">
        <f>Bobinas!N14</f>
        <v>15.24016034</v>
      </c>
      <c r="I45" s="67">
        <f>Bobinas!M14</f>
        <v>12931.225</v>
      </c>
    </row>
    <row r="46" ht="14.25" customHeight="1">
      <c r="B46" s="47" t="str">
        <f>Bobinas!A15</f>
        <v>Fleje Cúpula 2,5 kg</v>
      </c>
      <c r="C46" s="67">
        <f>Bobinas!D15</f>
        <v>200</v>
      </c>
      <c r="D46" s="45">
        <f>Bobinas!C15</f>
        <v>1.25</v>
      </c>
      <c r="E46" s="68">
        <f>Bobinas!K15</f>
        <v>0.5</v>
      </c>
      <c r="F46" s="68">
        <f>Bobinas!F15</f>
        <v>5.072211045</v>
      </c>
      <c r="G46" s="48">
        <f>Bobinas!O15</f>
        <v>10.14442209</v>
      </c>
      <c r="H46" s="67">
        <f>Bobinas!N15</f>
        <v>23.65832157</v>
      </c>
      <c r="I46" s="67">
        <f>Bobinas!M15</f>
        <v>1396.316517</v>
      </c>
    </row>
    <row r="47" ht="14.25" customHeight="1">
      <c r="B47" s="47" t="str">
        <f>Bobinas!A16</f>
        <v>Fleje Fondo 2,5 kg</v>
      </c>
      <c r="C47" s="67">
        <f>Bobinas!D16</f>
        <v>200</v>
      </c>
      <c r="D47" s="45">
        <f>Bobinas!C16</f>
        <v>1.25</v>
      </c>
      <c r="E47" s="68">
        <f>Bobinas!K16</f>
        <v>0.5</v>
      </c>
      <c r="F47" s="68">
        <f>Bobinas!F16</f>
        <v>4.20826301</v>
      </c>
      <c r="G47" s="48">
        <f>Bobinas!O16</f>
        <v>8.41652602</v>
      </c>
      <c r="H47" s="67">
        <f>Bobinas!N16</f>
        <v>28.51532799</v>
      </c>
      <c r="I47" s="67">
        <f>Bobinas!M16</f>
        <v>1682.977524</v>
      </c>
    </row>
    <row r="48" ht="14.25" customHeight="1">
      <c r="B48" s="47" t="str">
        <f>Bobinas!A17</f>
        <v>Fleje Cúpula 5 kg</v>
      </c>
      <c r="C48" s="67">
        <f>Bobinas!D17</f>
        <v>250</v>
      </c>
      <c r="D48" s="45">
        <f>Bobinas!C17</f>
        <v>1.6</v>
      </c>
      <c r="E48" s="68">
        <f>Bobinas!K17</f>
        <v>0.6</v>
      </c>
      <c r="F48" s="68">
        <f>Bobinas!F17</f>
        <v>45.11980626</v>
      </c>
      <c r="G48" s="48">
        <f>Bobinas!O17</f>
        <v>75.19967711</v>
      </c>
      <c r="H48" s="67">
        <f>Bobinas!N17</f>
        <v>3.191503065</v>
      </c>
      <c r="I48" s="67">
        <f>Bobinas!M17</f>
        <v>850.8803776</v>
      </c>
    </row>
    <row r="49" ht="14.25" customHeight="1">
      <c r="B49" s="47" t="str">
        <f>Bobinas!A18</f>
        <v>Fleje Fondo 5 kg</v>
      </c>
      <c r="C49" s="67">
        <f>Bobinas!D18</f>
        <v>200</v>
      </c>
      <c r="D49" s="45">
        <f>Bobinas!C18</f>
        <v>1.6</v>
      </c>
      <c r="E49" s="68">
        <f>Bobinas!K18</f>
        <v>0.5</v>
      </c>
      <c r="F49" s="68">
        <f>Bobinas!F18</f>
        <v>29.00558974</v>
      </c>
      <c r="G49" s="48">
        <f>Bobinas!O18</f>
        <v>58.01117948</v>
      </c>
      <c r="H49" s="67">
        <f>Bobinas!N18</f>
        <v>4.137133603</v>
      </c>
      <c r="I49" s="67">
        <f>Bobinas!M18</f>
        <v>1102.993082</v>
      </c>
    </row>
    <row r="50" ht="14.25" customHeight="1">
      <c r="B50" s="47" t="str">
        <f>Bobinas!A19</f>
        <v>Fleje Cúpula 10 kg</v>
      </c>
      <c r="C50" s="67">
        <f>Bobinas!D19</f>
        <v>300</v>
      </c>
      <c r="D50" s="45">
        <f>Bobinas!C19</f>
        <v>2</v>
      </c>
      <c r="E50" s="68">
        <f>Bobinas!K19</f>
        <v>0.75</v>
      </c>
      <c r="F50" s="68">
        <f>Bobinas!F19</f>
        <v>4.771222697</v>
      </c>
      <c r="G50" s="48">
        <f>Bobinas!O19</f>
        <v>6.361630263</v>
      </c>
      <c r="H50" s="67">
        <f>Bobinas!N19</f>
        <v>37.72617868</v>
      </c>
      <c r="I50" s="67">
        <f>Bobinas!M19</f>
        <v>608.5479073</v>
      </c>
    </row>
    <row r="51" ht="14.25" customHeight="1">
      <c r="B51" s="47" t="str">
        <f>Bobinas!A20</f>
        <v>Fleje Fondo 10 kg</v>
      </c>
      <c r="C51" s="67">
        <f>Bobinas!D20</f>
        <v>249</v>
      </c>
      <c r="D51" s="45">
        <f>Bobinas!C20</f>
        <v>2</v>
      </c>
      <c r="E51" s="68">
        <f>Bobinas!K20</f>
        <v>0.5</v>
      </c>
      <c r="F51" s="68">
        <f>Bobinas!F20</f>
        <v>3.155953588</v>
      </c>
      <c r="G51" s="48">
        <f>Bobinas!O20</f>
        <v>6.311907176</v>
      </c>
      <c r="H51" s="67">
        <f>Bobinas!N20</f>
        <v>38.02337286</v>
      </c>
      <c r="I51" s="67">
        <f>Bobinas!M20</f>
        <v>613.3418436</v>
      </c>
    </row>
    <row r="52" ht="14.25" customHeight="1"/>
    <row r="53" ht="15.0" customHeight="1">
      <c r="B53" s="75" t="s">
        <v>494</v>
      </c>
    </row>
    <row r="54" ht="14.25" customHeight="1">
      <c r="B54" s="62" t="s">
        <v>495</v>
      </c>
      <c r="C54" s="63"/>
      <c r="D54" s="63"/>
      <c r="E54" s="63"/>
      <c r="F54" s="65">
        <f t="array" ref="F54">INDEX(Calculo!$D$223:$M$223,MATCH(Supuestos!$B$21,Calculo!$D$4:$M$4,0))</f>
        <v>348.0434282</v>
      </c>
    </row>
    <row r="55" ht="14.25" customHeight="1">
      <c r="B55" s="62" t="s">
        <v>496</v>
      </c>
      <c r="C55" s="63"/>
      <c r="D55" s="63"/>
      <c r="E55" s="63"/>
      <c r="F55" s="65">
        <f t="array" ref="F55">INDEX(Calculo!$D$224:$M$224,MATCH(Supuestos!$B$21,Calculo!$D$4:$M$4,0))</f>
        <v>48.18277831</v>
      </c>
    </row>
    <row r="56" ht="14.25" customHeight="1">
      <c r="B56" s="62" t="s">
        <v>498</v>
      </c>
      <c r="C56" s="63"/>
      <c r="D56" s="63"/>
      <c r="E56" s="63"/>
      <c r="F56" s="65">
        <f t="array" ref="F56">INDEX(Calculo!$D$226:$M$226,MATCH(Supuestos!$B$21,Calculo!$D$4:$M$4,0))</f>
        <v>25.5612857</v>
      </c>
    </row>
    <row r="57" ht="14.25" customHeight="1">
      <c r="B57" s="62" t="s">
        <v>499</v>
      </c>
      <c r="C57" s="63"/>
      <c r="D57" s="63"/>
      <c r="E57" s="63"/>
      <c r="F57" s="16">
        <f t="array" ref="F57">INDEX(Calculo!$D$228:$M$228,MATCH(Supuestos!$B$21,Calculo!$D$4:$M$4,0))</f>
        <v>544.8808431</v>
      </c>
    </row>
    <row r="58" ht="14.25" customHeight="1">
      <c r="B58" s="62" t="s">
        <v>500</v>
      </c>
      <c r="C58" s="63"/>
      <c r="D58" s="63"/>
      <c r="E58" s="63"/>
      <c r="F58" s="33">
        <f t="array" ref="F58">INDEX(Calculo!$D$228:$M$228,MATCH(Supuestos!$B$21,Calculo!$D$4:$M$4,0))/Supuestos!$B$42</f>
        <v>0.3027115795</v>
      </c>
    </row>
    <row r="59" ht="14.25" customHeight="1">
      <c r="B59" s="62" t="s">
        <v>501</v>
      </c>
      <c r="C59" s="63"/>
      <c r="D59" s="63"/>
      <c r="E59" s="63"/>
      <c r="F59" s="16">
        <f t="array" ref="F59">INDEX(Calculo!$D$231:$M$231,MATCH(Supuestos!$B$21,Calculo!$D$4:$M$4,0))</f>
        <v>421272.6453</v>
      </c>
    </row>
    <row r="60" ht="14.25" customHeight="1"/>
    <row r="61" ht="45.0" customHeight="1">
      <c r="B61" s="23" t="s">
        <v>503</v>
      </c>
    </row>
    <row r="62" ht="14.25" customHeight="1"/>
    <row r="63" ht="14.25" customHeight="1">
      <c r="B63" s="3" t="s">
        <v>504</v>
      </c>
    </row>
    <row r="64" ht="30.0" customHeight="1">
      <c r="B64" s="23" t="s">
        <v>505</v>
      </c>
    </row>
    <row r="65" ht="15.0" customHeight="1">
      <c r="B65" s="75" t="s">
        <v>506</v>
      </c>
    </row>
    <row r="66" ht="15.0" customHeight="1">
      <c r="A66" s="76">
        <v>1.0</v>
      </c>
      <c r="B66" s="23" t="s">
        <v>507</v>
      </c>
    </row>
    <row r="67" ht="30.0" customHeight="1">
      <c r="A67" s="76">
        <v>2.0</v>
      </c>
      <c r="B67" s="23" t="s">
        <v>508</v>
      </c>
    </row>
    <row r="68" ht="15.0" customHeight="1">
      <c r="A68" s="76">
        <v>3.0</v>
      </c>
      <c r="B68" s="23" t="s">
        <v>509</v>
      </c>
    </row>
    <row r="69" ht="30.0" customHeight="1">
      <c r="A69" s="76">
        <v>4.0</v>
      </c>
      <c r="B69" s="23" t="s">
        <v>510</v>
      </c>
    </row>
    <row r="70" ht="15.0" customHeight="1">
      <c r="A70" s="76">
        <v>5.0</v>
      </c>
      <c r="B70" s="23" t="s">
        <v>511</v>
      </c>
    </row>
    <row r="71" ht="15.0" customHeight="1">
      <c r="B71" s="75" t="s">
        <v>467</v>
      </c>
    </row>
    <row r="72" ht="26.25" customHeight="1">
      <c r="B72" s="18" t="s">
        <v>311</v>
      </c>
      <c r="C72" s="63"/>
      <c r="D72" s="63"/>
      <c r="E72" s="64"/>
      <c r="F72" s="4" t="s">
        <v>468</v>
      </c>
      <c r="G72" s="4" t="s">
        <v>469</v>
      </c>
      <c r="H72" s="4" t="s">
        <v>471</v>
      </c>
    </row>
    <row r="73" ht="30.0" customHeight="1">
      <c r="B73" s="77" t="str">
        <f>Supuestos!A96</f>
        <v>Línea de corte transversal 1–6 mm × 1.600 (desbobinador, aplanadora, alimentador servo, cizalla)</v>
      </c>
      <c r="C73" s="63"/>
      <c r="D73" s="63"/>
      <c r="E73" s="63"/>
      <c r="F73" s="67">
        <f>Supuestos!D96</f>
        <v>0</v>
      </c>
      <c r="G73" s="67">
        <f>Supuestos!B96</f>
        <v>80000</v>
      </c>
      <c r="H73" s="16">
        <f t="shared" ref="H73:H84" si="2">F73*G73</f>
        <v>0</v>
      </c>
    </row>
    <row r="74" ht="30.0" customHeight="1">
      <c r="B74" s="77" t="str">
        <f>Supuestos!A97</f>
        <v>Guillotina hidráulica 6 × 3.200 mm con tope motorizado</v>
      </c>
      <c r="C74" s="63"/>
      <c r="D74" s="63"/>
      <c r="E74" s="63"/>
      <c r="F74" s="67">
        <f>Supuestos!D97</f>
        <v>1</v>
      </c>
      <c r="G74" s="67">
        <f>Supuestos!B97</f>
        <v>25810.97465</v>
      </c>
      <c r="H74" s="16">
        <f t="shared" si="2"/>
        <v>25810.97465</v>
      </c>
    </row>
    <row r="75" ht="30.0" customHeight="1">
      <c r="B75" s="77" t="str">
        <f>Supuestos!A98</f>
        <v>Cortadora longitudinal (slitter) 0,3–3,2 × 1.600</v>
      </c>
      <c r="C75" s="63"/>
      <c r="D75" s="63"/>
      <c r="E75" s="63"/>
      <c r="F75" s="67">
        <f>Supuestos!D98</f>
        <v>0</v>
      </c>
      <c r="G75" s="67">
        <f>Supuestos!B98</f>
        <v>60000</v>
      </c>
      <c r="H75" s="16">
        <f t="shared" si="2"/>
        <v>0</v>
      </c>
    </row>
    <row r="76" ht="30.0" customHeight="1">
      <c r="B76" s="77" t="str">
        <f>Supuestos!A99</f>
        <v>Puente grúa monoviga 10 t (incluye carrilera)</v>
      </c>
      <c r="C76" s="63"/>
      <c r="D76" s="63"/>
      <c r="E76" s="63"/>
      <c r="F76" s="67">
        <f>Supuestos!D99</f>
        <v>0</v>
      </c>
      <c r="G76" s="67">
        <f>Supuestos!B99</f>
        <v>30000</v>
      </c>
      <c r="H76" s="16">
        <f t="shared" si="2"/>
        <v>0</v>
      </c>
    </row>
    <row r="77" ht="30.0" customHeight="1">
      <c r="B77" s="77" t="str">
        <f>Supuestos!A100</f>
        <v>Pinza en C portabobinas + cunas</v>
      </c>
      <c r="C77" s="63"/>
      <c r="D77" s="63"/>
      <c r="E77" s="63"/>
      <c r="F77" s="67">
        <f>Supuestos!D100</f>
        <v>0</v>
      </c>
      <c r="G77" s="67">
        <f>Supuestos!B100</f>
        <v>6000</v>
      </c>
      <c r="H77" s="16">
        <f t="shared" si="2"/>
        <v>0</v>
      </c>
    </row>
    <row r="78" ht="30.0" customHeight="1">
      <c r="B78" s="77" t="str">
        <f>Supuestos!A101</f>
        <v>Desbobinador + enderezador + alimentador servo para la prensa de discos</v>
      </c>
      <c r="C78" s="63"/>
      <c r="D78" s="63"/>
      <c r="E78" s="63"/>
      <c r="F78" s="67">
        <f>Supuestos!D101</f>
        <v>0</v>
      </c>
      <c r="G78" s="67">
        <f>Supuestos!B101</f>
        <v>12000</v>
      </c>
      <c r="H78" s="16">
        <f t="shared" si="2"/>
        <v>0</v>
      </c>
    </row>
    <row r="79" ht="30.0" customHeight="1">
      <c r="B79" s="77" t="str">
        <f>Supuestos!A102</f>
        <v>Estantería porta-flejes</v>
      </c>
      <c r="C79" s="63"/>
      <c r="D79" s="63"/>
      <c r="E79" s="63"/>
      <c r="F79" s="67">
        <f>Supuestos!D102</f>
        <v>0</v>
      </c>
      <c r="G79" s="67">
        <f>Supuestos!B102</f>
        <v>3000</v>
      </c>
      <c r="H79" s="16">
        <f t="shared" si="2"/>
        <v>0</v>
      </c>
    </row>
    <row r="80" ht="30.0" customHeight="1">
      <c r="B80" s="77" t="str">
        <f>Supuestos!A103</f>
        <v>Autoelevador eléctrico 2,5 t</v>
      </c>
      <c r="C80" s="63"/>
      <c r="D80" s="63"/>
      <c r="E80" s="63"/>
      <c r="F80" s="67">
        <f>Supuestos!D103</f>
        <v>1</v>
      </c>
      <c r="G80" s="67">
        <f>Supuestos!B103</f>
        <v>20000</v>
      </c>
      <c r="H80" s="16">
        <f t="shared" si="2"/>
        <v>20000</v>
      </c>
    </row>
    <row r="81" ht="30.0" customHeight="1">
      <c r="B81" s="77" t="str">
        <f>Supuestos!A104</f>
        <v>Mesa elevadora de tijera 1500 × 3000 mm, 3 t, elevación ~1 m (paquete de hojas a la altura de la guillotina)</v>
      </c>
      <c r="C81" s="63"/>
      <c r="D81" s="63"/>
      <c r="E81" s="63"/>
      <c r="F81" s="67">
        <f>Supuestos!D104</f>
        <v>1</v>
      </c>
      <c r="G81" s="67">
        <f>Supuestos!B104</f>
        <v>7000</v>
      </c>
      <c r="H81" s="16">
        <f t="shared" si="2"/>
        <v>7000</v>
      </c>
    </row>
    <row r="82" ht="30.0" customHeight="1">
      <c r="B82" s="77" t="str">
        <f>Supuestos!A105</f>
        <v>Apoyos con bolas (mesa de bolas) entre la mesa elevadora y la guillotina</v>
      </c>
      <c r="C82" s="63"/>
      <c r="D82" s="63"/>
      <c r="E82" s="63"/>
      <c r="F82" s="67">
        <f>Supuestos!D105</f>
        <v>1</v>
      </c>
      <c r="G82" s="67">
        <f>Supuestos!B105</f>
        <v>1500</v>
      </c>
      <c r="H82" s="16">
        <f t="shared" si="2"/>
        <v>1500</v>
      </c>
    </row>
    <row r="83" ht="30.0" customHeight="1">
      <c r="B83" s="77" t="str">
        <f>Supuestos!A106</f>
        <v>Racks por espesor en el almacén de MP y carros porta-desarrollos</v>
      </c>
      <c r="C83" s="63"/>
      <c r="D83" s="63"/>
      <c r="E83" s="63"/>
      <c r="F83" s="67">
        <f>Supuestos!D106</f>
        <v>1</v>
      </c>
      <c r="G83" s="67">
        <f>Supuestos!B106</f>
        <v>2000</v>
      </c>
      <c r="H83" s="16">
        <f t="shared" si="2"/>
        <v>2000</v>
      </c>
    </row>
    <row r="84" ht="30.0" customHeight="1">
      <c r="B84" s="77" t="str">
        <f>Supuestos!A107</f>
        <v>Mesa de alimentación de tiras al balancín</v>
      </c>
      <c r="C84" s="63"/>
      <c r="D84" s="63"/>
      <c r="E84" s="63"/>
      <c r="F84" s="67">
        <f>Supuestos!D107</f>
        <v>1</v>
      </c>
      <c r="G84" s="67">
        <f>Supuestos!B107</f>
        <v>1500</v>
      </c>
      <c r="H84" s="16">
        <f t="shared" si="2"/>
        <v>1500</v>
      </c>
    </row>
    <row r="85" ht="14.25" customHeight="1">
      <c r="B85" s="78" t="s">
        <v>515</v>
      </c>
      <c r="C85" s="63"/>
      <c r="D85" s="63"/>
      <c r="E85" s="63"/>
      <c r="H85" s="26">
        <f>SUM(H73:H84)</f>
        <v>57810.97465</v>
      </c>
    </row>
    <row r="86" ht="14.25" customHeight="1"/>
    <row r="87" ht="15.0" customHeight="1">
      <c r="B87" s="75" t="s">
        <v>516</v>
      </c>
    </row>
    <row r="88" ht="39.75" customHeight="1">
      <c r="B88" s="4" t="s">
        <v>380</v>
      </c>
      <c r="C88" s="4" t="s">
        <v>517</v>
      </c>
      <c r="D88" s="4" t="s">
        <v>86</v>
      </c>
      <c r="E88" s="4" t="s">
        <v>102</v>
      </c>
      <c r="F88" s="4" t="s">
        <v>518</v>
      </c>
      <c r="G88" s="4" t="s">
        <v>519</v>
      </c>
      <c r="H88" s="4" t="s">
        <v>520</v>
      </c>
      <c r="I88" s="4" t="s">
        <v>521</v>
      </c>
    </row>
    <row r="89" ht="14.25" customHeight="1">
      <c r="B89" s="7" t="s">
        <v>378</v>
      </c>
      <c r="C89" s="47" t="str">
        <f>Nesting!H6&amp;" × "&amp;Nesting!I6</f>
        <v>1220 × 2440</v>
      </c>
      <c r="D89" s="45">
        <f>Nesting!E6</f>
        <v>1.25</v>
      </c>
      <c r="E89" s="67">
        <f>Nesting!L6</f>
        <v>27</v>
      </c>
      <c r="F89" s="79">
        <f>Nesting!M6</f>
        <v>0.9423175054</v>
      </c>
      <c r="G89" s="16">
        <f t="array" ref="G89">INDEX(Calculo!$D$80:$M$80,MATCH(Supuestos!$B$21,Calculo!$D$4:$M$4,0))</f>
        <v>522</v>
      </c>
      <c r="H89" s="65">
        <f t="array" ref="H89">INDEX(Calculo!$D$91:$M$91,MATCH(Supuestos!$B$21,Calculo!$D$4:$M$4,0))</f>
        <v>15.28638894</v>
      </c>
      <c r="I89" s="7" t="s">
        <v>256</v>
      </c>
    </row>
    <row r="90" ht="14.25" customHeight="1">
      <c r="B90" s="7" t="s">
        <v>402</v>
      </c>
      <c r="C90" s="47" t="str">
        <f>Nesting!H7&amp;" × "&amp;Nesting!I7</f>
        <v>1000 × 2000</v>
      </c>
      <c r="D90" s="45">
        <f>Nesting!E7</f>
        <v>1.6</v>
      </c>
      <c r="E90" s="67">
        <f>Nesting!L7</f>
        <v>12</v>
      </c>
      <c r="F90" s="79">
        <f>Nesting!M7</f>
        <v>0.93951</v>
      </c>
      <c r="G90" s="16">
        <f t="array" ref="G90">INDEX(Calculo!$D$81:$M$81,MATCH(Supuestos!$B$21,Calculo!$D$4:$M$4,0))</f>
        <v>5305.5</v>
      </c>
      <c r="H90" s="65">
        <f t="array" ref="H90">INDEX(Calculo!$D$92:$M$92,MATCH(Supuestos!$B$21,Calculo!$D$4:$M$4,0))</f>
        <v>133.613712</v>
      </c>
      <c r="I90" s="7" t="s">
        <v>256</v>
      </c>
    </row>
    <row r="91" ht="14.25" customHeight="1">
      <c r="B91" s="7" t="s">
        <v>406</v>
      </c>
      <c r="C91" s="47" t="str">
        <f>Nesting!H8&amp;" × "&amp;Nesting!I8</f>
        <v>1500 × 3000</v>
      </c>
      <c r="D91" s="45">
        <f>Nesting!E8</f>
        <v>2</v>
      </c>
      <c r="E91" s="67">
        <f>Nesting!L8</f>
        <v>15</v>
      </c>
      <c r="F91" s="79">
        <f>Nesting!M8</f>
        <v>0.92895</v>
      </c>
      <c r="G91" s="16">
        <f t="array" ref="G91">INDEX(Calculo!$D$82:$M$82,MATCH(Supuestos!$B$21,Calculo!$D$4:$M$4,0))</f>
        <v>256.8</v>
      </c>
      <c r="H91" s="65">
        <f t="array" ref="H91">INDEX(Calculo!$D$93:$M$93,MATCH(Supuestos!$B$21,Calculo!$D$4:$M$4,0))</f>
        <v>18.189144</v>
      </c>
      <c r="I91" s="7" t="s">
        <v>256</v>
      </c>
    </row>
    <row r="92" ht="14.25" customHeight="1">
      <c r="B92" s="7" t="s">
        <v>412</v>
      </c>
      <c r="C92" s="47" t="str">
        <f>Nesting!H9&amp;" × "&amp;Nesting!I9</f>
        <v>1500 × 3000</v>
      </c>
      <c r="D92" s="45">
        <f>Nesting!E9</f>
        <v>3.2</v>
      </c>
      <c r="E92" s="67">
        <f>Nesting!L9</f>
        <v>9</v>
      </c>
      <c r="F92" s="79">
        <f>Nesting!M9</f>
        <v>0.84084</v>
      </c>
      <c r="G92" s="16">
        <f t="array" ref="G92">INDEX(Calculo!$D$83:$M$83,MATCH(Supuestos!$B$21,Calculo!$D$4:$M$4,0))</f>
        <v>86.11111111</v>
      </c>
      <c r="H92" s="65">
        <f t="array" ref="H92">INDEX(Calculo!$D$94:$M$94,MATCH(Supuestos!$B$21,Calculo!$D$4:$M$4,0))</f>
        <v>9.7588</v>
      </c>
      <c r="I92" s="7" t="s">
        <v>256</v>
      </c>
    </row>
    <row r="93" ht="14.25" customHeight="1">
      <c r="B93" s="7" t="s">
        <v>416</v>
      </c>
      <c r="C93" s="47" t="str">
        <f>Nesting!H10&amp;" × "&amp;Nesting!I10</f>
        <v>1500 × 3000</v>
      </c>
      <c r="D93" s="45">
        <f>Nesting!E10</f>
        <v>3.2</v>
      </c>
      <c r="E93" s="67">
        <f>Nesting!L10</f>
        <v>6</v>
      </c>
      <c r="F93" s="79">
        <f>Nesting!M10</f>
        <v>0.8482133333</v>
      </c>
      <c r="G93" s="16">
        <f t="array" ref="G93">INDEX(Calculo!$D$84:$M$84,MATCH(Supuestos!$B$21,Calculo!$D$4:$M$4,0))</f>
        <v>284.1666667</v>
      </c>
      <c r="H93" s="65">
        <f t="array" ref="H93">INDEX(Calculo!$D$95:$M$95,MATCH(Supuestos!$B$21,Calculo!$D$4:$M$4,0))</f>
        <v>32.20404</v>
      </c>
      <c r="I93" s="7" t="s">
        <v>256</v>
      </c>
    </row>
    <row r="94" ht="14.25" customHeight="1">
      <c r="B94" s="7" t="s">
        <v>419</v>
      </c>
      <c r="C94" s="47" t="str">
        <f>Nesting!H11&amp;" × "&amp;Nesting!I11</f>
        <v>1500 × 3000</v>
      </c>
      <c r="D94" s="45">
        <f>Nesting!E11</f>
        <v>4.75</v>
      </c>
      <c r="E94" s="67">
        <f>Nesting!L11</f>
        <v>4</v>
      </c>
      <c r="F94" s="79">
        <f>Nesting!M11</f>
        <v>0.7325866667</v>
      </c>
      <c r="G94" s="16">
        <f t="array" ref="G94">INDEX(Calculo!$D$85:$M$85,MATCH(Supuestos!$B$21,Calculo!$D$4:$M$4,0))</f>
        <v>0</v>
      </c>
      <c r="H94" s="65">
        <f t="array" ref="H94">INDEX(Calculo!$D$96:$M$96,MATCH(Supuestos!$B$21,Calculo!$D$4:$M$4,0))</f>
        <v>0</v>
      </c>
      <c r="I94" s="7" t="s">
        <v>256</v>
      </c>
    </row>
    <row r="95" ht="14.25" customHeight="1">
      <c r="B95" s="7" t="s">
        <v>421</v>
      </c>
      <c r="C95" s="47" t="str">
        <f>Nesting!H12&amp;" × "&amp;Nesting!I12</f>
        <v>1500 × 3000</v>
      </c>
      <c r="D95" s="45">
        <f>Nesting!E12</f>
        <v>4.75</v>
      </c>
      <c r="E95" s="67">
        <f>Nesting!L12</f>
        <v>3</v>
      </c>
      <c r="F95" s="79">
        <f>Nesting!M12</f>
        <v>0.7272</v>
      </c>
      <c r="G95" s="16">
        <f t="array" ref="G95">INDEX(Calculo!$D$86:$M$86,MATCH(Supuestos!$B$21,Calculo!$D$4:$M$4,0))</f>
        <v>40.88888889</v>
      </c>
      <c r="H95" s="65">
        <f t="array" ref="H95">INDEX(Calculo!$D$97:$M$97,MATCH(Supuestos!$B$21,Calculo!$D$4:$M$4,0))</f>
        <v>6.87838</v>
      </c>
      <c r="I95" s="7" t="s">
        <v>256</v>
      </c>
    </row>
    <row r="96" ht="14.25" customHeight="1">
      <c r="B96" s="7" t="s">
        <v>525</v>
      </c>
      <c r="C96" s="47" t="str">
        <f>Nesting!H11&amp;" × "&amp;Nesting!I11</f>
        <v>1500 × 3000</v>
      </c>
      <c r="D96" s="45">
        <f>Nesting!E11</f>
        <v>4.75</v>
      </c>
      <c r="E96" s="16">
        <f>Nesting!$G$15+Nesting!$G$16</f>
        <v>4</v>
      </c>
      <c r="F96" s="79">
        <f>Nesting!$G$19</f>
        <v>0.79184</v>
      </c>
      <c r="G96" s="16">
        <f t="array" ref="G96">INDEX(Calculo!$D$87:$M$87,MATCH(Supuestos!$B$21,Calculo!$D$4:$M$4,0))</f>
        <v>124.3333333</v>
      </c>
      <c r="H96" s="65">
        <f t="array" ref="H96">INDEX(Calculo!$D$98:$M$98,MATCH(Supuestos!$B$21,Calculo!$D$4:$M$4,0))</f>
        <v>20.91550875</v>
      </c>
      <c r="I96" s="7" t="s">
        <v>256</v>
      </c>
    </row>
    <row r="97" ht="14.25" customHeight="1">
      <c r="B97" s="7" t="s">
        <v>255</v>
      </c>
      <c r="C97" s="47" t="str">
        <f>Nesting!J26&amp;" × "&amp;Nesting!K26</f>
        <v>1220 × 2440</v>
      </c>
      <c r="D97" s="45">
        <f>Nesting!D26</f>
        <v>0.9</v>
      </c>
      <c r="E97" s="67">
        <f>Nesting!R26</f>
        <v>210</v>
      </c>
      <c r="F97" s="79">
        <f>Nesting!S26</f>
        <v>0.6462596336</v>
      </c>
      <c r="G97" s="16">
        <f t="array" ref="G97">INDEX(Calculo!$D$115:$M$115,MATCH(Supuestos!$B$21,Calculo!$D$4:$M$4,0))</f>
        <v>964.8619048</v>
      </c>
      <c r="H97" s="65">
        <f t="array" ref="H97">INDEX(Calculo!$D$126:$M$126,MATCH(Supuestos!$B$21,Calculo!$D$4:$M$4,0))</f>
        <v>20.3437991</v>
      </c>
      <c r="I97" s="16">
        <f t="array" ref="I97">INDEX(Calculo!$D$137:$M$137,MATCH(Supuestos!$B$21,Calculo!$D$4:$M$4,0))</f>
        <v>9648.619048</v>
      </c>
    </row>
    <row r="98" ht="14.25" customHeight="1">
      <c r="B98" s="7" t="s">
        <v>277</v>
      </c>
      <c r="C98" s="47" t="str">
        <f>Nesting!J27&amp;" × "&amp;Nesting!K27</f>
        <v>1000 × 2000</v>
      </c>
      <c r="D98" s="45">
        <f>Nesting!D27</f>
        <v>0.9</v>
      </c>
      <c r="E98" s="67">
        <f>Nesting!R27</f>
        <v>171</v>
      </c>
      <c r="F98" s="79">
        <f>Nesting!S27</f>
        <v>0.6715154297</v>
      </c>
      <c r="G98" s="16">
        <f t="array" ref="G98">INDEX(Calculo!$D$116:$M$116,MATCH(Supuestos!$B$21,Calculo!$D$4:$M$4,0))</f>
        <v>1184.918129</v>
      </c>
      <c r="H98" s="65">
        <f t="array" ref="H98">INDEX(Calculo!$D$127:$M$127,MATCH(Supuestos!$B$21,Calculo!$D$4:$M$4,0))</f>
        <v>16.78555021</v>
      </c>
      <c r="I98" s="16">
        <f t="array" ref="I98">INDEX(Calculo!$D$138:$M$138,MATCH(Supuestos!$B$21,Calculo!$D$4:$M$4,0))</f>
        <v>10664.26316</v>
      </c>
    </row>
    <row r="99" ht="14.25" customHeight="1">
      <c r="B99" s="7" t="s">
        <v>408</v>
      </c>
      <c r="C99" s="47" t="str">
        <f>Nesting!J28&amp;" × "&amp;Nesting!K28</f>
        <v>1220 × 2440</v>
      </c>
      <c r="D99" s="45">
        <f>Nesting!D28</f>
        <v>1.25</v>
      </c>
      <c r="E99" s="67">
        <f>Nesting!R28</f>
        <v>78</v>
      </c>
      <c r="F99" s="79">
        <f>Nesting!S28</f>
        <v>0.6593877718</v>
      </c>
      <c r="G99" s="16">
        <f t="array" ref="G99">INDEX(Calculo!$D$117:$M$117,MATCH(Supuestos!$B$21,Calculo!$D$4:$M$4,0))</f>
        <v>180.6923077</v>
      </c>
      <c r="H99" s="65">
        <f t="array" ref="H99">INDEX(Calculo!$D$128:$M$128,MATCH(Supuestos!$B$21,Calculo!$D$4:$M$4,0))</f>
        <v>5.291442325</v>
      </c>
      <c r="I99" s="16">
        <f t="array" ref="I99">INDEX(Calculo!$D$139:$M$139,MATCH(Supuestos!$B$21,Calculo!$D$4:$M$4,0))</f>
        <v>1084.153846</v>
      </c>
    </row>
    <row r="100" ht="14.25" customHeight="1">
      <c r="B100" s="7" t="s">
        <v>411</v>
      </c>
      <c r="C100" s="47" t="str">
        <f>Nesting!J29&amp;" × "&amp;Nesting!K29</f>
        <v>1220 × 2440</v>
      </c>
      <c r="D100" s="45">
        <f>Nesting!D29</f>
        <v>1.25</v>
      </c>
      <c r="E100" s="67">
        <f>Nesting!R29</f>
        <v>120</v>
      </c>
      <c r="F100" s="79">
        <f>Nesting!S29</f>
        <v>0.6934975022</v>
      </c>
      <c r="G100" s="16">
        <f t="array" ref="G100">INDEX(Calculo!$D$118:$M$118,MATCH(Supuestos!$B$21,Calculo!$D$4:$M$4,0))</f>
        <v>117.45</v>
      </c>
      <c r="H100" s="65">
        <f t="array" ref="H100">INDEX(Calculo!$D$129:$M$129,MATCH(Supuestos!$B$21,Calculo!$D$4:$M$4,0))</f>
        <v>3.439437512</v>
      </c>
      <c r="I100" s="16">
        <f t="array" ref="I100">INDEX(Calculo!$D$140:$M$140,MATCH(Supuestos!$B$21,Calculo!$D$4:$M$4,0))</f>
        <v>1761.75</v>
      </c>
    </row>
    <row r="101" ht="14.25" customHeight="1">
      <c r="B101" s="7" t="s">
        <v>436</v>
      </c>
      <c r="C101" s="47" t="str">
        <f>Nesting!J30&amp;" × "&amp;Nesting!K30</f>
        <v>1220 × 2440</v>
      </c>
      <c r="D101" s="45">
        <f>Nesting!D30</f>
        <v>1.6</v>
      </c>
      <c r="E101" s="67">
        <f>Nesting!R30</f>
        <v>50</v>
      </c>
      <c r="F101" s="79">
        <f>Nesting!S30</f>
        <v>0.6443098579</v>
      </c>
      <c r="G101" s="16">
        <f t="array" ref="G101">INDEX(Calculo!$D$119:$M$119,MATCH(Supuestos!$B$21,Calculo!$D$4:$M$4,0))</f>
        <v>1273.32</v>
      </c>
      <c r="H101" s="65">
        <f t="array" ref="H101">INDEX(Calculo!$D$130:$M$130,MATCH(Supuestos!$B$21,Calculo!$D$4:$M$4,0))</f>
        <v>47.72895575</v>
      </c>
      <c r="I101" s="16">
        <f t="array" ref="I101">INDEX(Calculo!$D$141:$M$141,MATCH(Supuestos!$B$21,Calculo!$D$4:$M$4,0))</f>
        <v>6366.6</v>
      </c>
    </row>
    <row r="102" ht="14.25" customHeight="1">
      <c r="B102" s="7" t="s">
        <v>438</v>
      </c>
      <c r="C102" s="47" t="str">
        <f>Nesting!J31&amp;" × "&amp;Nesting!K31</f>
        <v>1000 × 2000</v>
      </c>
      <c r="D102" s="45">
        <f>Nesting!D31</f>
        <v>1.6</v>
      </c>
      <c r="E102" s="67">
        <f>Nesting!R31</f>
        <v>55</v>
      </c>
      <c r="F102" s="79">
        <f>Nesting!S31</f>
        <v>0.6766578242</v>
      </c>
      <c r="G102" s="16">
        <f t="array" ref="G102">INDEX(Calculo!$D$120:$M$120,MATCH(Supuestos!$B$21,Calculo!$D$4:$M$4,0))</f>
        <v>1157.563636</v>
      </c>
      <c r="H102" s="65">
        <f t="array" ref="H102">INDEX(Calculo!$D$131:$M$131,MATCH(Supuestos!$B$21,Calculo!$D$4:$M$4,0))</f>
        <v>29.15208262</v>
      </c>
      <c r="I102" s="16">
        <f t="array" ref="I102">INDEX(Calculo!$D$142:$M$142,MATCH(Supuestos!$B$21,Calculo!$D$4:$M$4,0))</f>
        <v>5787.818182</v>
      </c>
    </row>
    <row r="103" ht="14.25" customHeight="1">
      <c r="B103" s="7" t="s">
        <v>485</v>
      </c>
      <c r="C103" s="47" t="str">
        <f>Nesting!J32&amp;" × "&amp;Nesting!K32</f>
        <v>1500 × 3000</v>
      </c>
      <c r="D103" s="45">
        <f>Nesting!D32</f>
        <v>2</v>
      </c>
      <c r="E103" s="67">
        <f>Nesting!R32</f>
        <v>55</v>
      </c>
      <c r="F103" s="79">
        <f>Nesting!S32</f>
        <v>0.6389685298</v>
      </c>
      <c r="G103" s="16">
        <f t="array" ref="G103">INDEX(Calculo!$D$121:$M$121,MATCH(Supuestos!$B$21,Calculo!$D$4:$M$4,0))</f>
        <v>70.03636364</v>
      </c>
      <c r="H103" s="65">
        <f t="array" ref="H103">INDEX(Calculo!$D$132:$M$132,MATCH(Supuestos!$B$21,Calculo!$D$4:$M$4,0))</f>
        <v>4.960675636</v>
      </c>
      <c r="I103" s="16">
        <f t="array" ref="I103">INDEX(Calculo!$D$143:$M$143,MATCH(Supuestos!$B$21,Calculo!$D$4:$M$4,0))</f>
        <v>350.1818182</v>
      </c>
    </row>
    <row r="104" ht="14.25" customHeight="1">
      <c r="B104" s="7" t="s">
        <v>486</v>
      </c>
      <c r="C104" s="47" t="str">
        <f>Nesting!J33&amp;" × "&amp;Nesting!K33</f>
        <v>1500 × 3000</v>
      </c>
      <c r="D104" s="45">
        <f>Nesting!D33</f>
        <v>2</v>
      </c>
      <c r="E104" s="67">
        <f>Nesting!R33</f>
        <v>98</v>
      </c>
      <c r="F104" s="79">
        <f>Nesting!S33</f>
        <v>0.7188051258</v>
      </c>
      <c r="G104" s="16">
        <f t="array" ref="G104">INDEX(Calculo!$D$122:$M$122,MATCH(Supuestos!$B$21,Calculo!$D$4:$M$4,0))</f>
        <v>39.30612245</v>
      </c>
      <c r="H104" s="65">
        <f t="array" ref="H104">INDEX(Calculo!$D$133:$M$133,MATCH(Supuestos!$B$21,Calculo!$D$4:$M$4,0))</f>
        <v>2.784052653</v>
      </c>
      <c r="I104" s="16">
        <f t="array" ref="I104">INDEX(Calculo!$D$144:$M$144,MATCH(Supuestos!$B$21,Calculo!$D$4:$M$4,0))</f>
        <v>275.1428571</v>
      </c>
    </row>
    <row r="105" ht="14.25" customHeight="1"/>
    <row r="106" ht="15.0" customHeight="1">
      <c r="B106" s="75" t="s">
        <v>494</v>
      </c>
    </row>
    <row r="107" ht="14.25" customHeight="1">
      <c r="B107" s="62" t="s">
        <v>495</v>
      </c>
      <c r="C107" s="63"/>
      <c r="D107" s="63"/>
      <c r="E107" s="63"/>
      <c r="F107" s="65">
        <f t="array" ref="F107">INDEX(Calculo!$D$235:$M$235,MATCH(Supuestos!$B$21,Calculo!$D$4:$M$4,0))</f>
        <v>367.3319695</v>
      </c>
    </row>
    <row r="108" ht="14.25" customHeight="1">
      <c r="B108" s="62" t="s">
        <v>496</v>
      </c>
      <c r="C108" s="63"/>
      <c r="D108" s="63"/>
      <c r="E108" s="63"/>
      <c r="F108" s="65">
        <f t="array" ref="F108">INDEX(Calculo!$D$236:$M$236,MATCH(Supuestos!$B$21,Calculo!$D$4:$M$4,0))</f>
        <v>67.4713196</v>
      </c>
    </row>
    <row r="109" ht="14.25" customHeight="1">
      <c r="B109" s="62" t="s">
        <v>498</v>
      </c>
      <c r="C109" s="63"/>
      <c r="D109" s="63"/>
      <c r="E109" s="63"/>
      <c r="F109" s="65">
        <f t="array" ref="F109">INDEX(Calculo!$D$238:$M$238,MATCH(Supuestos!$B$21,Calculo!$D$4:$M$4,0))</f>
        <v>29.4336514</v>
      </c>
    </row>
    <row r="110" ht="14.25" customHeight="1">
      <c r="B110" s="62" t="s">
        <v>499</v>
      </c>
      <c r="C110" s="63"/>
      <c r="D110" s="63"/>
      <c r="E110" s="63"/>
      <c r="F110" s="16">
        <f t="array" ref="F110">INDEX(Calculo!$D$240:$M$240,MATCH(Supuestos!$B$21,Calculo!$D$4:$M$4,0))</f>
        <v>926.9400804</v>
      </c>
    </row>
    <row r="111" ht="14.25" customHeight="1">
      <c r="B111" s="62" t="s">
        <v>500</v>
      </c>
      <c r="C111" s="63"/>
      <c r="D111" s="63"/>
      <c r="E111" s="63"/>
      <c r="F111" s="33">
        <f t="array" ref="F111">INDEX(Calculo!$D$240:$M$240,MATCH(Supuestos!$B$21,Calculo!$D$4:$M$4,0))/Supuestos!$B$42</f>
        <v>0.5149667114</v>
      </c>
    </row>
    <row r="112" ht="14.25" customHeight="1">
      <c r="B112" s="62" t="s">
        <v>501</v>
      </c>
      <c r="C112" s="63"/>
      <c r="D112" s="63"/>
      <c r="E112" s="63"/>
      <c r="F112" s="16">
        <f t="array" ref="F112">INDEX(Calculo!$D$243:$M$243,MATCH(Supuestos!$B$21,Calculo!$D$4:$M$4,0))</f>
        <v>465758.7321</v>
      </c>
    </row>
    <row r="113" ht="14.25" customHeight="1"/>
    <row r="114" ht="45.0" customHeight="1">
      <c r="B114" s="23" t="s">
        <v>563</v>
      </c>
    </row>
    <row r="115" ht="14.25" customHeight="1"/>
    <row r="116" ht="14.25" customHeight="1">
      <c r="B116" s="3" t="s">
        <v>564</v>
      </c>
    </row>
    <row r="117" ht="45.0" customHeight="1">
      <c r="B117" s="23" t="s">
        <v>565</v>
      </c>
    </row>
    <row r="118" ht="15.0" customHeight="1">
      <c r="B118" s="75" t="s">
        <v>506</v>
      </c>
    </row>
    <row r="119" ht="15.0" customHeight="1">
      <c r="A119" s="76">
        <v>1.0</v>
      </c>
      <c r="B119" s="23" t="s">
        <v>566</v>
      </c>
    </row>
    <row r="120" ht="30.0" customHeight="1">
      <c r="A120" s="76">
        <v>2.0</v>
      </c>
      <c r="B120" s="23" t="s">
        <v>567</v>
      </c>
    </row>
    <row r="121" ht="15.0" customHeight="1">
      <c r="A121" s="76">
        <v>3.0</v>
      </c>
      <c r="B121" s="23" t="s">
        <v>569</v>
      </c>
    </row>
    <row r="122" ht="30.0" customHeight="1">
      <c r="A122" s="76">
        <v>4.0</v>
      </c>
      <c r="B122" s="23" t="s">
        <v>570</v>
      </c>
    </row>
    <row r="123" ht="30.0" customHeight="1">
      <c r="A123" s="76">
        <v>5.0</v>
      </c>
      <c r="B123" s="23" t="s">
        <v>571</v>
      </c>
    </row>
    <row r="124" ht="30.0" customHeight="1">
      <c r="A124" s="76">
        <v>6.0</v>
      </c>
      <c r="B124" s="23" t="s">
        <v>572</v>
      </c>
    </row>
    <row r="125" ht="15.0" customHeight="1">
      <c r="A125" s="76">
        <v>7.0</v>
      </c>
      <c r="B125" s="23" t="s">
        <v>573</v>
      </c>
    </row>
    <row r="126" ht="30.0" customHeight="1">
      <c r="A126" s="76">
        <v>8.0</v>
      </c>
      <c r="B126" s="23" t="s">
        <v>574</v>
      </c>
    </row>
    <row r="127" ht="15.0" customHeight="1">
      <c r="B127" s="75" t="s">
        <v>467</v>
      </c>
    </row>
    <row r="128" ht="26.25" customHeight="1">
      <c r="B128" s="18" t="s">
        <v>311</v>
      </c>
      <c r="C128" s="63"/>
      <c r="D128" s="63"/>
      <c r="E128" s="64"/>
      <c r="F128" s="4" t="s">
        <v>468</v>
      </c>
      <c r="G128" s="4" t="s">
        <v>469</v>
      </c>
      <c r="H128" s="4" t="s">
        <v>471</v>
      </c>
    </row>
    <row r="129" ht="30.0" customHeight="1">
      <c r="B129" s="77" t="str">
        <f>Supuestos!A96</f>
        <v>Línea de corte transversal 1–6 mm × 1.600 (desbobinador, aplanadora, alimentador servo, cizalla)</v>
      </c>
      <c r="C129" s="63"/>
      <c r="D129" s="63"/>
      <c r="E129" s="63"/>
      <c r="F129" s="67">
        <f>Supuestos!E96</f>
        <v>1</v>
      </c>
      <c r="G129" s="67">
        <f>Supuestos!B96</f>
        <v>80000</v>
      </c>
      <c r="H129" s="16">
        <f t="shared" ref="H129:H140" si="3">F129*G129</f>
        <v>80000</v>
      </c>
    </row>
    <row r="130" ht="30.0" customHeight="1">
      <c r="B130" s="77" t="str">
        <f>Supuestos!A97</f>
        <v>Guillotina hidráulica 6 × 3.200 mm con tope motorizado</v>
      </c>
      <c r="C130" s="63"/>
      <c r="D130" s="63"/>
      <c r="E130" s="63"/>
      <c r="F130" s="67">
        <f>Supuestos!E97</f>
        <v>0</v>
      </c>
      <c r="G130" s="67">
        <f>Supuestos!B97</f>
        <v>25810.97465</v>
      </c>
      <c r="H130" s="16">
        <f t="shared" si="3"/>
        <v>0</v>
      </c>
    </row>
    <row r="131" ht="30.0" customHeight="1">
      <c r="B131" s="77" t="str">
        <f>Supuestos!A98</f>
        <v>Cortadora longitudinal (slitter) 0,3–3,2 × 1.600</v>
      </c>
      <c r="C131" s="63"/>
      <c r="D131" s="63"/>
      <c r="E131" s="63"/>
      <c r="F131" s="67">
        <f>Supuestos!E98</f>
        <v>1</v>
      </c>
      <c r="G131" s="67">
        <f>Supuestos!B98</f>
        <v>60000</v>
      </c>
      <c r="H131" s="16">
        <f t="shared" si="3"/>
        <v>60000</v>
      </c>
    </row>
    <row r="132" ht="30.0" customHeight="1">
      <c r="B132" s="77" t="str">
        <f>Supuestos!A99</f>
        <v>Puente grúa monoviga 10 t (incluye carrilera)</v>
      </c>
      <c r="C132" s="63"/>
      <c r="D132" s="63"/>
      <c r="E132" s="63"/>
      <c r="F132" s="67">
        <f>Supuestos!E99</f>
        <v>1</v>
      </c>
      <c r="G132" s="67">
        <f>Supuestos!B99</f>
        <v>30000</v>
      </c>
      <c r="H132" s="16">
        <f t="shared" si="3"/>
        <v>30000</v>
      </c>
    </row>
    <row r="133" ht="30.0" customHeight="1">
      <c r="B133" s="77" t="str">
        <f>Supuestos!A100</f>
        <v>Pinza en C portabobinas + cunas</v>
      </c>
      <c r="C133" s="63"/>
      <c r="D133" s="63"/>
      <c r="E133" s="63"/>
      <c r="F133" s="67">
        <f>Supuestos!E100</f>
        <v>1</v>
      </c>
      <c r="G133" s="67">
        <f>Supuestos!B100</f>
        <v>6000</v>
      </c>
      <c r="H133" s="16">
        <f t="shared" si="3"/>
        <v>6000</v>
      </c>
    </row>
    <row r="134" ht="30.0" customHeight="1">
      <c r="B134" s="77" t="str">
        <f>Supuestos!A101</f>
        <v>Desbobinador + enderezador + alimentador servo para la prensa de discos</v>
      </c>
      <c r="C134" s="63"/>
      <c r="D134" s="63"/>
      <c r="E134" s="63"/>
      <c r="F134" s="67">
        <f>Supuestos!E101</f>
        <v>1</v>
      </c>
      <c r="G134" s="67">
        <f>Supuestos!B101</f>
        <v>12000</v>
      </c>
      <c r="H134" s="16">
        <f t="shared" si="3"/>
        <v>12000</v>
      </c>
    </row>
    <row r="135" ht="30.0" customHeight="1">
      <c r="B135" s="77" t="str">
        <f>Supuestos!A102</f>
        <v>Estantería porta-flejes</v>
      </c>
      <c r="C135" s="63"/>
      <c r="D135" s="63"/>
      <c r="E135" s="63"/>
      <c r="F135" s="67">
        <f>Supuestos!E102</f>
        <v>1</v>
      </c>
      <c r="G135" s="67">
        <f>Supuestos!B102</f>
        <v>3000</v>
      </c>
      <c r="H135" s="16">
        <f t="shared" si="3"/>
        <v>3000</v>
      </c>
    </row>
    <row r="136" ht="30.0" customHeight="1">
      <c r="B136" s="77" t="str">
        <f>Supuestos!A103</f>
        <v>Autoelevador eléctrico 2,5 t</v>
      </c>
      <c r="C136" s="63"/>
      <c r="D136" s="63"/>
      <c r="E136" s="63"/>
      <c r="F136" s="67">
        <f>Supuestos!E103</f>
        <v>0</v>
      </c>
      <c r="G136" s="67">
        <f>Supuestos!B103</f>
        <v>20000</v>
      </c>
      <c r="H136" s="16">
        <f t="shared" si="3"/>
        <v>0</v>
      </c>
    </row>
    <row r="137" ht="30.0" customHeight="1">
      <c r="B137" s="77" t="str">
        <f>Supuestos!A104</f>
        <v>Mesa elevadora de tijera 1500 × 3000 mm, 3 t, elevación ~1 m (paquete de hojas a la altura de la guillotina)</v>
      </c>
      <c r="C137" s="63"/>
      <c r="D137" s="63"/>
      <c r="E137" s="63"/>
      <c r="F137" s="67">
        <f>Supuestos!E104</f>
        <v>0</v>
      </c>
      <c r="G137" s="67">
        <f>Supuestos!B104</f>
        <v>7000</v>
      </c>
      <c r="H137" s="16">
        <f t="shared" si="3"/>
        <v>0</v>
      </c>
    </row>
    <row r="138" ht="30.0" customHeight="1">
      <c r="B138" s="77" t="str">
        <f>Supuestos!A105</f>
        <v>Apoyos con bolas (mesa de bolas) entre la mesa elevadora y la guillotina</v>
      </c>
      <c r="C138" s="63"/>
      <c r="D138" s="63"/>
      <c r="E138" s="63"/>
      <c r="F138" s="67">
        <f>Supuestos!E105</f>
        <v>0</v>
      </c>
      <c r="G138" s="67">
        <f>Supuestos!B105</f>
        <v>1500</v>
      </c>
      <c r="H138" s="16">
        <f t="shared" si="3"/>
        <v>0</v>
      </c>
    </row>
    <row r="139" ht="30.0" customHeight="1">
      <c r="B139" s="77" t="str">
        <f>Supuestos!A106</f>
        <v>Racks por espesor en el almacén de MP y carros porta-desarrollos</v>
      </c>
      <c r="C139" s="63"/>
      <c r="D139" s="63"/>
      <c r="E139" s="63"/>
      <c r="F139" s="67">
        <f>Supuestos!E106</f>
        <v>0</v>
      </c>
      <c r="G139" s="67">
        <f>Supuestos!B106</f>
        <v>2000</v>
      </c>
      <c r="H139" s="16">
        <f t="shared" si="3"/>
        <v>0</v>
      </c>
    </row>
    <row r="140" ht="30.0" customHeight="1">
      <c r="B140" s="77" t="str">
        <f>Supuestos!A107</f>
        <v>Mesa de alimentación de tiras al balancín</v>
      </c>
      <c r="C140" s="63"/>
      <c r="D140" s="63"/>
      <c r="E140" s="63"/>
      <c r="F140" s="67">
        <f>Supuestos!E107</f>
        <v>0</v>
      </c>
      <c r="G140" s="67">
        <f>Supuestos!B107</f>
        <v>1500</v>
      </c>
      <c r="H140" s="16">
        <f t="shared" si="3"/>
        <v>0</v>
      </c>
    </row>
    <row r="141" ht="14.25" customHeight="1">
      <c r="B141" s="78" t="s">
        <v>589</v>
      </c>
      <c r="C141" s="63"/>
      <c r="D141" s="63"/>
      <c r="E141" s="63"/>
      <c r="H141" s="26">
        <f>SUM(H129:H140)</f>
        <v>191000</v>
      </c>
    </row>
    <row r="142" ht="14.25" customHeight="1"/>
    <row r="143" ht="15.0" customHeight="1">
      <c r="B143" s="75" t="s">
        <v>591</v>
      </c>
    </row>
    <row r="144" ht="39.75" customHeight="1">
      <c r="B144" s="4" t="s">
        <v>592</v>
      </c>
      <c r="C144" s="4" t="s">
        <v>593</v>
      </c>
      <c r="D144" s="4" t="s">
        <v>594</v>
      </c>
      <c r="E144" s="4" t="s">
        <v>595</v>
      </c>
      <c r="F144" s="4" t="s">
        <v>399</v>
      </c>
      <c r="G144" s="4" t="s">
        <v>597</v>
      </c>
      <c r="H144" s="4" t="s">
        <v>598</v>
      </c>
      <c r="I144" s="4" t="s">
        <v>600</v>
      </c>
    </row>
    <row r="145" ht="14.25" customHeight="1">
      <c r="B145" s="7" t="s">
        <v>602</v>
      </c>
      <c r="C145" s="67">
        <f>BobinaMadre!$B$6</f>
        <v>1220</v>
      </c>
      <c r="D145" s="68">
        <f>Bobinas!K24</f>
        <v>3</v>
      </c>
      <c r="E145" s="65">
        <f t="array" ref="E145">INDEX(BobinaMadre!$D$19:$M$19,MATCH(Supuestos!$B$21,Calculo!$D$4:$M$4,0))</f>
        <v>34.63842479</v>
      </c>
      <c r="F145" s="50">
        <f t="array" ref="F145">INDEX(BobinaMadre!$D$22:$M$22,MATCH(Supuestos!$B$21,Calculo!$D$4:$M$4,0))</f>
        <v>11.5461416</v>
      </c>
      <c r="G145" s="50">
        <f t="array" ref="G145">INDEX(BobinaMadre!$D$23:$M$23,MATCH(Supuestos!$B$21,Calculo!$D$4:$M$4,0))</f>
        <v>125.5308061</v>
      </c>
      <c r="H145" s="16">
        <f t="array" ref="H145">INDEX(BobinaMadre!$D$24:$M$24,MATCH(Supuestos!$B$21,Calculo!$D$4:$M$4,0))</f>
        <v>10.32146033</v>
      </c>
      <c r="I145" s="51">
        <f t="array" ref="I145">INDEX(BobinaMadre!$D$21:$M$21,MATCH(Supuestos!$B$21,Calculo!$D$4:$M$4,0))</f>
        <v>0.7049723612</v>
      </c>
    </row>
    <row r="146" ht="14.25" customHeight="1">
      <c r="B146" s="7" t="s">
        <v>610</v>
      </c>
      <c r="C146" s="67">
        <f>BobinaMadre!$B$28</f>
        <v>1000</v>
      </c>
      <c r="D146" s="68">
        <f>Bobinas!K25</f>
        <v>2</v>
      </c>
      <c r="E146" s="65">
        <f t="array" ref="E146">INDEX(BobinaMadre!$D$43:$M$43,MATCH(Supuestos!$B$21,Calculo!$D$4:$M$4,0))</f>
        <v>23.29480594</v>
      </c>
      <c r="F146" s="50">
        <f t="array" ref="F146">INDEX(BobinaMadre!$D$46:$M$46,MATCH(Supuestos!$B$21,Calculo!$D$4:$M$4,0))</f>
        <v>11.64740297</v>
      </c>
      <c r="G146" s="50">
        <f t="array" ref="G146">INDEX(BobinaMadre!$D$47:$M$47,MATCH(Supuestos!$B$21,Calculo!$D$4:$M$4,0))</f>
        <v>23.20279146</v>
      </c>
      <c r="H146" s="16">
        <f t="array" ref="H146">INDEX(BobinaMadre!$D$48:$M$48,MATCH(Supuestos!$B$21,Calculo!$D$4:$M$4,0))</f>
        <v>9.717268954</v>
      </c>
      <c r="I146" s="51">
        <f t="array" ref="I146">INDEX(BobinaMadre!$D$45:$M$45,MATCH(Supuestos!$B$21,Calculo!$D$4:$M$4,0))</f>
        <v>0.8705367897</v>
      </c>
    </row>
    <row r="147" ht="14.25" customHeight="1">
      <c r="B147" s="7" t="s">
        <v>611</v>
      </c>
      <c r="C147" s="67">
        <f>BobinaMadre!$B$52</f>
        <v>1000</v>
      </c>
      <c r="D147" s="68">
        <f>Bobinas!K26</f>
        <v>12</v>
      </c>
      <c r="E147" s="65">
        <f t="array" ref="E147">INDEX(BobinaMadre!$D$67:$M$67,MATCH(Supuestos!$B$21,Calculo!$D$4:$M$4,0))</f>
        <v>198.0714951</v>
      </c>
      <c r="F147" s="50">
        <f t="array" ref="F147">INDEX(BobinaMadre!$D$70:$M$70,MATCH(Supuestos!$B$21,Calculo!$D$4:$M$4,0))</f>
        <v>16.50595792</v>
      </c>
      <c r="G147" s="50">
        <f t="array" ref="G147">INDEX(BobinaMadre!$D$71:$M$71,MATCH(Supuestos!$B$21,Calculo!$D$4:$M$4,0))</f>
        <v>27.12919244</v>
      </c>
      <c r="H147" s="16">
        <f t="array" ref="H147">INDEX(BobinaMadre!$D$72:$M$72,MATCH(Supuestos!$B$21,Calculo!$D$4:$M$4,0))</f>
        <v>18.90084238</v>
      </c>
      <c r="I147" s="51">
        <f t="array" ref="I147">INDEX(BobinaMadre!$D$69:$M$69,MATCH(Supuestos!$B$21,Calculo!$D$4:$M$4,0))</f>
        <v>0.8886167087</v>
      </c>
    </row>
    <row r="148" ht="14.25" customHeight="1">
      <c r="B148" s="7" t="s">
        <v>615</v>
      </c>
      <c r="C148" s="67">
        <f>BobinaMadre!$B$76</f>
        <v>1000</v>
      </c>
      <c r="D148" s="68">
        <f>Bobinas!K27</f>
        <v>2.5</v>
      </c>
      <c r="E148" s="65">
        <f t="array" ref="E148">INDEX(BobinaMadre!$D$91:$M$91,MATCH(Supuestos!$B$21,Calculo!$D$4:$M$4,0))</f>
        <v>24.56781202</v>
      </c>
      <c r="F148" s="50">
        <f t="array" ref="F148">INDEX(BobinaMadre!$D$94:$M$94,MATCH(Supuestos!$B$21,Calculo!$D$4:$M$4,0))</f>
        <v>9.827124808</v>
      </c>
      <c r="G148" s="50">
        <f t="array" ref="G148">INDEX(BobinaMadre!$D$95:$M$95,MATCH(Supuestos!$B$21,Calculo!$D$4:$M$4,0))</f>
        <v>11.432877</v>
      </c>
      <c r="H148" s="16">
        <f t="array" ref="H148">INDEX(BobinaMadre!$D$96:$M$96,MATCH(Supuestos!$B$21,Calculo!$D$4:$M$4,0))</f>
        <v>8.017446871</v>
      </c>
      <c r="I148" s="51">
        <f t="array" ref="I148">INDEX(BobinaMadre!$D$93:$M$93,MATCH(Supuestos!$B$21,Calculo!$D$4:$M$4,0))</f>
        <v>0.8982367757</v>
      </c>
    </row>
    <row r="149" ht="14.25" customHeight="1">
      <c r="B149" s="7" t="s">
        <v>617</v>
      </c>
      <c r="C149" s="67">
        <f>BobinaMadre!$B$100</f>
        <v>1500</v>
      </c>
      <c r="D149" s="68">
        <f>Bobinas!K28</f>
        <v>3.5</v>
      </c>
      <c r="E149" s="65">
        <f t="array" ref="E149">INDEX(BobinaMadre!$D$113:$M$113,MATCH(Supuestos!$B$21,Calculo!$D$4:$M$4,0))</f>
        <v>40.61354262</v>
      </c>
      <c r="F149" s="50">
        <f t="array" ref="F149">INDEX(BobinaMadre!$D$116:$M$116,MATCH(Supuestos!$B$21,Calculo!$D$4:$M$4,0))</f>
        <v>11.60386932</v>
      </c>
      <c r="G149" s="50">
        <f t="array" ref="G149">INDEX(BobinaMadre!$D$117:$M$117,MATCH(Supuestos!$B$21,Calculo!$D$4:$M$4,0))</f>
        <v>0</v>
      </c>
      <c r="H149" s="16">
        <f t="array" ref="H149">INDEX(BobinaMadre!$D$118:$M$118,MATCH(Supuestos!$B$21,Calculo!$D$4:$M$4,0))</f>
        <v>9.148626732</v>
      </c>
      <c r="I149" s="51">
        <f t="array" ref="I149">INDEX(BobinaMadre!$D$115:$M$115,MATCH(Supuestos!$B$21,Calculo!$D$4:$M$4,0))</f>
        <v>0.8746216956</v>
      </c>
    </row>
    <row r="150" ht="14.25" customHeight="1">
      <c r="B150" s="7" t="s">
        <v>621</v>
      </c>
      <c r="C150" s="67">
        <f>BobinaMadre!$B$122</f>
        <v>1245</v>
      </c>
      <c r="D150" s="68">
        <f>Bobinas!K29</f>
        <v>2</v>
      </c>
      <c r="E150" s="65">
        <f t="array" ref="E150">INDEX(BobinaMadre!$D$133:$M$133,MATCH(Supuestos!$B$21,Calculo!$D$4:$M$4,0))</f>
        <v>22.26213535</v>
      </c>
      <c r="F150" s="50">
        <f t="array" ref="F150">INDEX(BobinaMadre!$D$136:$M$136,MATCH(Supuestos!$B$21,Calculo!$D$4:$M$4,0))</f>
        <v>11.13106768</v>
      </c>
      <c r="G150" s="50">
        <f t="array" ref="G150">INDEX(BobinaMadre!$D$137:$M$137,MATCH(Supuestos!$B$21,Calculo!$D$4:$M$4,0))</f>
        <v>0</v>
      </c>
      <c r="H150" s="16">
        <f t="array" ref="H150">INDEX(BobinaMadre!$D$138:$M$138,MATCH(Supuestos!$B$21,Calculo!$D$4:$M$4,0))</f>
        <v>8.546609091</v>
      </c>
      <c r="I150" s="51">
        <f t="array" ref="I150">INDEX(BobinaMadre!$D$135:$M$135,MATCH(Supuestos!$B$21,Calculo!$D$4:$M$4,0))</f>
        <v>0.968626506</v>
      </c>
    </row>
    <row r="151" ht="14.25" customHeight="1"/>
    <row r="152" ht="45.0" customHeight="1">
      <c r="B152" s="23" t="s">
        <v>623</v>
      </c>
    </row>
    <row r="153" ht="15.0" customHeight="1">
      <c r="B153" s="75" t="s">
        <v>494</v>
      </c>
    </row>
    <row r="154" ht="14.25" customHeight="1">
      <c r="B154" s="62" t="s">
        <v>495</v>
      </c>
      <c r="C154" s="63"/>
      <c r="D154" s="63"/>
      <c r="E154" s="63"/>
      <c r="F154" s="65">
        <f t="array" ref="F154">INDEX(Calculo!$D$159:$M$159,MATCH(Supuestos!$B$21,Calculo!$D$4:$M$4,0))</f>
        <v>343.4482158</v>
      </c>
    </row>
    <row r="155" ht="14.25" customHeight="1">
      <c r="B155" s="62" t="s">
        <v>496</v>
      </c>
      <c r="C155" s="63"/>
      <c r="D155" s="63"/>
      <c r="E155" s="63"/>
      <c r="F155" s="65">
        <f t="array" ref="F155">INDEX(Calculo!$D$247:$M$247,MATCH(Supuestos!$B$21,Calculo!$D$4:$M$4,0))</f>
        <v>43.58756592</v>
      </c>
    </row>
    <row r="156" ht="14.25" customHeight="1">
      <c r="B156" s="62" t="s">
        <v>627</v>
      </c>
      <c r="C156" s="63"/>
      <c r="D156" s="63"/>
      <c r="E156" s="63"/>
      <c r="F156" s="65">
        <f t="array" ref="F156">INDEX(Calculo!$D$249:$M$249,MATCH(Supuestos!$B$21,Calculo!$D$4:$M$4,0))</f>
        <v>38.20954676</v>
      </c>
    </row>
    <row r="157" ht="14.25" customHeight="1">
      <c r="B157" s="62" t="s">
        <v>628</v>
      </c>
      <c r="C157" s="63"/>
      <c r="D157" s="63"/>
      <c r="E157" s="63"/>
      <c r="F157" s="16">
        <f t="array" ref="F157">INDEX(Calculo!$D$251:$M$251,MATCH(Supuestos!$B$21,Calculo!$D$4:$M$4,0))</f>
        <v>64.65225436</v>
      </c>
    </row>
    <row r="158" ht="14.25" customHeight="1">
      <c r="B158" s="62" t="s">
        <v>499</v>
      </c>
      <c r="C158" s="63"/>
      <c r="D158" s="63"/>
      <c r="E158" s="63"/>
      <c r="F158" s="16">
        <f t="array" ref="F158">INDEX(Calculo!$D$252:$M$252,MATCH(Supuestos!$B$21,Calculo!$D$4:$M$4,0))</f>
        <v>246.7217588</v>
      </c>
    </row>
    <row r="159" ht="14.25" customHeight="1">
      <c r="B159" s="62" t="s">
        <v>500</v>
      </c>
      <c r="C159" s="63"/>
      <c r="D159" s="63"/>
      <c r="E159" s="63"/>
      <c r="F159" s="33">
        <f t="array" ref="F159">INDEX(Calculo!$D$252:$M$252,MATCH(Supuestos!$B$21,Calculo!$D$4:$M$4,0))/Supuestos!$B$42</f>
        <v>0.1370676438</v>
      </c>
    </row>
    <row r="160" ht="14.25" customHeight="1">
      <c r="B160" s="62" t="s">
        <v>501</v>
      </c>
      <c r="C160" s="63"/>
      <c r="D160" s="63"/>
      <c r="E160" s="63"/>
      <c r="F160" s="16">
        <f t="array" ref="F160">INDEX(Calculo!$D$255:$M$255,MATCH(Supuestos!$B$21,Calculo!$D$4:$M$4,0))</f>
        <v>423638.6716</v>
      </c>
    </row>
    <row r="161" ht="14.25" customHeight="1"/>
    <row r="162" ht="60.0" customHeight="1">
      <c r="B162" s="23" t="s">
        <v>629</v>
      </c>
    </row>
    <row r="163" ht="14.25" customHeight="1"/>
    <row r="164" ht="14.25" customHeight="1">
      <c r="B164" s="3" t="s">
        <v>630</v>
      </c>
    </row>
    <row r="165" ht="45.0" customHeight="1">
      <c r="B165" s="23" t="s">
        <v>631</v>
      </c>
    </row>
    <row r="166" ht="45.0" customHeight="1">
      <c r="B166" s="23" t="s">
        <v>633</v>
      </c>
    </row>
    <row r="167" ht="15.0" customHeight="1">
      <c r="B167" s="75" t="s">
        <v>506</v>
      </c>
    </row>
    <row r="168" ht="15.0" customHeight="1">
      <c r="A168" s="76">
        <v>1.0</v>
      </c>
      <c r="B168" s="23" t="s">
        <v>634</v>
      </c>
    </row>
    <row r="169" ht="30.0" customHeight="1">
      <c r="A169" s="76">
        <v>2.0</v>
      </c>
      <c r="B169" s="23" t="s">
        <v>635</v>
      </c>
    </row>
    <row r="170" ht="30.0" customHeight="1">
      <c r="A170" s="76">
        <v>3.0</v>
      </c>
      <c r="B170" s="23" t="s">
        <v>636</v>
      </c>
    </row>
    <row r="171" ht="30.0" customHeight="1">
      <c r="A171" s="76">
        <v>4.0</v>
      </c>
      <c r="B171" s="23" t="s">
        <v>637</v>
      </c>
    </row>
    <row r="172" ht="15.0" customHeight="1">
      <c r="A172" s="76">
        <v>5.0</v>
      </c>
      <c r="B172" s="23" t="s">
        <v>638</v>
      </c>
    </row>
    <row r="173" ht="30.0" customHeight="1">
      <c r="A173" s="76">
        <v>6.0</v>
      </c>
      <c r="B173" s="23" t="s">
        <v>639</v>
      </c>
    </row>
    <row r="174" ht="15.0" customHeight="1">
      <c r="A174" s="76">
        <v>7.0</v>
      </c>
      <c r="B174" s="23" t="s">
        <v>640</v>
      </c>
    </row>
    <row r="175" ht="30.0" customHeight="1">
      <c r="A175" s="76">
        <v>8.0</v>
      </c>
      <c r="B175" s="23" t="s">
        <v>641</v>
      </c>
    </row>
    <row r="176" ht="15.0" customHeight="1">
      <c r="A176" s="76">
        <v>9.0</v>
      </c>
      <c r="B176" s="23" t="s">
        <v>642</v>
      </c>
    </row>
    <row r="177" ht="15.0" customHeight="1">
      <c r="A177" s="76">
        <v>10.0</v>
      </c>
      <c r="B177" s="23" t="s">
        <v>643</v>
      </c>
    </row>
    <row r="178" ht="15.0" customHeight="1">
      <c r="B178" s="75" t="s">
        <v>644</v>
      </c>
    </row>
    <row r="179" ht="45.0" customHeight="1">
      <c r="B179" s="23" t="s">
        <v>645</v>
      </c>
    </row>
    <row r="180" ht="39.75" customHeight="1">
      <c r="B180" s="4" t="s">
        <v>9</v>
      </c>
      <c r="C180" s="4" t="s">
        <v>517</v>
      </c>
      <c r="D180" s="4" t="s">
        <v>86</v>
      </c>
      <c r="E180" s="4" t="s">
        <v>646</v>
      </c>
      <c r="F180" s="4" t="s">
        <v>647</v>
      </c>
      <c r="G180" s="4" t="s">
        <v>648</v>
      </c>
      <c r="H180" s="4" t="s">
        <v>649</v>
      </c>
      <c r="I180" s="4" t="s">
        <v>102</v>
      </c>
      <c r="J180" s="4" t="s">
        <v>650</v>
      </c>
      <c r="K180" s="4" t="s">
        <v>518</v>
      </c>
    </row>
    <row r="181" ht="14.25" customHeight="1">
      <c r="B181" s="7" t="s">
        <v>52</v>
      </c>
      <c r="C181" s="47" t="str">
        <f>Nesting!H6&amp;" × "&amp;Nesting!I6</f>
        <v>1220 × 2440</v>
      </c>
      <c r="D181" s="45">
        <f>Nesting!E6</f>
        <v>1.25</v>
      </c>
      <c r="E181" s="50">
        <f>IF(Nesting!J6&gt;=Nesting!K6,Nesting!C6,Nesting!D6)</f>
        <v>385.5</v>
      </c>
      <c r="F181" s="16">
        <f>INT(Nesting!H6/E181)</f>
        <v>3</v>
      </c>
      <c r="G181" s="50">
        <f>IF(Nesting!J6&gt;=Nesting!K6,Nesting!D6,Nesting!C6)</f>
        <v>269.5</v>
      </c>
      <c r="H181" s="16">
        <f>INT(Nesting!I6/G181)</f>
        <v>9</v>
      </c>
      <c r="I181" s="67">
        <f>Nesting!L6</f>
        <v>27</v>
      </c>
      <c r="J181" s="50">
        <f>Nesting!H6-F181*E181</f>
        <v>63.5</v>
      </c>
      <c r="K181" s="79">
        <f>Nesting!M6</f>
        <v>0.9423175054</v>
      </c>
    </row>
    <row r="182" ht="14.25" customHeight="1">
      <c r="B182" s="7" t="s">
        <v>60</v>
      </c>
      <c r="C182" s="47" t="str">
        <f>Nesting!H7&amp;" × "&amp;Nesting!I7</f>
        <v>1000 × 2000</v>
      </c>
      <c r="D182" s="45">
        <f>Nesting!E7</f>
        <v>1.6</v>
      </c>
      <c r="E182" s="50">
        <f>IF(Nesting!J7&gt;=Nesting!K7,Nesting!C7,Nesting!D7)</f>
        <v>330</v>
      </c>
      <c r="F182" s="16">
        <f>INT(Nesting!H7/E182)</f>
        <v>3</v>
      </c>
      <c r="G182" s="50">
        <f>IF(Nesting!J7&gt;=Nesting!K7,Nesting!D7,Nesting!C7)</f>
        <v>474.5</v>
      </c>
      <c r="H182" s="16">
        <f>INT(Nesting!I7/G182)</f>
        <v>4</v>
      </c>
      <c r="I182" s="67">
        <f>Nesting!L7</f>
        <v>12</v>
      </c>
      <c r="J182" s="50">
        <f>Nesting!H7-F182*E182</f>
        <v>10</v>
      </c>
      <c r="K182" s="79">
        <f>Nesting!M7</f>
        <v>0.93951</v>
      </c>
    </row>
    <row r="183" ht="14.25" customHeight="1">
      <c r="B183" s="7" t="s">
        <v>68</v>
      </c>
      <c r="C183" s="47" t="str">
        <f>Nesting!H8&amp;" × "&amp;Nesting!I8</f>
        <v>1500 × 3000</v>
      </c>
      <c r="D183" s="45">
        <f>Nesting!E8</f>
        <v>2</v>
      </c>
      <c r="E183" s="50">
        <f>IF(Nesting!J8&gt;=Nesting!K8,Nesting!C8,Nesting!D8)</f>
        <v>495</v>
      </c>
      <c r="F183" s="16">
        <f>INT(Nesting!H8/E183)</f>
        <v>3</v>
      </c>
      <c r="G183" s="50">
        <f>IF(Nesting!J8&gt;=Nesting!K8,Nesting!D8,Nesting!C8)</f>
        <v>563</v>
      </c>
      <c r="H183" s="16">
        <f>INT(Nesting!I8/G183)</f>
        <v>5</v>
      </c>
      <c r="I183" s="67">
        <f>Nesting!L8</f>
        <v>15</v>
      </c>
      <c r="J183" s="50">
        <f>Nesting!H8-F183*E183</f>
        <v>15</v>
      </c>
      <c r="K183" s="79">
        <f>Nesting!M8</f>
        <v>0.92895</v>
      </c>
    </row>
    <row r="184" ht="14.25" customHeight="1">
      <c r="B184" s="7" t="s">
        <v>69</v>
      </c>
      <c r="C184" s="47" t="str">
        <f>Nesting!H9&amp;" × "&amp;Nesting!I9</f>
        <v>1500 × 3000</v>
      </c>
      <c r="D184" s="45">
        <f>Nesting!E9</f>
        <v>3.2</v>
      </c>
      <c r="E184" s="50">
        <f>IF(Nesting!J9&gt;=Nesting!K9,Nesting!C9,Nesting!D9)</f>
        <v>490</v>
      </c>
      <c r="F184" s="16">
        <f>INT(Nesting!H9/E184)</f>
        <v>3</v>
      </c>
      <c r="G184" s="50">
        <f>IF(Nesting!J9&gt;=Nesting!K9,Nesting!D9,Nesting!C9)</f>
        <v>858</v>
      </c>
      <c r="H184" s="16">
        <f>INT(Nesting!I9/G184)</f>
        <v>3</v>
      </c>
      <c r="I184" s="67">
        <f>Nesting!L9</f>
        <v>9</v>
      </c>
      <c r="J184" s="50">
        <f>Nesting!H9-F184*E184</f>
        <v>30</v>
      </c>
      <c r="K184" s="79">
        <f>Nesting!M9</f>
        <v>0.84084</v>
      </c>
    </row>
    <row r="185" ht="14.25" customHeight="1">
      <c r="B185" s="7" t="s">
        <v>71</v>
      </c>
      <c r="C185" s="47" t="str">
        <f>Nesting!H10&amp;" × "&amp;Nesting!I10</f>
        <v>1500 × 3000</v>
      </c>
      <c r="D185" s="45">
        <f>Nesting!E10</f>
        <v>3.2</v>
      </c>
      <c r="E185" s="50">
        <f>IF(Nesting!J10&gt;=Nesting!K10,Nesting!C10,Nesting!D10)</f>
        <v>640</v>
      </c>
      <c r="F185" s="16">
        <f>INT(Nesting!H10/E185)</f>
        <v>2</v>
      </c>
      <c r="G185" s="50">
        <f>IF(Nesting!J10&gt;=Nesting!K10,Nesting!D10,Nesting!C10)</f>
        <v>994</v>
      </c>
      <c r="H185" s="16">
        <f>INT(Nesting!I10/G185)</f>
        <v>3</v>
      </c>
      <c r="I185" s="67">
        <f>Nesting!L10</f>
        <v>6</v>
      </c>
      <c r="J185" s="50">
        <f>Nesting!H10-F185*E185</f>
        <v>220</v>
      </c>
      <c r="K185" s="79">
        <f>Nesting!M10</f>
        <v>0.8482133333</v>
      </c>
    </row>
    <row r="186" ht="14.25" customHeight="1">
      <c r="B186" s="7" t="s">
        <v>76</v>
      </c>
      <c r="C186" s="47" t="str">
        <f>Nesting!H11&amp;" × "&amp;Nesting!I11</f>
        <v>1500 × 3000</v>
      </c>
      <c r="D186" s="45">
        <f>Nesting!E11</f>
        <v>4.75</v>
      </c>
      <c r="E186" s="50">
        <f>IF(Nesting!J11&gt;=Nesting!K11,Nesting!C11,Nesting!D11)</f>
        <v>680</v>
      </c>
      <c r="F186" s="16">
        <f>INT(Nesting!H11/E186)</f>
        <v>2</v>
      </c>
      <c r="G186" s="50">
        <f>IF(Nesting!J11&gt;=Nesting!K11,Nesting!D11,Nesting!C11)</f>
        <v>1212</v>
      </c>
      <c r="H186" s="16">
        <f>INT(Nesting!I11/G186)</f>
        <v>2</v>
      </c>
      <c r="I186" s="67">
        <f>Nesting!L11</f>
        <v>4</v>
      </c>
      <c r="J186" s="50">
        <f>Nesting!H11-F186*E186</f>
        <v>140</v>
      </c>
      <c r="K186" s="79">
        <f>Nesting!M11</f>
        <v>0.7325866667</v>
      </c>
    </row>
    <row r="187" ht="14.25" customHeight="1">
      <c r="B187" s="7" t="s">
        <v>83</v>
      </c>
      <c r="C187" s="47" t="str">
        <f>Nesting!H12&amp;" × "&amp;Nesting!I12</f>
        <v>1500 × 3000</v>
      </c>
      <c r="D187" s="45">
        <f>Nesting!E12</f>
        <v>4.75</v>
      </c>
      <c r="E187" s="50">
        <f>IF(Nesting!J12&gt;=Nesting!K12,Nesting!C12,Nesting!D12)</f>
        <v>1212</v>
      </c>
      <c r="F187" s="16">
        <f>INT(Nesting!H12/E187)</f>
        <v>1</v>
      </c>
      <c r="G187" s="50">
        <f>IF(Nesting!J12&gt;=Nesting!K12,Nesting!D12,Nesting!C12)</f>
        <v>900</v>
      </c>
      <c r="H187" s="16">
        <f>INT(Nesting!I12/G187)</f>
        <v>3</v>
      </c>
      <c r="I187" s="67">
        <f>Nesting!L12</f>
        <v>3</v>
      </c>
      <c r="J187" s="50">
        <f>Nesting!H12-F187*E187</f>
        <v>288</v>
      </c>
      <c r="K187" s="79">
        <f>Nesting!M12</f>
        <v>0.7272</v>
      </c>
    </row>
    <row r="188" ht="14.25" customHeight="1">
      <c r="B188" s="7" t="s">
        <v>684</v>
      </c>
      <c r="C188" s="47" t="str">
        <f>Nesting!H11&amp;" × "&amp;Nesting!I11</f>
        <v>1500 × 3000</v>
      </c>
      <c r="D188" s="45">
        <f>Nesting!E11</f>
        <v>4.75</v>
      </c>
      <c r="E188" s="50">
        <f>Nesting!D11</f>
        <v>1212</v>
      </c>
      <c r="F188" s="16">
        <v>1.0</v>
      </c>
      <c r="G188" s="7" t="str">
        <f>"900×"&amp;Nesting!$G$15&amp;" + 680×"&amp;Nesting!$G$16</f>
        <v>900×1 + 680×3</v>
      </c>
      <c r="H188" s="16">
        <f>Nesting!$G$15+Nesting!$G$16</f>
        <v>4</v>
      </c>
      <c r="I188" s="16">
        <f>Nesting!$G$15+Nesting!$G$16</f>
        <v>4</v>
      </c>
      <c r="J188" s="50">
        <f>Nesting!H11-E188</f>
        <v>288</v>
      </c>
      <c r="K188" s="79">
        <f>Nesting!$G$19</f>
        <v>0.79184</v>
      </c>
    </row>
    <row r="189" ht="14.25" customHeight="1"/>
    <row r="190" ht="15.0" customHeight="1">
      <c r="B190" s="75" t="s">
        <v>467</v>
      </c>
    </row>
    <row r="191" ht="26.25" customHeight="1">
      <c r="B191" s="18" t="s">
        <v>311</v>
      </c>
      <c r="C191" s="63"/>
      <c r="D191" s="63"/>
      <c r="E191" s="64"/>
      <c r="F191" s="4" t="s">
        <v>468</v>
      </c>
      <c r="G191" s="4" t="s">
        <v>469</v>
      </c>
      <c r="H191" s="4" t="s">
        <v>471</v>
      </c>
    </row>
    <row r="192" ht="30.0" customHeight="1">
      <c r="B192" s="77" t="str">
        <f>Supuestos!A96</f>
        <v>Línea de corte transversal 1–6 mm × 1.600 (desbobinador, aplanadora, alimentador servo, cizalla)</v>
      </c>
      <c r="C192" s="63"/>
      <c r="D192" s="63"/>
      <c r="E192" s="63"/>
      <c r="F192" s="67">
        <f>Supuestos!F96</f>
        <v>0</v>
      </c>
      <c r="G192" s="67">
        <f>Supuestos!B96</f>
        <v>80000</v>
      </c>
      <c r="H192" s="16">
        <f t="shared" ref="H192:H203" si="4">F192*G192</f>
        <v>0</v>
      </c>
    </row>
    <row r="193" ht="30.0" customHeight="1">
      <c r="B193" s="77" t="str">
        <f>Supuestos!A97</f>
        <v>Guillotina hidráulica 6 × 3.200 mm con tope motorizado</v>
      </c>
      <c r="C193" s="63"/>
      <c r="D193" s="63"/>
      <c r="E193" s="63"/>
      <c r="F193" s="67">
        <f>Supuestos!F97</f>
        <v>1</v>
      </c>
      <c r="G193" s="67">
        <f>Supuestos!B97</f>
        <v>25810.97465</v>
      </c>
      <c r="H193" s="16">
        <f t="shared" si="4"/>
        <v>25810.97465</v>
      </c>
    </row>
    <row r="194" ht="30.0" customHeight="1">
      <c r="B194" s="77" t="str">
        <f>Supuestos!A98</f>
        <v>Cortadora longitudinal (slitter) 0,3–3,2 × 1.600</v>
      </c>
      <c r="C194" s="63"/>
      <c r="D194" s="63"/>
      <c r="E194" s="63"/>
      <c r="F194" s="67">
        <f>Supuestos!F98</f>
        <v>0</v>
      </c>
      <c r="G194" s="67">
        <f>Supuestos!B98</f>
        <v>60000</v>
      </c>
      <c r="H194" s="16">
        <f t="shared" si="4"/>
        <v>0</v>
      </c>
    </row>
    <row r="195" ht="30.0" customHeight="1">
      <c r="B195" s="77" t="str">
        <f>Supuestos!A99</f>
        <v>Puente grúa monoviga 10 t (incluye carrilera)</v>
      </c>
      <c r="C195" s="63"/>
      <c r="D195" s="63"/>
      <c r="E195" s="63"/>
      <c r="F195" s="67">
        <f>Supuestos!F99</f>
        <v>0</v>
      </c>
      <c r="G195" s="67">
        <f>Supuestos!B99</f>
        <v>30000</v>
      </c>
      <c r="H195" s="16">
        <f t="shared" si="4"/>
        <v>0</v>
      </c>
    </row>
    <row r="196" ht="30.0" customHeight="1">
      <c r="B196" s="77" t="str">
        <f>Supuestos!A100</f>
        <v>Pinza en C portabobinas + cunas</v>
      </c>
      <c r="C196" s="63"/>
      <c r="D196" s="63"/>
      <c r="E196" s="63"/>
      <c r="F196" s="67">
        <f>Supuestos!F100</f>
        <v>0</v>
      </c>
      <c r="G196" s="67">
        <f>Supuestos!B100</f>
        <v>6000</v>
      </c>
      <c r="H196" s="16">
        <f t="shared" si="4"/>
        <v>0</v>
      </c>
    </row>
    <row r="197" ht="30.0" customHeight="1">
      <c r="B197" s="77" t="str">
        <f>Supuestos!A101</f>
        <v>Desbobinador + enderezador + alimentador servo para la prensa de discos</v>
      </c>
      <c r="C197" s="63"/>
      <c r="D197" s="63"/>
      <c r="E197" s="63"/>
      <c r="F197" s="67">
        <f>Supuestos!F101</f>
        <v>1</v>
      </c>
      <c r="G197" s="67">
        <f>Supuestos!B101</f>
        <v>12000</v>
      </c>
      <c r="H197" s="16">
        <f t="shared" si="4"/>
        <v>12000</v>
      </c>
    </row>
    <row r="198" ht="30.0" customHeight="1">
      <c r="B198" s="77" t="str">
        <f>Supuestos!A102</f>
        <v>Estantería porta-flejes</v>
      </c>
      <c r="C198" s="63"/>
      <c r="D198" s="63"/>
      <c r="E198" s="63"/>
      <c r="F198" s="67">
        <f>Supuestos!F102</f>
        <v>1</v>
      </c>
      <c r="G198" s="67">
        <f>Supuestos!B102</f>
        <v>3000</v>
      </c>
      <c r="H198" s="16">
        <f t="shared" si="4"/>
        <v>3000</v>
      </c>
    </row>
    <row r="199" ht="30.0" customHeight="1">
      <c r="B199" s="77" t="str">
        <f>Supuestos!A103</f>
        <v>Autoelevador eléctrico 2,5 t</v>
      </c>
      <c r="C199" s="63"/>
      <c r="D199" s="63"/>
      <c r="E199" s="63"/>
      <c r="F199" s="67">
        <f>Supuestos!F103</f>
        <v>1</v>
      </c>
      <c r="G199" s="67">
        <f>Supuestos!B103</f>
        <v>20000</v>
      </c>
      <c r="H199" s="16">
        <f t="shared" si="4"/>
        <v>20000</v>
      </c>
    </row>
    <row r="200" ht="30.0" customHeight="1">
      <c r="B200" s="77" t="str">
        <f>Supuestos!A104</f>
        <v>Mesa elevadora de tijera 1500 × 3000 mm, 3 t, elevación ~1 m (paquete de hojas a la altura de la guillotina)</v>
      </c>
      <c r="C200" s="63"/>
      <c r="D200" s="63"/>
      <c r="E200" s="63"/>
      <c r="F200" s="67">
        <f>Supuestos!F104</f>
        <v>1</v>
      </c>
      <c r="G200" s="67">
        <f>Supuestos!B104</f>
        <v>7000</v>
      </c>
      <c r="H200" s="16">
        <f t="shared" si="4"/>
        <v>7000</v>
      </c>
    </row>
    <row r="201" ht="30.0" customHeight="1">
      <c r="B201" s="77" t="str">
        <f>Supuestos!A105</f>
        <v>Apoyos con bolas (mesa de bolas) entre la mesa elevadora y la guillotina</v>
      </c>
      <c r="C201" s="63"/>
      <c r="D201" s="63"/>
      <c r="E201" s="63"/>
      <c r="F201" s="67">
        <f>Supuestos!F105</f>
        <v>1</v>
      </c>
      <c r="G201" s="67">
        <f>Supuestos!B105</f>
        <v>1500</v>
      </c>
      <c r="H201" s="16">
        <f t="shared" si="4"/>
        <v>1500</v>
      </c>
    </row>
    <row r="202" ht="30.0" customHeight="1">
      <c r="B202" s="77" t="str">
        <f>Supuestos!A106</f>
        <v>Racks por espesor en el almacén de MP y carros porta-desarrollos</v>
      </c>
      <c r="C202" s="63"/>
      <c r="D202" s="63"/>
      <c r="E202" s="63"/>
      <c r="F202" s="67">
        <f>Supuestos!F106</f>
        <v>1</v>
      </c>
      <c r="G202" s="67">
        <f>Supuestos!B106</f>
        <v>2000</v>
      </c>
      <c r="H202" s="16">
        <f t="shared" si="4"/>
        <v>2000</v>
      </c>
    </row>
    <row r="203" ht="30.0" customHeight="1">
      <c r="B203" s="77" t="str">
        <f>Supuestos!A107</f>
        <v>Mesa de alimentación de tiras al balancín</v>
      </c>
      <c r="C203" s="63"/>
      <c r="D203" s="63"/>
      <c r="E203" s="63"/>
      <c r="F203" s="67">
        <f>Supuestos!F107</f>
        <v>0</v>
      </c>
      <c r="G203" s="67">
        <f>Supuestos!B107</f>
        <v>1500</v>
      </c>
      <c r="H203" s="16">
        <f t="shared" si="4"/>
        <v>0</v>
      </c>
    </row>
    <row r="204" ht="14.25" customHeight="1">
      <c r="B204" s="78" t="s">
        <v>714</v>
      </c>
      <c r="C204" s="63"/>
      <c r="D204" s="63"/>
      <c r="E204" s="63"/>
      <c r="H204" s="26">
        <f>SUM(H192:H203)</f>
        <v>71310.97465</v>
      </c>
    </row>
    <row r="205" ht="14.25" customHeight="1"/>
    <row r="206" ht="15.0" customHeight="1">
      <c r="B206" s="75" t="s">
        <v>717</v>
      </c>
    </row>
    <row r="207" ht="36.0" customHeight="1">
      <c r="B207" s="4" t="s">
        <v>380</v>
      </c>
      <c r="C207" s="4" t="s">
        <v>718</v>
      </c>
      <c r="D207" s="4" t="s">
        <v>86</v>
      </c>
      <c r="E207" s="4" t="s">
        <v>719</v>
      </c>
      <c r="F207" s="4" t="s">
        <v>430</v>
      </c>
      <c r="G207" s="4" t="s">
        <v>520</v>
      </c>
      <c r="H207" s="4" t="s">
        <v>720</v>
      </c>
    </row>
    <row r="208" ht="14.25" customHeight="1">
      <c r="B208" s="7" t="s">
        <v>378</v>
      </c>
      <c r="C208" s="47" t="str">
        <f>"Hoja "&amp;Nesting!H6&amp;" × "&amp;Nesting!I6</f>
        <v>Hoja 1220 × 2440</v>
      </c>
      <c r="D208" s="45">
        <f>Nesting!E6</f>
        <v>1.25</v>
      </c>
      <c r="E208" s="7" t="s">
        <v>721</v>
      </c>
      <c r="F208" s="20">
        <f>Calculo!$N$91</f>
        <v>1.290297735</v>
      </c>
      <c r="G208" s="65">
        <f t="array" ref="G208">INDEX(Calculo!$D$91:$M$91,MATCH(Supuestos!$B$21,Calculo!$D$4:$M$4,0))</f>
        <v>15.28638894</v>
      </c>
      <c r="H208" s="7" t="str">
        <f t="array" ref="H208">TEXT(INDEX(Calculo!$D$80:$M$80,MATCH(Supuestos!$B$21,Calculo!$D$4:$M$4,0)),"#,##0")&amp;" hojas"</f>
        <v>522 hojas</v>
      </c>
    </row>
    <row r="209" ht="14.25" customHeight="1">
      <c r="B209" s="7" t="s">
        <v>402</v>
      </c>
      <c r="C209" s="47" t="str">
        <f>"Hoja "&amp;Nesting!H7&amp;" × "&amp;Nesting!I7</f>
        <v>Hoja 1000 × 2000</v>
      </c>
      <c r="D209" s="45">
        <f>Nesting!E7</f>
        <v>1.6</v>
      </c>
      <c r="E209" s="7" t="s">
        <v>721</v>
      </c>
      <c r="F209" s="20">
        <f>Calculo!$N$92</f>
        <v>1.327521036</v>
      </c>
      <c r="G209" s="65">
        <f t="array" ref="G209">INDEX(Calculo!$D$92:$M$92,MATCH(Supuestos!$B$21,Calculo!$D$4:$M$4,0))</f>
        <v>133.613712</v>
      </c>
      <c r="H209" s="7" t="str">
        <f t="array" ref="H209">TEXT(INDEX(Calculo!$D$81:$M$81,MATCH(Supuestos!$B$21,Calculo!$D$4:$M$4,0)),"#,##0")&amp;" hojas"</f>
        <v>5.306 hojas</v>
      </c>
    </row>
    <row r="210" ht="14.25" customHeight="1">
      <c r="B210" s="7" t="s">
        <v>406</v>
      </c>
      <c r="C210" s="47" t="str">
        <f>"Hoja "&amp;Nesting!H8&amp;" × "&amp;Nesting!I8</f>
        <v>Hoja 1500 × 3000</v>
      </c>
      <c r="D210" s="45">
        <f>Nesting!E8</f>
        <v>2</v>
      </c>
      <c r="E210" s="7" t="s">
        <v>721</v>
      </c>
      <c r="F210" s="20">
        <f>Calculo!$N$93</f>
        <v>1.280401294</v>
      </c>
      <c r="G210" s="65">
        <f t="array" ref="G210">INDEX(Calculo!$D$93:$M$93,MATCH(Supuestos!$B$21,Calculo!$D$4:$M$4,0))</f>
        <v>18.189144</v>
      </c>
      <c r="H210" s="7" t="str">
        <f t="array" ref="H210">TEXT(INDEX(Calculo!$D$82:$M$82,MATCH(Supuestos!$B$21,Calculo!$D$4:$M$4,0)),"#,##0")&amp;" hojas"</f>
        <v>257 hojas</v>
      </c>
    </row>
    <row r="211" ht="14.25" customHeight="1">
      <c r="B211" s="7" t="s">
        <v>412</v>
      </c>
      <c r="C211" s="47" t="str">
        <f>"Hoja "&amp;Nesting!H9&amp;" × "&amp;Nesting!I9</f>
        <v>Hoja 1500 × 3000</v>
      </c>
      <c r="D211" s="45">
        <f>Nesting!E9</f>
        <v>3.2</v>
      </c>
      <c r="E211" s="7" t="s">
        <v>721</v>
      </c>
      <c r="F211" s="20">
        <f>Calculo!$N$94</f>
        <v>1.101935275</v>
      </c>
      <c r="G211" s="65">
        <f t="array" ref="G211">INDEX(Calculo!$D$94:$M$94,MATCH(Supuestos!$B$21,Calculo!$D$4:$M$4,0))</f>
        <v>9.7588</v>
      </c>
      <c r="H211" s="7" t="str">
        <f t="array" ref="H211">TEXT(INDEX(Calculo!$D$83:$M$83,MATCH(Supuestos!$B$21,Calculo!$D$4:$M$4,0)),"#,##0")&amp;" hojas"</f>
        <v>86 hojas</v>
      </c>
    </row>
    <row r="212" ht="14.25" customHeight="1">
      <c r="B212" s="7" t="s">
        <v>416</v>
      </c>
      <c r="C212" s="47" t="str">
        <f>"Hoja "&amp;Nesting!H10&amp;" × "&amp;Nesting!I10</f>
        <v>Hoja 1500 × 3000</v>
      </c>
      <c r="D212" s="45">
        <f>Nesting!E10</f>
        <v>3.2</v>
      </c>
      <c r="E212" s="7" t="s">
        <v>721</v>
      </c>
      <c r="F212" s="20">
        <f>Calculo!$N$95</f>
        <v>1.101935275</v>
      </c>
      <c r="G212" s="65">
        <f t="array" ref="G212">INDEX(Calculo!$D$95:$M$95,MATCH(Supuestos!$B$21,Calculo!$D$4:$M$4,0))</f>
        <v>32.20404</v>
      </c>
      <c r="H212" s="7" t="str">
        <f t="array" ref="H212">TEXT(INDEX(Calculo!$D$84:$M$84,MATCH(Supuestos!$B$21,Calculo!$D$4:$M$4,0)),"#,##0")&amp;" hojas"</f>
        <v>284 hojas</v>
      </c>
    </row>
    <row r="213" ht="14.25" customHeight="1">
      <c r="B213" s="7" t="s">
        <v>419</v>
      </c>
      <c r="C213" s="47" t="str">
        <f>"Hoja "&amp;Nesting!H11&amp;" × "&amp;Nesting!I11</f>
        <v>Hoja 1500 × 3000</v>
      </c>
      <c r="D213" s="45">
        <f>Nesting!E11</f>
        <v>4.75</v>
      </c>
      <c r="E213" s="7" t="s">
        <v>721</v>
      </c>
      <c r="F213" s="20">
        <f>Calculo!$N$96</f>
        <v>1.090977346</v>
      </c>
      <c r="G213" s="65">
        <f t="array" ref="G213">INDEX(Calculo!$D$96:$M$96,MATCH(Supuestos!$B$21,Calculo!$D$4:$M$4,0))</f>
        <v>0</v>
      </c>
      <c r="H213" s="7" t="str">
        <f t="array" ref="H213">TEXT(INDEX(Calculo!$D$85:$M$85,MATCH(Supuestos!$B$21,Calculo!$D$4:$M$4,0)),"#,##0")&amp;" hojas"</f>
        <v>0 hojas</v>
      </c>
    </row>
    <row r="214" ht="14.25" customHeight="1">
      <c r="B214" s="7" t="s">
        <v>421</v>
      </c>
      <c r="C214" s="47" t="str">
        <f>"Hoja "&amp;Nesting!H12&amp;" × "&amp;Nesting!I12</f>
        <v>Hoja 1500 × 3000</v>
      </c>
      <c r="D214" s="45">
        <f>Nesting!E12</f>
        <v>4.75</v>
      </c>
      <c r="E214" s="7" t="s">
        <v>721</v>
      </c>
      <c r="F214" s="20">
        <f>Calculo!$N$97</f>
        <v>1.090977346</v>
      </c>
      <c r="G214" s="65">
        <f t="array" ref="G214">INDEX(Calculo!$D$97:$M$97,MATCH(Supuestos!$B$21,Calculo!$D$4:$M$4,0))</f>
        <v>6.87838</v>
      </c>
      <c r="H214" s="7" t="str">
        <f t="array" ref="H214">TEXT(INDEX(Calculo!$D$86:$M$86,MATCH(Supuestos!$B$21,Calculo!$D$4:$M$4,0)),"#,##0")&amp;" hojas"</f>
        <v>41 hojas</v>
      </c>
    </row>
    <row r="215" ht="14.25" customHeight="1">
      <c r="B215" s="7" t="s">
        <v>729</v>
      </c>
      <c r="C215" s="47" t="str">
        <f>"Hoja "&amp;Nesting!H11&amp;" × "&amp;Nesting!I11</f>
        <v>Hoja 1500 × 3000</v>
      </c>
      <c r="D215" s="45">
        <f>Nesting!E11</f>
        <v>4.75</v>
      </c>
      <c r="E215" s="7" t="s">
        <v>721</v>
      </c>
      <c r="F215" s="20">
        <f>Calculo!$N$98</f>
        <v>1.090977346</v>
      </c>
      <c r="G215" s="65">
        <f t="array" ref="G215">INDEX(Calculo!$D$98:$M$98,MATCH(Supuestos!$B$21,Calculo!$D$4:$M$4,0))</f>
        <v>20.91550875</v>
      </c>
      <c r="H215" s="7" t="str">
        <f t="array" ref="H215">TEXT(INDEX(Calculo!$D$87:$M$87,MATCH(Supuestos!$B$21,Calculo!$D$4:$M$4,0)),"#,##0")&amp;" hojas"</f>
        <v>124 hojas</v>
      </c>
    </row>
    <row r="216" ht="14.25" customHeight="1">
      <c r="B216" s="7" t="s">
        <v>255</v>
      </c>
      <c r="C216" s="47" t="str">
        <f>"Rollo de fleje "&amp;Nesting!W26&amp;" mm"</f>
        <v>Rollo de fleje 114 mm</v>
      </c>
      <c r="D216" s="45">
        <f>Nesting!D26</f>
        <v>0.9</v>
      </c>
      <c r="E216" s="7" t="s">
        <v>731</v>
      </c>
      <c r="F216" s="20">
        <f>Calculo!$N$66</f>
        <v>1.26285</v>
      </c>
      <c r="G216" s="65">
        <f t="array" ref="G216">INDEX(Calculo!$D$66:$M$66,MATCH(Supuestos!$B$21,Calculo!$D$4:$M$4,0))</f>
        <v>18.25183128</v>
      </c>
      <c r="H216" s="7" t="str">
        <f>TEXT(Bobinas!O13,"0.0")&amp;" rollos de "&amp;TEXT(Bobinas!K13,"0.00")&amp;" t"</f>
        <v>18,3 rollos de 1,00 t</v>
      </c>
    </row>
    <row r="217" ht="14.25" customHeight="1">
      <c r="B217" s="7" t="s">
        <v>277</v>
      </c>
      <c r="C217" s="47" t="str">
        <f>"Rollo de fleje "&amp;Nesting!W27&amp;" mm"</f>
        <v>Rollo de fleje 106 mm</v>
      </c>
      <c r="D217" s="45">
        <f>Nesting!D27</f>
        <v>0.9</v>
      </c>
      <c r="E217" s="7" t="s">
        <v>731</v>
      </c>
      <c r="F217" s="20">
        <f>Calculo!$N$67</f>
        <v>1.26285</v>
      </c>
      <c r="G217" s="65">
        <f t="array" ref="G217">INDEX(Calculo!$D$67:$M$67,MATCH(Supuestos!$B$21,Calculo!$D$4:$M$4,0))</f>
        <v>15.74786581</v>
      </c>
      <c r="H217" s="7" t="str">
        <f>TEXT(Bobinas!O14,"0.0")&amp;" rollos de "&amp;TEXT(Bobinas!K14,"0.00")&amp;" t"</f>
        <v>15,7 rollos de 1,00 t</v>
      </c>
    </row>
    <row r="218" ht="14.25" customHeight="1">
      <c r="B218" s="7" t="s">
        <v>408</v>
      </c>
      <c r="C218" s="47" t="str">
        <f>"Rollo de fleje "&amp;Nesting!W28&amp;" mm"</f>
        <v>Rollo de fleje 200 mm</v>
      </c>
      <c r="D218" s="45">
        <f>Nesting!D28</f>
        <v>1.25</v>
      </c>
      <c r="E218" s="7" t="s">
        <v>734</v>
      </c>
      <c r="F218" s="20">
        <f>Calculo!$N$68</f>
        <v>1.186</v>
      </c>
      <c r="G218" s="65">
        <f t="array" ref="G218">INDEX(Calculo!$D$68:$M$68,MATCH(Supuestos!$B$21,Calculo!$D$4:$M$4,0))</f>
        <v>5.072211045</v>
      </c>
      <c r="H218" s="7" t="str">
        <f>TEXT(Bobinas!O15,"0.0")&amp;" rollos de "&amp;TEXT(Bobinas!K15,"0.00")&amp;" t"</f>
        <v>10,1 rollos de 0,50 t</v>
      </c>
    </row>
    <row r="219" ht="14.25" customHeight="1">
      <c r="B219" s="7" t="s">
        <v>411</v>
      </c>
      <c r="C219" s="47" t="str">
        <f>"Rollo de fleje "&amp;Nesting!W29&amp;" mm"</f>
        <v>Rollo de fleje 200 mm</v>
      </c>
      <c r="D219" s="45">
        <f>Nesting!D29</f>
        <v>1.25</v>
      </c>
      <c r="E219" s="7" t="s">
        <v>734</v>
      </c>
      <c r="F219" s="20">
        <f>Calculo!$N$69</f>
        <v>1.186</v>
      </c>
      <c r="G219" s="65">
        <f t="array" ref="G219">INDEX(Calculo!$D$69:$M$69,MATCH(Supuestos!$B$21,Calculo!$D$4:$M$4,0))</f>
        <v>4.20826301</v>
      </c>
      <c r="H219" s="7" t="str">
        <f>TEXT(Bobinas!O16,"0.0")&amp;" rollos de "&amp;TEXT(Bobinas!K16,"0.00")&amp;" t"</f>
        <v>8,4 rollos de 0,50 t</v>
      </c>
    </row>
    <row r="220" ht="14.25" customHeight="1">
      <c r="B220" s="7" t="s">
        <v>436</v>
      </c>
      <c r="C220" s="47" t="str">
        <f>"Rollo de fleje "&amp;Nesting!W30&amp;" mm"</f>
        <v>Rollo de fleje 250 mm</v>
      </c>
      <c r="D220" s="45">
        <f>Nesting!D30</f>
        <v>1.6</v>
      </c>
      <c r="E220" s="7" t="s">
        <v>734</v>
      </c>
      <c r="F220" s="20">
        <f>Calculo!$N$70</f>
        <v>1.186</v>
      </c>
      <c r="G220" s="65">
        <f t="array" ref="G220">INDEX(Calculo!$D$70:$M$70,MATCH(Supuestos!$B$21,Calculo!$D$4:$M$4,0))</f>
        <v>45.11980626</v>
      </c>
      <c r="H220" s="7" t="str">
        <f>TEXT(Bobinas!O17,"0.0")&amp;" rollos de "&amp;TEXT(Bobinas!K17,"0.00")&amp;" t"</f>
        <v>75,2 rollos de 0,60 t</v>
      </c>
    </row>
    <row r="221" ht="14.25" customHeight="1">
      <c r="B221" s="7" t="s">
        <v>438</v>
      </c>
      <c r="C221" s="47" t="str">
        <f>"Rollo de fleje "&amp;Nesting!W31&amp;" mm"</f>
        <v>Rollo de fleje 200 mm</v>
      </c>
      <c r="D221" s="45">
        <f>Nesting!D31</f>
        <v>1.6</v>
      </c>
      <c r="E221" s="7" t="s">
        <v>734</v>
      </c>
      <c r="F221" s="20">
        <f>Calculo!$N$71</f>
        <v>1.186</v>
      </c>
      <c r="G221" s="65">
        <f t="array" ref="G221">INDEX(Calculo!$D$71:$M$71,MATCH(Supuestos!$B$21,Calculo!$D$4:$M$4,0))</f>
        <v>29.00558974</v>
      </c>
      <c r="H221" s="7" t="str">
        <f>TEXT(Bobinas!O18,"0.0")&amp;" rollos de "&amp;TEXT(Bobinas!K18,"0.00")&amp;" t"</f>
        <v>58,0 rollos de 0,50 t</v>
      </c>
    </row>
    <row r="222" ht="14.25" customHeight="1">
      <c r="B222" s="7" t="s">
        <v>485</v>
      </c>
      <c r="C222" s="47" t="str">
        <f>"Rollo de fleje "&amp;Nesting!W32&amp;" mm"</f>
        <v>Rollo de fleje 300 mm</v>
      </c>
      <c r="D222" s="45">
        <f>Nesting!D32</f>
        <v>2</v>
      </c>
      <c r="E222" s="7" t="s">
        <v>734</v>
      </c>
      <c r="F222" s="20">
        <f>Calculo!$N$72</f>
        <v>1.198</v>
      </c>
      <c r="G222" s="65">
        <f t="array" ref="G222">INDEX(Calculo!$D$72:$M$72,MATCH(Supuestos!$B$21,Calculo!$D$4:$M$4,0))</f>
        <v>4.771222697</v>
      </c>
      <c r="H222" s="7" t="str">
        <f>TEXT(Bobinas!O19,"0.0")&amp;" rollos de "&amp;TEXT(Bobinas!K19,"0.00")&amp;" t"</f>
        <v>6,4 rollos de 0,75 t</v>
      </c>
    </row>
    <row r="223" ht="14.25" customHeight="1">
      <c r="B223" s="7" t="s">
        <v>486</v>
      </c>
      <c r="C223" s="47" t="str">
        <f>"Rollo de fleje "&amp;Nesting!W33&amp;" mm"</f>
        <v>Rollo de fleje 249 mm</v>
      </c>
      <c r="D223" s="45">
        <f>Nesting!D33</f>
        <v>2</v>
      </c>
      <c r="E223" s="7" t="s">
        <v>734</v>
      </c>
      <c r="F223" s="20">
        <f>Calculo!$N$73</f>
        <v>1.198</v>
      </c>
      <c r="G223" s="65">
        <f t="array" ref="G223">INDEX(Calculo!$D$73:$M$73,MATCH(Supuestos!$B$21,Calculo!$D$4:$M$4,0))</f>
        <v>3.155953588</v>
      </c>
      <c r="H223" s="7" t="str">
        <f>TEXT(Bobinas!O20,"0.0")&amp;" rollos de "&amp;TEXT(Bobinas!K20,"0.00")&amp;" t"</f>
        <v>6,3 rollos de 0,50 t</v>
      </c>
    </row>
    <row r="224" ht="14.25" customHeight="1"/>
    <row r="225" ht="15.0" customHeight="1">
      <c r="B225" s="75" t="s">
        <v>494</v>
      </c>
    </row>
    <row r="226" ht="14.25" customHeight="1">
      <c r="B226" s="62" t="s">
        <v>495</v>
      </c>
      <c r="C226" s="63"/>
      <c r="D226" s="63"/>
      <c r="E226" s="63"/>
      <c r="F226" s="65">
        <f t="array" ref="F226">INDEX(Calculo!$D$259:$M$259,MATCH(Supuestos!$B$21,Calculo!$D$4:$M$4,0))</f>
        <v>362.1787171</v>
      </c>
    </row>
    <row r="227" ht="14.25" customHeight="1">
      <c r="B227" s="62" t="s">
        <v>496</v>
      </c>
      <c r="C227" s="63"/>
      <c r="D227" s="63"/>
      <c r="E227" s="63"/>
      <c r="F227" s="65">
        <f t="array" ref="F227">INDEX(Calculo!$D$260:$M$260,MATCH(Supuestos!$B$21,Calculo!$D$4:$M$4,0))</f>
        <v>62.31806724</v>
      </c>
    </row>
    <row r="228" ht="14.25" customHeight="1">
      <c r="B228" s="62" t="s">
        <v>735</v>
      </c>
      <c r="C228" s="63"/>
      <c r="D228" s="63"/>
      <c r="E228" s="63"/>
      <c r="F228" s="65">
        <f t="array" ref="F228">INDEX(Calculo!$D$262:$M$262,MATCH(Supuestos!$B$21,Calculo!$D$4:$M$4,0))</f>
        <v>26.4735329</v>
      </c>
    </row>
    <row r="229" ht="14.25" customHeight="1">
      <c r="B229" s="62" t="s">
        <v>499</v>
      </c>
      <c r="C229" s="63"/>
      <c r="D229" s="63"/>
      <c r="E229" s="63"/>
      <c r="F229" s="16">
        <f t="array" ref="F229">INDEX(Calculo!$D$264:$M$264,MATCH(Supuestos!$B$21,Calculo!$D$4:$M$4,0))</f>
        <v>627.1489759</v>
      </c>
    </row>
    <row r="230" ht="14.25" customHeight="1">
      <c r="B230" s="62" t="s">
        <v>500</v>
      </c>
      <c r="C230" s="63"/>
      <c r="D230" s="63"/>
      <c r="E230" s="63"/>
      <c r="F230" s="33">
        <f t="array" ref="F230">INDEX(Calculo!$D$264:$M$264,MATCH(Supuestos!$B$21,Calculo!$D$4:$M$4,0))/Supuestos!$B$42</f>
        <v>0.3484160977</v>
      </c>
    </row>
    <row r="231" ht="14.25" customHeight="1">
      <c r="B231" s="62" t="s">
        <v>501</v>
      </c>
      <c r="C231" s="63"/>
      <c r="D231" s="63"/>
      <c r="E231" s="63"/>
      <c r="F231" s="16">
        <f t="array" ref="F231">INDEX(Calculo!$D$267:$M$267,MATCH(Supuestos!$B$21,Calculo!$D$4:$M$4,0))</f>
        <v>442735.2859</v>
      </c>
    </row>
    <row r="232" ht="14.25" customHeight="1"/>
    <row r="233" ht="60.0" customHeight="1">
      <c r="B233" s="23" t="s">
        <v>736</v>
      </c>
    </row>
    <row r="234" ht="14.25" customHeight="1"/>
    <row r="235" ht="14.25" customHeight="1">
      <c r="B235" s="3" t="s">
        <v>737</v>
      </c>
    </row>
    <row r="236" ht="30.0" customHeight="1">
      <c r="B236" s="23" t="s">
        <v>738</v>
      </c>
    </row>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4">
    <mergeCell ref="B6:K6"/>
    <mergeCell ref="B7:K7"/>
    <mergeCell ref="B8:K8"/>
    <mergeCell ref="B9:K9"/>
    <mergeCell ref="B10:K10"/>
    <mergeCell ref="B11:K11"/>
    <mergeCell ref="B12:K12"/>
    <mergeCell ref="B13:K13"/>
    <mergeCell ref="B14:K14"/>
    <mergeCell ref="B15:K15"/>
    <mergeCell ref="B16:K16"/>
    <mergeCell ref="B17:K17"/>
    <mergeCell ref="B18:K18"/>
    <mergeCell ref="B19:K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5:K35"/>
    <mergeCell ref="B53:K53"/>
    <mergeCell ref="B54:E54"/>
    <mergeCell ref="B55:E55"/>
    <mergeCell ref="B56:E56"/>
    <mergeCell ref="B57:E57"/>
    <mergeCell ref="B58:E58"/>
    <mergeCell ref="B59:E59"/>
    <mergeCell ref="B61:K61"/>
    <mergeCell ref="B64:K64"/>
    <mergeCell ref="B65:K65"/>
    <mergeCell ref="B66:K66"/>
    <mergeCell ref="B67:K67"/>
    <mergeCell ref="B68:K68"/>
    <mergeCell ref="B69:K69"/>
    <mergeCell ref="B70:K70"/>
    <mergeCell ref="B71:K71"/>
    <mergeCell ref="B72:E72"/>
    <mergeCell ref="B73:E73"/>
    <mergeCell ref="B74:E74"/>
    <mergeCell ref="B75:E75"/>
    <mergeCell ref="B156:E156"/>
    <mergeCell ref="B157:E157"/>
    <mergeCell ref="B158:E158"/>
    <mergeCell ref="B159:E159"/>
    <mergeCell ref="B160:E160"/>
    <mergeCell ref="B162:K162"/>
    <mergeCell ref="B165:K165"/>
    <mergeCell ref="B166:K166"/>
    <mergeCell ref="B167:K167"/>
    <mergeCell ref="B168:K168"/>
    <mergeCell ref="B169:K169"/>
    <mergeCell ref="B170:K170"/>
    <mergeCell ref="B171:K171"/>
    <mergeCell ref="B172:K172"/>
    <mergeCell ref="B173:K173"/>
    <mergeCell ref="B174:K174"/>
    <mergeCell ref="B175:K175"/>
    <mergeCell ref="B176:K176"/>
    <mergeCell ref="B177:K177"/>
    <mergeCell ref="B178:K178"/>
    <mergeCell ref="B179:K179"/>
    <mergeCell ref="B190:K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30:E230"/>
    <mergeCell ref="B231:E231"/>
    <mergeCell ref="B233:K233"/>
    <mergeCell ref="B236:K236"/>
    <mergeCell ref="B204:E204"/>
    <mergeCell ref="B206:K206"/>
    <mergeCell ref="B225:K225"/>
    <mergeCell ref="B226:E226"/>
    <mergeCell ref="B227:E227"/>
    <mergeCell ref="B228:E228"/>
    <mergeCell ref="B229:E229"/>
    <mergeCell ref="B76:E76"/>
    <mergeCell ref="B77:E77"/>
    <mergeCell ref="B78:E78"/>
    <mergeCell ref="B79:E79"/>
    <mergeCell ref="B80:E80"/>
    <mergeCell ref="B81:E81"/>
    <mergeCell ref="B82:E82"/>
    <mergeCell ref="B83:E83"/>
    <mergeCell ref="B84:E84"/>
    <mergeCell ref="B85:E85"/>
    <mergeCell ref="B87:K87"/>
    <mergeCell ref="B106:K106"/>
    <mergeCell ref="B107:E107"/>
    <mergeCell ref="B108:E108"/>
    <mergeCell ref="B109:E109"/>
    <mergeCell ref="B110:E110"/>
    <mergeCell ref="B111:E111"/>
    <mergeCell ref="B112:E112"/>
    <mergeCell ref="B114:K114"/>
    <mergeCell ref="B117:K117"/>
    <mergeCell ref="B118:K118"/>
    <mergeCell ref="B119:K119"/>
    <mergeCell ref="B120:K120"/>
    <mergeCell ref="B121:K121"/>
    <mergeCell ref="B122:K122"/>
    <mergeCell ref="B123:K123"/>
    <mergeCell ref="B124:K124"/>
    <mergeCell ref="B125:K125"/>
    <mergeCell ref="B126:K126"/>
    <mergeCell ref="B127:K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3:K143"/>
    <mergeCell ref="B152:K152"/>
    <mergeCell ref="B153:K153"/>
    <mergeCell ref="B154:E154"/>
    <mergeCell ref="B155:E155"/>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2.0"/>
    <col customWidth="1" min="2" max="6" width="17.0"/>
    <col customWidth="1" min="7" max="7" width="30.0"/>
    <col customWidth="1" min="8" max="26" width="8.57"/>
  </cols>
  <sheetData>
    <row r="1" ht="14.25" customHeight="1">
      <c r="A1" s="1" t="s">
        <v>527</v>
      </c>
    </row>
    <row r="2" ht="14.25" customHeight="1">
      <c r="A2" s="2" t="s">
        <v>528</v>
      </c>
    </row>
    <row r="3" ht="14.25" customHeight="1"/>
    <row r="4" ht="31.5" customHeight="1">
      <c r="A4" s="4" t="s">
        <v>529</v>
      </c>
      <c r="B4" s="4" t="s">
        <v>530</v>
      </c>
      <c r="C4" s="4" t="s">
        <v>531</v>
      </c>
      <c r="D4" s="4" t="s">
        <v>532</v>
      </c>
      <c r="E4" s="4" t="s">
        <v>533</v>
      </c>
      <c r="F4" s="4" t="s">
        <v>534</v>
      </c>
      <c r="G4" s="4" t="s">
        <v>535</v>
      </c>
    </row>
    <row r="5" ht="14.25" customHeight="1">
      <c r="A5" s="6" t="s">
        <v>536</v>
      </c>
      <c r="B5" s="16">
        <f>Supuestos!$H$108</f>
        <v>156810.9746</v>
      </c>
      <c r="C5" s="16">
        <f>Supuestos!$I$108</f>
        <v>57810.97465</v>
      </c>
      <c r="D5" s="16">
        <f>Supuestos!$J$108</f>
        <v>191000</v>
      </c>
      <c r="E5" s="16">
        <f>Supuestos!$K$108</f>
        <v>71310.97465</v>
      </c>
      <c r="F5" s="16">
        <f>Supuestos!$L$108</f>
        <v>15000</v>
      </c>
      <c r="G5" s="6" t="s">
        <v>204</v>
      </c>
    </row>
    <row r="6" ht="14.25" customHeight="1">
      <c r="A6" s="6" t="s">
        <v>537</v>
      </c>
      <c r="B6" s="65">
        <f>SUM(Calculo!$D$223:$M$223)</f>
        <v>1519.579482</v>
      </c>
      <c r="C6" s="65">
        <f>SUM(Calculo!$D$235:$M$235)</f>
        <v>1604.084582</v>
      </c>
      <c r="D6" s="65">
        <f>SUM(Calculo!$D$159:$M$159)</f>
        <v>1499.562809</v>
      </c>
      <c r="E6" s="65">
        <f>SUM(Calculo!$D$259:$M$259)</f>
        <v>1581.731689</v>
      </c>
      <c r="F6" s="65">
        <f>SUM(Calculo!$D$271:$M$271)</f>
        <v>1480.986845</v>
      </c>
      <c r="G6" s="6" t="s">
        <v>119</v>
      </c>
    </row>
    <row r="7" ht="14.25" customHeight="1">
      <c r="A7" s="6" t="s">
        <v>538</v>
      </c>
      <c r="B7" s="65">
        <f>B6-SUM(Calculo!$D$41:$M$41)</f>
        <v>209.5942747</v>
      </c>
      <c r="C7" s="65">
        <f>C6-SUM(Calculo!$D$41:$M$41)</f>
        <v>294.0993747</v>
      </c>
      <c r="D7" s="65">
        <f>D6-SUM(Calculo!$D$41:$M$41)</f>
        <v>189.577602</v>
      </c>
      <c r="E7" s="65">
        <f>E6-SUM(Calculo!$D$41:$M$41)</f>
        <v>271.7464815</v>
      </c>
      <c r="F7" s="65">
        <f>F6-SUM(Calculo!$D$41:$M$41)</f>
        <v>171.0016377</v>
      </c>
      <c r="G7" s="6" t="s">
        <v>119</v>
      </c>
    </row>
    <row r="8" ht="14.25" customHeight="1">
      <c r="A8" s="6" t="s">
        <v>539</v>
      </c>
      <c r="B8" s="51">
        <f>SUM(Calculo!$D$41:$M$41)/B6</f>
        <v>0.8620708708</v>
      </c>
      <c r="C8" s="51">
        <f>SUM(Calculo!$D$41:$M$41)/C6</f>
        <v>0.8166559432</v>
      </c>
      <c r="D8" s="51">
        <f>SUM(Calculo!$D$41:$M$41)/D6</f>
        <v>0.873578085</v>
      </c>
      <c r="E8" s="51">
        <f>SUM(Calculo!$D$41:$M$41)/E6</f>
        <v>0.8281968532</v>
      </c>
      <c r="F8" s="51">
        <f>SUM(Calculo!$D$41:$M$41)/F6</f>
        <v>0.8845353432</v>
      </c>
      <c r="G8" s="6" t="s">
        <v>541</v>
      </c>
    </row>
    <row r="9" ht="14.25" customHeight="1">
      <c r="A9" s="6" t="s">
        <v>543</v>
      </c>
      <c r="B9" s="16">
        <f>SUM(Calculo!$D$222:$M$222)</f>
        <v>1839705.575</v>
      </c>
      <c r="C9" s="16">
        <f>SUM(Calculo!$D$234:$M$234)</f>
        <v>2054099.592</v>
      </c>
      <c r="D9" s="16">
        <f>SUM(Calculo!$D$246:$M$246)</f>
        <v>1840424.857</v>
      </c>
      <c r="E9" s="16">
        <f>SUM(Calculo!$D$258:$M$258)</f>
        <v>1957422.77</v>
      </c>
      <c r="F9" s="16">
        <f>SUM(Calculo!$D$270:$M$270)</f>
        <v>1963235.24</v>
      </c>
      <c r="G9" s="6" t="s">
        <v>204</v>
      </c>
    </row>
    <row r="10" ht="14.25" customHeight="1">
      <c r="A10" s="6" t="s">
        <v>544</v>
      </c>
      <c r="B10" s="16">
        <f t="array" ref="B10">INDEX(Calculo!$D$231:$M$231,MATCH(Supuestos!$B$21,Calculo!$D$4:$M$4,0))</f>
        <v>421272.6453</v>
      </c>
      <c r="C10" s="16">
        <f t="array" ref="C10">INDEX(Calculo!$D$243:$M$243,MATCH(Supuestos!$B$21,Calculo!$D$4:$M$4,0))</f>
        <v>465758.7321</v>
      </c>
      <c r="D10" s="16">
        <f t="array" ref="D10">INDEX(Calculo!$D$255:$M$255,MATCH(Supuestos!$B$21,Calculo!$D$4:$M$4,0))</f>
        <v>423638.6716</v>
      </c>
      <c r="E10" s="16">
        <f t="array" ref="E10">INDEX(Calculo!$D$267:$M$267,MATCH(Supuestos!$B$21,Calculo!$D$4:$M$4,0))</f>
        <v>442735.2859</v>
      </c>
      <c r="F10" s="16">
        <f t="array" ref="F10">INDEX(Calculo!$D$279:$M$279,MATCH(Supuestos!$B$21,Calculo!$D$4:$M$4,0))</f>
        <v>444537.0274</v>
      </c>
      <c r="G10" s="6" t="s">
        <v>545</v>
      </c>
    </row>
    <row r="11" ht="14.25" customHeight="1">
      <c r="A11" s="6" t="s">
        <v>546</v>
      </c>
      <c r="B11" s="16">
        <f>SUM(Calculo!$D$231:$M$231)</f>
        <v>1870310.638</v>
      </c>
      <c r="C11" s="16">
        <f>SUM(Calculo!$D$243:$M$243)</f>
        <v>2042947.541</v>
      </c>
      <c r="D11" s="16">
        <f>SUM(Calculo!$D$255:$M$255)</f>
        <v>1892177.92</v>
      </c>
      <c r="E11" s="16">
        <f>SUM(Calculo!$D$267:$M$267)</f>
        <v>1946376.616</v>
      </c>
      <c r="F11" s="16">
        <f>SUM(Calculo!$D$279:$M$279)</f>
        <v>1944677.935</v>
      </c>
      <c r="G11" s="6" t="s">
        <v>548</v>
      </c>
    </row>
    <row r="12" ht="14.25" customHeight="1">
      <c r="A12" s="6" t="s">
        <v>549</v>
      </c>
      <c r="B12" s="80">
        <f>B5+SUMPRODUCT(Calculo!$D$231:$M$231,Calculo!$D$282:$M$282)</f>
        <v>970647.5632</v>
      </c>
      <c r="C12" s="80">
        <f>C5+SUMPRODUCT(Calculo!$D$243:$M$243,Calculo!$D$282:$M$282)</f>
        <v>941470.0199</v>
      </c>
      <c r="D12" s="80">
        <f>D5+SUMPRODUCT(Calculo!$D$255:$M$255,Calculo!$D$282:$M$282)</f>
        <v>1016372.249</v>
      </c>
      <c r="E12" s="80">
        <f>E5+SUMPRODUCT(Calculo!$D$267:$M$267,Calculo!$D$282:$M$282)</f>
        <v>914216.354</v>
      </c>
      <c r="F12" s="80">
        <f>F5+SUMPRODUCT(Calculo!$D$279:$M$279,Calculo!$D$282:$M$282)</f>
        <v>854876.9068</v>
      </c>
      <c r="G12" s="6" t="s">
        <v>551</v>
      </c>
    </row>
    <row r="13" ht="14.25" customHeight="1">
      <c r="A13" s="6" t="s">
        <v>552</v>
      </c>
      <c r="B13" s="81">
        <f t="shared" ref="B13:F13" si="1">RANK(B12,$B$12:$F$12,1)</f>
        <v>4</v>
      </c>
      <c r="C13" s="81">
        <f t="shared" si="1"/>
        <v>3</v>
      </c>
      <c r="D13" s="81">
        <f t="shared" si="1"/>
        <v>5</v>
      </c>
      <c r="E13" s="81">
        <f t="shared" si="1"/>
        <v>2</v>
      </c>
      <c r="F13" s="81">
        <f t="shared" si="1"/>
        <v>1</v>
      </c>
      <c r="G13" s="6"/>
    </row>
    <row r="14" ht="14.25" customHeight="1">
      <c r="A14" s="6" t="s">
        <v>553</v>
      </c>
      <c r="B14" s="81">
        <f t="shared" ref="B14:E14" si="2">RANK(B12,$B$12:$E$12,1)</f>
        <v>3</v>
      </c>
      <c r="C14" s="81">
        <f t="shared" si="2"/>
        <v>2</v>
      </c>
      <c r="D14" s="81">
        <f t="shared" si="2"/>
        <v>4</v>
      </c>
      <c r="E14" s="81">
        <f t="shared" si="2"/>
        <v>1</v>
      </c>
      <c r="F14" s="81" t="str">
        <f>"—"</f>
        <v>—</v>
      </c>
      <c r="G14" s="6"/>
    </row>
    <row r="15" ht="14.25" customHeight="1">
      <c r="A15" s="6" t="s">
        <v>554</v>
      </c>
      <c r="B15" s="16">
        <f t="shared" ref="B15:F15" si="3">B12-$E$12</f>
        <v>56431.20917</v>
      </c>
      <c r="C15" s="16">
        <f t="shared" si="3"/>
        <v>27253.66586</v>
      </c>
      <c r="D15" s="16">
        <f t="shared" si="3"/>
        <v>102155.8946</v>
      </c>
      <c r="E15" s="16">
        <f t="shared" si="3"/>
        <v>0</v>
      </c>
      <c r="F15" s="16">
        <f t="shared" si="3"/>
        <v>-59339.44722</v>
      </c>
      <c r="G15" s="6" t="s">
        <v>555</v>
      </c>
    </row>
    <row r="16" ht="14.25" customHeight="1">
      <c r="A16" s="6" t="s">
        <v>556</v>
      </c>
      <c r="B16" s="65">
        <f t="array" ref="B16">INDEX(Calculo!$D$226:$M$226,MATCH(Supuestos!$B$21,Calculo!$D$4:$M$4,0))</f>
        <v>25.5612857</v>
      </c>
      <c r="C16" s="65">
        <f t="array" ref="C16">INDEX(Calculo!$D$238:$M$238,MATCH(Supuestos!$B$21,Calculo!$D$4:$M$4,0))</f>
        <v>29.4336514</v>
      </c>
      <c r="D16" s="65">
        <f t="array" ref="D16">INDEX(Calculo!$D$249:$M$249,MATCH(Supuestos!$B$21,Calculo!$D$4:$M$4,0))</f>
        <v>38.20954676</v>
      </c>
      <c r="E16" s="65">
        <f t="array" ref="E16">INDEX(Calculo!$D$262:$M$262,MATCH(Supuestos!$B$21,Calculo!$D$4:$M$4,0))</f>
        <v>26.4735329</v>
      </c>
      <c r="F16" s="65">
        <f t="array" ref="F16">INDEX(Calculo!$D$274:$M$274,MATCH(Supuestos!$B$21,Calculo!$D$4:$M$4,0))</f>
        <v>24.63635837</v>
      </c>
      <c r="G16" s="6" t="s">
        <v>119</v>
      </c>
    </row>
    <row r="17" ht="14.25" customHeight="1">
      <c r="A17" s="6" t="s">
        <v>561</v>
      </c>
      <c r="B17" s="16">
        <f t="array" ref="B17">INDEX(Calculo!$D$228:$M$228,MATCH(Supuestos!$B$21,Calculo!$D$4:$M$4,0))</f>
        <v>544.8808431</v>
      </c>
      <c r="C17" s="16">
        <f t="array" ref="C17">INDEX(Calculo!$D$240:$M$240,MATCH(Supuestos!$B$21,Calculo!$D$4:$M$4,0))</f>
        <v>926.9400804</v>
      </c>
      <c r="D17" s="16">
        <f t="array" ref="D17">INDEX(Calculo!$D$252:$M$252,MATCH(Supuestos!$B$21,Calculo!$D$4:$M$4,0))</f>
        <v>246.7217588</v>
      </c>
      <c r="E17" s="16">
        <f t="array" ref="E17">INDEX(Calculo!$D$264:$M$264,MATCH(Supuestos!$B$21,Calculo!$D$4:$M$4,0))</f>
        <v>627.1489759</v>
      </c>
      <c r="F17" s="16">
        <f t="array" ref="F17">INDEX(Calculo!$D$276:$M$276,MATCH(Supuestos!$B$21,Calculo!$D$4:$M$4,0))</f>
        <v>49.61125981</v>
      </c>
      <c r="G17" s="6" t="s">
        <v>170</v>
      </c>
    </row>
    <row r="18" ht="14.25" customHeight="1">
      <c r="A18" s="6" t="s">
        <v>568</v>
      </c>
      <c r="B18" s="33">
        <f>B17/Supuestos!$B$42</f>
        <v>0.3027115795</v>
      </c>
      <c r="C18" s="33">
        <f>C17/Supuestos!$B$42</f>
        <v>0.5149667114</v>
      </c>
      <c r="D18" s="33">
        <f>D17/Supuestos!$B$42</f>
        <v>0.1370676438</v>
      </c>
      <c r="E18" s="33">
        <f>E17/Supuestos!$B$42</f>
        <v>0.3484160977</v>
      </c>
      <c r="F18" s="33">
        <f>F17/Supuestos!$B$42</f>
        <v>0.027561811</v>
      </c>
      <c r="G18" s="6" t="s">
        <v>168</v>
      </c>
    </row>
    <row r="19" ht="14.25" customHeight="1"/>
    <row r="20" ht="14.25" customHeight="1">
      <c r="A20" s="5" t="s">
        <v>575</v>
      </c>
      <c r="B20" s="82" t="str">
        <f t="array" ref="B20">INDEX($B$4:$E$4,MATCH(1,$B$14:$E$14,0))</f>
        <v>D: hojas + fleje</v>
      </c>
    </row>
    <row r="21" ht="14.25" customHeight="1">
      <c r="A21" s="7" t="s">
        <v>578</v>
      </c>
      <c r="B21" s="51">
        <f>(B12-E12)/SUMPRODUCT(Calculo!$D$216:$M$216,Calculo!$D$282:$M$282)</f>
        <v>0.1003144751</v>
      </c>
    </row>
    <row r="22" ht="14.25" customHeight="1">
      <c r="A22" s="7" t="s">
        <v>579</v>
      </c>
      <c r="B22" s="51">
        <f>(C12-E12)/SUMPRODUCT(Calculo!$D$215:$M$215,Calculo!$D$282:$M$282)</f>
        <v>0.09661583998</v>
      </c>
    </row>
    <row r="23" ht="14.25" customHeight="1"/>
    <row r="24" ht="14.25" customHeight="1">
      <c r="A24" s="3" t="s">
        <v>580</v>
      </c>
    </row>
    <row r="25" ht="31.5" customHeight="1">
      <c r="A25" s="4" t="s">
        <v>581</v>
      </c>
      <c r="B25" s="4" t="s">
        <v>495</v>
      </c>
      <c r="C25" s="4" t="s">
        <v>518</v>
      </c>
      <c r="D25" s="4" t="s">
        <v>582</v>
      </c>
      <c r="E25" s="4" t="s">
        <v>496</v>
      </c>
      <c r="F25" s="4" t="s">
        <v>583</v>
      </c>
      <c r="G25" s="4" t="s">
        <v>584</v>
      </c>
    </row>
    <row r="26" ht="14.25" customHeight="1">
      <c r="A26" s="7" t="s">
        <v>585</v>
      </c>
      <c r="B26" s="65">
        <f t="array" ref="B26">INDEX(Calculo!$D$74:$M$74,MATCH(Supuestos!$B$21,Calculo!$D$4:$M$4,0))</f>
        <v>125.3327434</v>
      </c>
      <c r="C26" s="51">
        <f t="array" ref="C26">INDEX(Calculo!$D$39:$M$39,MATCH(Supuestos!$B$21,Calculo!$D$4:$M$4,0))/B26</f>
        <v>0.685715575</v>
      </c>
      <c r="D26" s="16">
        <f t="array" ref="D26">INDEX(Calculo!$D$215:$M$215,MATCH(Supuestos!$B$21,Calculo!$D$4:$M$4,0))</f>
        <v>151352.6366</v>
      </c>
      <c r="E26" s="65">
        <f t="array" ref="E26">B26-INDEX(Calculo!$D$39:$M$39,MATCH(Supuestos!$B$21,Calculo!$D$4:$M$4,0))</f>
        <v>39.39012921</v>
      </c>
      <c r="F26" s="16">
        <f t="array" ref="F26">INDEX(Calculo!$D$210:$M$210,MATCH(Supuestos!$B$21,Calculo!$D$4:$M$4,0))*Supuestos!$B$38/60</f>
        <v>49.61125981</v>
      </c>
      <c r="G26" s="32">
        <f>D26-E26*Supuestos!$B$7+F26*Supuestos!$B$48</f>
        <v>141816.7286</v>
      </c>
    </row>
    <row r="27" ht="14.25" customHeight="1">
      <c r="A27" s="7" t="s">
        <v>587</v>
      </c>
      <c r="B27" s="65">
        <f t="array" ref="B27">INDEX(Calculo!$D$134:$M$134,MATCH(Supuestos!$B$21,Calculo!$D$4:$M$4,0))</f>
        <v>130.4859958</v>
      </c>
      <c r="C27" s="51">
        <f t="array" ref="C27">INDEX(Calculo!$D$39:$M$39,MATCH(Supuestos!$B$21,Calculo!$D$4:$M$4,0))/B27</f>
        <v>0.658634773</v>
      </c>
      <c r="D27" s="16">
        <f t="array" ref="D27">INDEX(Calculo!$D$217:$M$217,MATCH(Supuestos!$B$21,Calculo!$D$4:$M$4,0))</f>
        <v>173594.1009</v>
      </c>
      <c r="E27" s="65">
        <f t="array" ref="E27">B27-INDEX(Calculo!$D$39:$M$39,MATCH(Supuestos!$B$21,Calculo!$D$4:$M$4,0))</f>
        <v>44.54338158</v>
      </c>
      <c r="F27" s="16">
        <f t="array" ref="F27">INDEX(Calculo!$D$156:$M$156,MATCH(Supuestos!$B$21,Calculo!$D$4:$M$4,0))/Supuestos!$B$36+INDEX(Calculo!$D$145:$M$145,MATCH(Supuestos!$B$21,Calculo!$D$4:$M$4,0))*Supuestos!$B$37/3600</f>
        <v>349.4023644</v>
      </c>
      <c r="G27" s="32">
        <f>D27-E27*Supuestos!$B$7+F27*Supuestos!$B$48</f>
        <v>164652.9649</v>
      </c>
    </row>
    <row r="28" ht="14.25" customHeight="1">
      <c r="A28" s="5" t="s">
        <v>590</v>
      </c>
      <c r="G28" s="26">
        <f>G27-G26</f>
        <v>22836.23627</v>
      </c>
    </row>
    <row r="29" ht="14.25" customHeight="1">
      <c r="A29" s="2" t="s">
        <v>596</v>
      </c>
    </row>
    <row r="30" ht="14.25" customHeight="1"/>
    <row r="31" ht="14.25" customHeight="1">
      <c r="A31" s="3" t="s">
        <v>599</v>
      </c>
    </row>
    <row r="32" ht="14.25" customHeight="1">
      <c r="A32" s="4" t="s">
        <v>601</v>
      </c>
      <c r="B32" s="4" t="s">
        <v>603</v>
      </c>
      <c r="C32" s="4" t="s">
        <v>604</v>
      </c>
      <c r="D32" s="4" t="s">
        <v>605</v>
      </c>
      <c r="E32" s="4" t="s">
        <v>606</v>
      </c>
      <c r="F32" s="4" t="s">
        <v>607</v>
      </c>
    </row>
    <row r="33" ht="14.25" customHeight="1">
      <c r="A33" s="14">
        <v>-0.1</v>
      </c>
      <c r="B33" s="16">
        <f t="shared" ref="B33:B39" si="4">$B$12</f>
        <v>970647.5632</v>
      </c>
      <c r="C33" s="16">
        <f>$C$12+A33*SUMPRODUCT(Calculo!$D$234:$M$234,Calculo!$D$282:$M$282)</f>
        <v>852854.4683</v>
      </c>
      <c r="D33" s="16">
        <f t="shared" ref="D33:D39" si="5">$D$12</f>
        <v>1016372.249</v>
      </c>
      <c r="E33" s="16">
        <f>$E$12+A33*SUMPRODUCT(Calculo!$D$216:$M$216,Calculo!$D$282:$M$282)</f>
        <v>857962.0506</v>
      </c>
      <c r="F33" s="7" t="str">
        <f t="shared" ref="F33:F39" si="6">INDEX($B$32:$E$32,MATCH(MIN(B33:E33),B33:E33,0))</f>
        <v>B</v>
      </c>
    </row>
    <row r="34" ht="14.25" customHeight="1">
      <c r="A34" s="14">
        <v>-0.05</v>
      </c>
      <c r="B34" s="16">
        <f t="shared" si="4"/>
        <v>970647.5632</v>
      </c>
      <c r="C34" s="16">
        <f>$C$12+A34*SUMPRODUCT(Calculo!$D$234:$M$234,Calculo!$D$282:$M$282)</f>
        <v>897162.2441</v>
      </c>
      <c r="D34" s="16">
        <f t="shared" si="5"/>
        <v>1016372.249</v>
      </c>
      <c r="E34" s="16">
        <f>$E$12+A34*SUMPRODUCT(Calculo!$D$216:$M$216,Calculo!$D$282:$M$282)</f>
        <v>886089.2023</v>
      </c>
      <c r="F34" s="7" t="str">
        <f t="shared" si="6"/>
        <v>D</v>
      </c>
    </row>
    <row r="35" ht="14.25" customHeight="1">
      <c r="A35" s="14">
        <v>0.0</v>
      </c>
      <c r="B35" s="16">
        <f t="shared" si="4"/>
        <v>970647.5632</v>
      </c>
      <c r="C35" s="16">
        <f>$C$12+A35*SUMPRODUCT(Calculo!$D$234:$M$234,Calculo!$D$282:$M$282)</f>
        <v>941470.0199</v>
      </c>
      <c r="D35" s="16">
        <f t="shared" si="5"/>
        <v>1016372.249</v>
      </c>
      <c r="E35" s="16">
        <f>$E$12+A35*SUMPRODUCT(Calculo!$D$216:$M$216,Calculo!$D$282:$M$282)</f>
        <v>914216.354</v>
      </c>
      <c r="F35" s="7" t="str">
        <f t="shared" si="6"/>
        <v>D</v>
      </c>
    </row>
    <row r="36" ht="14.25" customHeight="1">
      <c r="A36" s="14">
        <v>0.05</v>
      </c>
      <c r="B36" s="16">
        <f t="shared" si="4"/>
        <v>970647.5632</v>
      </c>
      <c r="C36" s="16">
        <f>$C$12+A36*SUMPRODUCT(Calculo!$D$234:$M$234,Calculo!$D$282:$M$282)</f>
        <v>985777.7956</v>
      </c>
      <c r="D36" s="16">
        <f t="shared" si="5"/>
        <v>1016372.249</v>
      </c>
      <c r="E36" s="16">
        <f>$E$12+A36*SUMPRODUCT(Calculo!$D$216:$M$216,Calculo!$D$282:$M$282)</f>
        <v>942343.5057</v>
      </c>
      <c r="F36" s="7" t="str">
        <f t="shared" si="6"/>
        <v>D</v>
      </c>
    </row>
    <row r="37" ht="14.25" customHeight="1">
      <c r="A37" s="14">
        <v>0.1</v>
      </c>
      <c r="B37" s="16">
        <f t="shared" si="4"/>
        <v>970647.5632</v>
      </c>
      <c r="C37" s="16">
        <f>$C$12+A37*SUMPRODUCT(Calculo!$D$234:$M$234,Calculo!$D$282:$M$282)</f>
        <v>1030085.571</v>
      </c>
      <c r="D37" s="16">
        <f t="shared" si="5"/>
        <v>1016372.249</v>
      </c>
      <c r="E37" s="16">
        <f>$E$12+A37*SUMPRODUCT(Calculo!$D$216:$M$216,Calculo!$D$282:$M$282)</f>
        <v>970470.6574</v>
      </c>
      <c r="F37" s="7" t="str">
        <f t="shared" si="6"/>
        <v>D</v>
      </c>
    </row>
    <row r="38" ht="14.25" customHeight="1">
      <c r="A38" s="14">
        <v>0.15</v>
      </c>
      <c r="B38" s="16">
        <f t="shared" si="4"/>
        <v>970647.5632</v>
      </c>
      <c r="C38" s="16">
        <f>$C$12+A38*SUMPRODUCT(Calculo!$D$234:$M$234,Calculo!$D$282:$M$282)</f>
        <v>1074393.347</v>
      </c>
      <c r="D38" s="16">
        <f t="shared" si="5"/>
        <v>1016372.249</v>
      </c>
      <c r="E38" s="16">
        <f>$E$12+A38*SUMPRODUCT(Calculo!$D$216:$M$216,Calculo!$D$282:$M$282)</f>
        <v>998597.8091</v>
      </c>
      <c r="F38" s="7" t="str">
        <f t="shared" si="6"/>
        <v>A</v>
      </c>
    </row>
    <row r="39" ht="14.25" customHeight="1">
      <c r="A39" s="14">
        <v>0.2</v>
      </c>
      <c r="B39" s="16">
        <f t="shared" si="4"/>
        <v>970647.5632</v>
      </c>
      <c r="C39" s="16">
        <f>$C$12+A39*SUMPRODUCT(Calculo!$D$234:$M$234,Calculo!$D$282:$M$282)</f>
        <v>1118701.123</v>
      </c>
      <c r="D39" s="16">
        <f t="shared" si="5"/>
        <v>1016372.249</v>
      </c>
      <c r="E39" s="16">
        <f>$E$12+A39*SUMPRODUCT(Calculo!$D$216:$M$216,Calculo!$D$282:$M$282)</f>
        <v>1026724.961</v>
      </c>
      <c r="F39" s="7" t="str">
        <f t="shared" si="6"/>
        <v>A</v>
      </c>
    </row>
    <row r="40" ht="14.25" customHeight="1"/>
    <row r="41" ht="14.25" customHeight="1">
      <c r="A41" s="3" t="s">
        <v>613</v>
      </c>
    </row>
    <row r="42" ht="14.25" customHeight="1">
      <c r="A42" s="4" t="s">
        <v>614</v>
      </c>
      <c r="B42" s="4" t="s">
        <v>603</v>
      </c>
      <c r="C42" s="4" t="s">
        <v>604</v>
      </c>
      <c r="D42" s="4" t="s">
        <v>605</v>
      </c>
      <c r="E42" s="4" t="s">
        <v>606</v>
      </c>
      <c r="F42" s="4" t="s">
        <v>607</v>
      </c>
    </row>
    <row r="43" ht="14.25" customHeight="1">
      <c r="A43" s="14">
        <v>-0.1</v>
      </c>
      <c r="B43" s="16">
        <f>$B$12+A43*SUMPRODUCT(Calculo!$D$215:$M$215,Calculo!$D$282:$M$282)</f>
        <v>942439.284</v>
      </c>
      <c r="C43" s="16">
        <f t="shared" ref="C43:C47" si="7">$C$12</f>
        <v>941470.0199</v>
      </c>
      <c r="D43" s="16">
        <f t="shared" ref="D43:D47" si="8">$D$12</f>
        <v>1016372.249</v>
      </c>
      <c r="E43" s="16">
        <f>$E$12+A43*SUMPRODUCT(Calculo!$D$215:$M$215,Calculo!$D$282:$M$282)</f>
        <v>886008.0748</v>
      </c>
      <c r="F43" s="7" t="str">
        <f t="shared" ref="F43:F47" si="9">INDEX($B$42:$E$42,MATCH(MIN(B43:E43),B43:E43,0))</f>
        <v>D</v>
      </c>
    </row>
    <row r="44" ht="14.25" customHeight="1">
      <c r="A44" s="14">
        <v>0.0</v>
      </c>
      <c r="B44" s="16">
        <f>$B$12+A44*SUMPRODUCT(Calculo!$D$215:$M$215,Calculo!$D$282:$M$282)</f>
        <v>970647.5632</v>
      </c>
      <c r="C44" s="16">
        <f t="shared" si="7"/>
        <v>941470.0199</v>
      </c>
      <c r="D44" s="16">
        <f t="shared" si="8"/>
        <v>1016372.249</v>
      </c>
      <c r="E44" s="16">
        <f>$E$12+A44*SUMPRODUCT(Calculo!$D$215:$M$215,Calculo!$D$282:$M$282)</f>
        <v>914216.354</v>
      </c>
      <c r="F44" s="7" t="str">
        <f t="shared" si="9"/>
        <v>D</v>
      </c>
    </row>
    <row r="45" ht="14.25" customHeight="1">
      <c r="A45" s="14">
        <v>0.1</v>
      </c>
      <c r="B45" s="16">
        <f>$B$12+A45*SUMPRODUCT(Calculo!$D$215:$M$215,Calculo!$D$282:$M$282)</f>
        <v>998855.8423</v>
      </c>
      <c r="C45" s="16">
        <f t="shared" si="7"/>
        <v>941470.0199</v>
      </c>
      <c r="D45" s="16">
        <f t="shared" si="8"/>
        <v>1016372.249</v>
      </c>
      <c r="E45" s="16">
        <f>$E$12+A45*SUMPRODUCT(Calculo!$D$215:$M$215,Calculo!$D$282:$M$282)</f>
        <v>942424.6332</v>
      </c>
      <c r="F45" s="7" t="str">
        <f t="shared" si="9"/>
        <v>B</v>
      </c>
    </row>
    <row r="46" ht="14.25" customHeight="1">
      <c r="A46" s="14">
        <v>0.2</v>
      </c>
      <c r="B46" s="16">
        <f>$B$12+A46*SUMPRODUCT(Calculo!$D$215:$M$215,Calculo!$D$282:$M$282)</f>
        <v>1027064.121</v>
      </c>
      <c r="C46" s="16">
        <f t="shared" si="7"/>
        <v>941470.0199</v>
      </c>
      <c r="D46" s="16">
        <f t="shared" si="8"/>
        <v>1016372.249</v>
      </c>
      <c r="E46" s="16">
        <f>$E$12+A46*SUMPRODUCT(Calculo!$D$215:$M$215,Calculo!$D$282:$M$282)</f>
        <v>970632.9123</v>
      </c>
      <c r="F46" s="7" t="str">
        <f t="shared" si="9"/>
        <v>B</v>
      </c>
    </row>
    <row r="47" ht="14.25" customHeight="1">
      <c r="A47" s="14">
        <v>0.3</v>
      </c>
      <c r="B47" s="16">
        <f>$B$12+A47*SUMPRODUCT(Calculo!$D$215:$M$215,Calculo!$D$282:$M$282)</f>
        <v>1055272.401</v>
      </c>
      <c r="C47" s="16">
        <f t="shared" si="7"/>
        <v>941470.0199</v>
      </c>
      <c r="D47" s="16">
        <f t="shared" si="8"/>
        <v>1016372.249</v>
      </c>
      <c r="E47" s="16">
        <f>$E$12+A47*SUMPRODUCT(Calculo!$D$215:$M$215,Calculo!$D$282:$M$282)</f>
        <v>998841.1915</v>
      </c>
      <c r="F47" s="7" t="str">
        <f t="shared" si="9"/>
        <v>B</v>
      </c>
    </row>
    <row r="48" ht="14.25" customHeight="1"/>
    <row r="49" ht="14.25" customHeight="1">
      <c r="A49" s="3" t="s">
        <v>619</v>
      </c>
    </row>
    <row r="50" ht="14.25" customHeight="1">
      <c r="A50" s="4" t="s">
        <v>620</v>
      </c>
      <c r="B50" s="4" t="s">
        <v>603</v>
      </c>
      <c r="C50" s="4" t="s">
        <v>604</v>
      </c>
      <c r="D50" s="4" t="s">
        <v>605</v>
      </c>
      <c r="E50" s="4" t="s">
        <v>606</v>
      </c>
      <c r="F50" s="4" t="s">
        <v>607</v>
      </c>
    </row>
    <row r="51" ht="14.25" customHeight="1">
      <c r="A51" s="8">
        <v>40000.0</v>
      </c>
      <c r="B51" s="16">
        <f>$B$12+(A51-Supuestos!$B$96)*Supuestos!$C$96*(1+Supuestos!$B$18*SUM(Calculo!$D$282:$M$282))</f>
        <v>923867.2955</v>
      </c>
      <c r="C51" s="16">
        <f t="shared" ref="C51:C55" si="10">$C$12</f>
        <v>941470.0199</v>
      </c>
      <c r="D51" s="16">
        <f>$D$12+(A51-Supuestos!$B$96)*Supuestos!$E$96*(1+Supuestos!$B$18*SUM(Calculo!$D$282:$M$282))</f>
        <v>969591.981</v>
      </c>
      <c r="E51" s="16">
        <f t="shared" ref="E51:E55" si="11">$E$12</f>
        <v>914216.354</v>
      </c>
      <c r="F51" s="7" t="str">
        <f t="shared" ref="F51:F55" si="12">INDEX($B$50:$E$50,MATCH(MIN(B51:E51),B51:E51,0))</f>
        <v>D</v>
      </c>
    </row>
    <row r="52" ht="14.25" customHeight="1">
      <c r="A52" s="8">
        <v>60000.0</v>
      </c>
      <c r="B52" s="16">
        <f>$B$12+(A52-Supuestos!$B$96)*Supuestos!$C$96*(1+Supuestos!$B$18*SUM(Calculo!$D$282:$M$282))</f>
        <v>947257.4294</v>
      </c>
      <c r="C52" s="16">
        <f t="shared" si="10"/>
        <v>941470.0199</v>
      </c>
      <c r="D52" s="16">
        <f>$D$12+(A52-Supuestos!$B$96)*Supuestos!$E$96*(1+Supuestos!$B$18*SUM(Calculo!$D$282:$M$282))</f>
        <v>992982.1148</v>
      </c>
      <c r="E52" s="16">
        <f t="shared" si="11"/>
        <v>914216.354</v>
      </c>
      <c r="F52" s="7" t="str">
        <f t="shared" si="12"/>
        <v>D</v>
      </c>
    </row>
    <row r="53" ht="14.25" customHeight="1">
      <c r="A53" s="8">
        <v>80000.0</v>
      </c>
      <c r="B53" s="16">
        <f>$B$12+(A53-Supuestos!$B$96)*Supuestos!$C$96*(1+Supuestos!$B$18*SUM(Calculo!$D$282:$M$282))</f>
        <v>970647.5632</v>
      </c>
      <c r="C53" s="16">
        <f t="shared" si="10"/>
        <v>941470.0199</v>
      </c>
      <c r="D53" s="16">
        <f>$D$12+(A53-Supuestos!$B$96)*Supuestos!$E$96*(1+Supuestos!$B$18*SUM(Calculo!$D$282:$M$282))</f>
        <v>1016372.249</v>
      </c>
      <c r="E53" s="16">
        <f t="shared" si="11"/>
        <v>914216.354</v>
      </c>
      <c r="F53" s="7" t="str">
        <f t="shared" si="12"/>
        <v>D</v>
      </c>
    </row>
    <row r="54" ht="14.25" customHeight="1">
      <c r="A54" s="8">
        <v>100000.0</v>
      </c>
      <c r="B54" s="16">
        <f>$B$12+(A54-Supuestos!$B$96)*Supuestos!$C$96*(1+Supuestos!$B$18*SUM(Calculo!$D$282:$M$282))</f>
        <v>994037.697</v>
      </c>
      <c r="C54" s="16">
        <f t="shared" si="10"/>
        <v>941470.0199</v>
      </c>
      <c r="D54" s="16">
        <f>$D$12+(A54-Supuestos!$B$96)*Supuestos!$E$96*(1+Supuestos!$B$18*SUM(Calculo!$D$282:$M$282))</f>
        <v>1039762.382</v>
      </c>
      <c r="E54" s="16">
        <f t="shared" si="11"/>
        <v>914216.354</v>
      </c>
      <c r="F54" s="7" t="str">
        <f t="shared" si="12"/>
        <v>D</v>
      </c>
    </row>
    <row r="55" ht="14.25" customHeight="1">
      <c r="A55" s="8">
        <v>130000.0</v>
      </c>
      <c r="B55" s="16">
        <f>$B$12+(A55-Supuestos!$B$96)*Supuestos!$C$96*(1+Supuestos!$B$18*SUM(Calculo!$D$282:$M$282))</f>
        <v>1029122.898</v>
      </c>
      <c r="C55" s="16">
        <f t="shared" si="10"/>
        <v>941470.0199</v>
      </c>
      <c r="D55" s="16">
        <f>$D$12+(A55-Supuestos!$B$96)*Supuestos!$E$96*(1+Supuestos!$B$18*SUM(Calculo!$D$282:$M$282))</f>
        <v>1074847.583</v>
      </c>
      <c r="E55" s="16">
        <f t="shared" si="11"/>
        <v>914216.354</v>
      </c>
      <c r="F55" s="7" t="str">
        <f t="shared" si="12"/>
        <v>D</v>
      </c>
    </row>
    <row r="56" ht="14.25" customHeight="1"/>
    <row r="57" ht="14.25" customHeight="1">
      <c r="A57" s="3" t="s">
        <v>624</v>
      </c>
    </row>
    <row r="58" ht="14.25" customHeight="1">
      <c r="A58" s="4" t="s">
        <v>625</v>
      </c>
      <c r="B58" s="4" t="s">
        <v>603</v>
      </c>
      <c r="C58" s="4" t="s">
        <v>604</v>
      </c>
      <c r="D58" s="4" t="s">
        <v>605</v>
      </c>
      <c r="E58" s="4" t="s">
        <v>606</v>
      </c>
      <c r="F58" s="4" t="s">
        <v>607</v>
      </c>
    </row>
    <row r="59" ht="14.25" customHeight="1">
      <c r="A59" s="8">
        <v>30000.0</v>
      </c>
      <c r="B59" s="16">
        <f t="shared" ref="B59:B63" si="13">$B$12</f>
        <v>970647.5632</v>
      </c>
      <c r="C59" s="16">
        <f t="shared" ref="C59:C63" si="14">$C$12</f>
        <v>941470.0199</v>
      </c>
      <c r="D59" s="16">
        <f>$D$12+(A59-Supuestos!$B$98)*Supuestos!$E$98*(1+Supuestos!$B$18*SUM(Calculo!$D$282:$M$282))</f>
        <v>981287.0479</v>
      </c>
      <c r="E59" s="16">
        <f t="shared" ref="E59:E63" si="15">$E$12</f>
        <v>914216.354</v>
      </c>
      <c r="F59" s="7" t="str">
        <f t="shared" ref="F59:F63" si="16">INDEX($B$58:$E$58,MATCH(MIN(B59:E59),B59:E59,0))</f>
        <v>D</v>
      </c>
    </row>
    <row r="60" ht="14.25" customHeight="1">
      <c r="A60" s="8">
        <v>45000.0</v>
      </c>
      <c r="B60" s="16">
        <f t="shared" si="13"/>
        <v>970647.5632</v>
      </c>
      <c r="C60" s="16">
        <f t="shared" si="14"/>
        <v>941470.0199</v>
      </c>
      <c r="D60" s="16">
        <f>$D$12+(A60-Supuestos!$B$98)*Supuestos!$E$98*(1+Supuestos!$B$18*SUM(Calculo!$D$282:$M$282))</f>
        <v>998829.6482</v>
      </c>
      <c r="E60" s="16">
        <f t="shared" si="15"/>
        <v>914216.354</v>
      </c>
      <c r="F60" s="7" t="str">
        <f t="shared" si="16"/>
        <v>D</v>
      </c>
    </row>
    <row r="61" ht="14.25" customHeight="1">
      <c r="A61" s="8">
        <v>60000.0</v>
      </c>
      <c r="B61" s="16">
        <f t="shared" si="13"/>
        <v>970647.5632</v>
      </c>
      <c r="C61" s="16">
        <f t="shared" si="14"/>
        <v>941470.0199</v>
      </c>
      <c r="D61" s="16">
        <f>$D$12+(A61-Supuestos!$B$98)*Supuestos!$E$98*(1+Supuestos!$B$18*SUM(Calculo!$D$282:$M$282))</f>
        <v>1016372.249</v>
      </c>
      <c r="E61" s="16">
        <f t="shared" si="15"/>
        <v>914216.354</v>
      </c>
      <c r="F61" s="7" t="str">
        <f t="shared" si="16"/>
        <v>D</v>
      </c>
    </row>
    <row r="62" ht="14.25" customHeight="1">
      <c r="A62" s="8">
        <v>90000.0</v>
      </c>
      <c r="B62" s="16">
        <f t="shared" si="13"/>
        <v>970647.5632</v>
      </c>
      <c r="C62" s="16">
        <f t="shared" si="14"/>
        <v>941470.0199</v>
      </c>
      <c r="D62" s="16">
        <f>$D$12+(A62-Supuestos!$B$98)*Supuestos!$E$98*(1+Supuestos!$B$18*SUM(Calculo!$D$282:$M$282))</f>
        <v>1051457.449</v>
      </c>
      <c r="E62" s="16">
        <f t="shared" si="15"/>
        <v>914216.354</v>
      </c>
      <c r="F62" s="7" t="str">
        <f t="shared" si="16"/>
        <v>D</v>
      </c>
    </row>
    <row r="63" ht="14.25" customHeight="1">
      <c r="A63" s="8">
        <v>120000.0</v>
      </c>
      <c r="B63" s="16">
        <f t="shared" si="13"/>
        <v>970647.5632</v>
      </c>
      <c r="C63" s="16">
        <f t="shared" si="14"/>
        <v>941470.0199</v>
      </c>
      <c r="D63" s="16">
        <f>$D$12+(A63-Supuestos!$B$98)*Supuestos!$E$98*(1+Supuestos!$B$18*SUM(Calculo!$D$282:$M$282))</f>
        <v>1086542.65</v>
      </c>
      <c r="E63" s="16">
        <f t="shared" si="15"/>
        <v>914216.354</v>
      </c>
      <c r="F63" s="7" t="str">
        <f t="shared" si="16"/>
        <v>D</v>
      </c>
    </row>
    <row r="64" ht="14.25" customHeight="1"/>
    <row r="65" ht="14.25" customHeight="1">
      <c r="A65" s="2" t="s">
        <v>632</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0"/>
    <col customWidth="1" min="2" max="5" width="18.0"/>
    <col customWidth="1" min="6" max="6" width="26.0"/>
    <col customWidth="1" min="7" max="26" width="8.57"/>
  </cols>
  <sheetData>
    <row r="1" ht="14.25" customHeight="1">
      <c r="A1" s="1" t="s">
        <v>652</v>
      </c>
    </row>
    <row r="2" ht="14.25" customHeight="1">
      <c r="A2" s="2" t="s">
        <v>653</v>
      </c>
    </row>
    <row r="3" ht="14.25" customHeight="1"/>
    <row r="4" ht="30.0" customHeight="1">
      <c r="A4" s="84" t="str">
        <f>IF(Comparacion!$B$20="D: hojas + fleje","✔ Con los precios cargados, la opción D sigue siendo la más conveniente de las que cortan en planta.","⚠ Con los precios cargados conviene: "&amp;Comparacion!$B$20&amp;". Revisar la decisión.")</f>
        <v>✔ Con los precios cargados, la opción D sigue siendo la más conveniente de las que cortan en planta.</v>
      </c>
      <c r="B4" s="63"/>
      <c r="C4" s="63"/>
      <c r="D4" s="63"/>
      <c r="E4" s="63"/>
      <c r="F4" s="85"/>
    </row>
    <row r="5" ht="14.25" customHeight="1"/>
    <row r="6" ht="14.25" customHeight="1">
      <c r="A6" s="3" t="s">
        <v>658</v>
      </c>
    </row>
    <row r="7" ht="30.0" customHeight="1">
      <c r="A7" s="4" t="s">
        <v>529</v>
      </c>
      <c r="B7" s="4" t="s">
        <v>533</v>
      </c>
      <c r="C7" s="4" t="s">
        <v>659</v>
      </c>
      <c r="D7" s="4" t="s">
        <v>531</v>
      </c>
      <c r="E7" s="4" t="s">
        <v>532</v>
      </c>
      <c r="F7" s="4" t="s">
        <v>13</v>
      </c>
    </row>
    <row r="8" ht="14.25" customHeight="1">
      <c r="A8" s="7" t="s">
        <v>660</v>
      </c>
      <c r="B8" s="86">
        <f>Comparacion!$E$12</f>
        <v>914216.354</v>
      </c>
      <c r="C8" s="67">
        <f>Comparacion!$B$12</f>
        <v>970647.5632</v>
      </c>
      <c r="D8" s="67">
        <f>Comparacion!$C$12</f>
        <v>941470.0199</v>
      </c>
      <c r="E8" s="67">
        <f>Comparacion!$D$12</f>
        <v>1016372.249</v>
      </c>
      <c r="F8" s="7" t="s">
        <v>204</v>
      </c>
    </row>
    <row r="9" ht="14.25" customHeight="1">
      <c r="A9" s="7" t="s">
        <v>664</v>
      </c>
      <c r="B9" s="67">
        <f>Comparacion!$E$15</f>
        <v>0</v>
      </c>
      <c r="C9" s="67">
        <f>Comparacion!$B$15</f>
        <v>56431.20917</v>
      </c>
      <c r="D9" s="67">
        <f>Comparacion!$C$15</f>
        <v>27253.66586</v>
      </c>
      <c r="E9" s="67">
        <f>Comparacion!$D$15</f>
        <v>102155.8946</v>
      </c>
      <c r="F9" s="7" t="s">
        <v>665</v>
      </c>
    </row>
    <row r="10" ht="14.25" customHeight="1">
      <c r="A10" s="7" t="s">
        <v>536</v>
      </c>
      <c r="B10" s="67">
        <f>Comparacion!$E$5</f>
        <v>71310.97465</v>
      </c>
      <c r="C10" s="67">
        <f>Comparacion!$B$5</f>
        <v>156810.9746</v>
      </c>
      <c r="D10" s="67">
        <f>Comparacion!$C$5</f>
        <v>57810.97465</v>
      </c>
      <c r="E10" s="67">
        <f>Comparacion!$D$5</f>
        <v>191000</v>
      </c>
      <c r="F10" s="7" t="s">
        <v>204</v>
      </c>
    </row>
    <row r="11" ht="14.25" customHeight="1">
      <c r="A11" s="7" t="s">
        <v>539</v>
      </c>
      <c r="B11" s="79">
        <f>Comparacion!$E$8</f>
        <v>0.8281968532</v>
      </c>
      <c r="C11" s="79">
        <f>Comparacion!$B$8</f>
        <v>0.8620708708</v>
      </c>
      <c r="D11" s="79">
        <f>Comparacion!$C$8</f>
        <v>0.8166559432</v>
      </c>
      <c r="E11" s="79">
        <f>Comparacion!$D$8</f>
        <v>0.873578085</v>
      </c>
      <c r="F11" s="7" t="s">
        <v>72</v>
      </c>
    </row>
    <row r="12" ht="14.25" customHeight="1">
      <c r="A12" s="7" t="s">
        <v>669</v>
      </c>
      <c r="B12" s="67">
        <f>Comparacion!$E$9</f>
        <v>1957422.77</v>
      </c>
      <c r="C12" s="67">
        <f>Comparacion!$B$9</f>
        <v>1839705.575</v>
      </c>
      <c r="D12" s="67">
        <f>Comparacion!$C$9</f>
        <v>2054099.592</v>
      </c>
      <c r="E12" s="67">
        <f>Comparacion!$D$9</f>
        <v>1840424.857</v>
      </c>
      <c r="F12" s="7" t="s">
        <v>204</v>
      </c>
    </row>
    <row r="13" ht="14.25" customHeight="1">
      <c r="A13" s="7" t="s">
        <v>544</v>
      </c>
      <c r="B13" s="67">
        <f>Comparacion!$E$10</f>
        <v>442735.2859</v>
      </c>
      <c r="C13" s="67">
        <f>Comparacion!$B$10</f>
        <v>421272.6453</v>
      </c>
      <c r="D13" s="67">
        <f>Comparacion!$C$10</f>
        <v>465758.7321</v>
      </c>
      <c r="E13" s="67">
        <f>Comparacion!$D$10</f>
        <v>423638.6716</v>
      </c>
      <c r="F13" s="7" t="s">
        <v>545</v>
      </c>
    </row>
    <row r="14" ht="14.25" customHeight="1">
      <c r="A14" s="7" t="s">
        <v>556</v>
      </c>
      <c r="B14" s="68">
        <f>Comparacion!$E$16</f>
        <v>26.4735329</v>
      </c>
      <c r="C14" s="68">
        <f>Comparacion!$B$16</f>
        <v>25.5612857</v>
      </c>
      <c r="D14" s="68">
        <f>Comparacion!$C$16</f>
        <v>29.4336514</v>
      </c>
      <c r="E14" s="68">
        <f>Comparacion!$D$16</f>
        <v>38.20954676</v>
      </c>
      <c r="F14" s="7" t="s">
        <v>119</v>
      </c>
    </row>
    <row r="15" ht="14.25" customHeight="1">
      <c r="A15" s="7" t="s">
        <v>561</v>
      </c>
      <c r="B15" s="67">
        <f>Comparacion!$E$17</f>
        <v>627.1489759</v>
      </c>
      <c r="C15" s="67">
        <f>Comparacion!$B$17</f>
        <v>544.8808431</v>
      </c>
      <c r="D15" s="67">
        <f>Comparacion!$C$17</f>
        <v>926.9400804</v>
      </c>
      <c r="E15" s="67">
        <f>Comparacion!$D$17</f>
        <v>246.7217588</v>
      </c>
      <c r="F15" s="7" t="s">
        <v>170</v>
      </c>
    </row>
    <row r="16" ht="14.25" customHeight="1"/>
    <row r="17" ht="14.25" customHeight="1">
      <c r="A17" s="3" t="s">
        <v>673</v>
      </c>
    </row>
    <row r="18" ht="45.0" customHeight="1">
      <c r="A18" s="76">
        <v>1.0</v>
      </c>
      <c r="B18" s="23" t="s">
        <v>674</v>
      </c>
      <c r="F18" s="32">
        <f>Comparacion!$B$15</f>
        <v>56431.20917</v>
      </c>
    </row>
    <row r="19" ht="45.0" customHeight="1">
      <c r="A19" s="76"/>
      <c r="B19" s="23" t="s">
        <v>675</v>
      </c>
      <c r="F19" s="32">
        <f>Comparacion!$C$15</f>
        <v>27253.66586</v>
      </c>
    </row>
    <row r="20" ht="45.0" customHeight="1">
      <c r="A20" s="76"/>
      <c r="B20" s="23" t="s">
        <v>676</v>
      </c>
      <c r="F20" s="32">
        <f>Comparacion!$D$15</f>
        <v>102155.8946</v>
      </c>
    </row>
    <row r="21" ht="45.0" customHeight="1">
      <c r="A21" s="76">
        <v>2.0</v>
      </c>
      <c r="B21" s="23" t="s">
        <v>677</v>
      </c>
      <c r="F21" s="32">
        <f>Supuestos!$K$108</f>
        <v>71310.97465</v>
      </c>
    </row>
    <row r="22" ht="45.0" customHeight="1">
      <c r="A22" s="76"/>
      <c r="B22" s="23" t="s">
        <v>678</v>
      </c>
      <c r="F22" s="32">
        <f>Supuestos!$H$108-Supuestos!$K$108</f>
        <v>85500</v>
      </c>
    </row>
    <row r="23" ht="45.0" customHeight="1">
      <c r="A23" s="76">
        <v>3.0</v>
      </c>
      <c r="B23" s="23" t="s">
        <v>680</v>
      </c>
      <c r="F23" s="87" t="str">
        <f>TEXT(MIN(Supuestos!$G$85:$G$89),"0.0%")&amp;" a "&amp;TEXT(MAX(Supuestos!$G$85:$G$89),"0.0%")</f>
        <v>-2,0% a 6,2%</v>
      </c>
    </row>
    <row r="24" ht="45.0" customHeight="1">
      <c r="A24" s="76">
        <v>4.0</v>
      </c>
      <c r="B24" s="23" t="s">
        <v>681</v>
      </c>
      <c r="F24" s="34">
        <f>Comparacion!$B$21</f>
        <v>0.1003144751</v>
      </c>
    </row>
    <row r="25" ht="45.0" customHeight="1">
      <c r="A25" s="76">
        <v>5.0</v>
      </c>
      <c r="B25" s="23" t="s">
        <v>682</v>
      </c>
      <c r="F25" s="32">
        <f>Comparacion!$G$28</f>
        <v>22836.23627</v>
      </c>
    </row>
    <row r="26" ht="45.0" customHeight="1">
      <c r="A26" s="76">
        <v>6.0</v>
      </c>
      <c r="B26" s="23" t="s">
        <v>683</v>
      </c>
      <c r="F26" s="32">
        <f>Comparacion!$E$17</f>
        <v>627.1489759</v>
      </c>
    </row>
    <row r="27" ht="45.0" customHeight="1">
      <c r="A27" s="76">
        <v>7.0</v>
      </c>
      <c r="B27" s="23" t="s">
        <v>686</v>
      </c>
      <c r="F27" s="87" t="str">
        <f>TEXT(Comparacion!$E$16,"0.0")&amp;" t contra "&amp;TEXT(Comparacion!$B$16,"0.0")&amp;" t"</f>
        <v>26,5 t contra 25,6 t</v>
      </c>
    </row>
    <row r="28" ht="45.0" customHeight="1">
      <c r="A28" s="76">
        <v>8.0</v>
      </c>
      <c r="B28" s="23" t="s">
        <v>687</v>
      </c>
    </row>
    <row r="29" ht="14.25" customHeight="1"/>
    <row r="30" ht="14.25" customHeight="1">
      <c r="A30" s="3" t="s">
        <v>688</v>
      </c>
    </row>
    <row r="31" ht="45.0" customHeight="1">
      <c r="A31" s="76" t="s">
        <v>689</v>
      </c>
      <c r="B31" s="23" t="s">
        <v>690</v>
      </c>
      <c r="F31" s="87" t="str">
        <f>TEXT(Comparacion!$E$8,"0.0%")&amp;" contra "&amp;TEXT(Comparacion!$B$8,"0.0%")</f>
        <v>82,8% contra 86,2%</v>
      </c>
    </row>
    <row r="32" ht="45.0" customHeight="1">
      <c r="A32" s="76" t="s">
        <v>689</v>
      </c>
      <c r="B32" s="23" t="s">
        <v>691</v>
      </c>
      <c r="F32" s="69">
        <f>Comparacion!$E$7-Comparacion!$B$7</f>
        <v>62.15220681</v>
      </c>
    </row>
    <row r="33" ht="45.0" customHeight="1">
      <c r="A33" s="76" t="s">
        <v>689</v>
      </c>
      <c r="B33" s="23" t="s">
        <v>693</v>
      </c>
    </row>
    <row r="34" ht="14.25" customHeight="1"/>
    <row r="35" ht="14.25" customHeight="1">
      <c r="A35" s="3" t="s">
        <v>694</v>
      </c>
    </row>
    <row r="36" ht="45.0" customHeight="1">
      <c r="A36" s="76" t="s">
        <v>689</v>
      </c>
      <c r="B36" s="23" t="s">
        <v>695</v>
      </c>
      <c r="F36" s="34">
        <f>Comparacion!$B$21</f>
        <v>0.1003144751</v>
      </c>
    </row>
    <row r="37" ht="45.0" customHeight="1">
      <c r="A37" s="76" t="s">
        <v>689</v>
      </c>
      <c r="B37" s="23" t="s">
        <v>696</v>
      </c>
      <c r="F37" s="34">
        <f>Comparacion!$B$22</f>
        <v>0.09661583998</v>
      </c>
    </row>
    <row r="38" ht="45.0" customHeight="1">
      <c r="A38" s="76" t="s">
        <v>689</v>
      </c>
      <c r="B38" s="23" t="s">
        <v>697</v>
      </c>
    </row>
    <row r="39" ht="45.0" customHeight="1">
      <c r="A39" s="76" t="s">
        <v>689</v>
      </c>
      <c r="B39" s="23" t="s">
        <v>698</v>
      </c>
    </row>
    <row r="40" ht="14.25" customHeight="1"/>
    <row r="41" ht="14.25" customHeight="1">
      <c r="A41" s="3" t="s">
        <v>699</v>
      </c>
    </row>
    <row r="42" ht="45.0" customHeight="1">
      <c r="A42" s="76" t="s">
        <v>689</v>
      </c>
      <c r="B42" s="23" t="s">
        <v>700</v>
      </c>
    </row>
    <row r="43" ht="45.0" customHeight="1">
      <c r="A43" s="76" t="s">
        <v>689</v>
      </c>
      <c r="B43" s="23" t="s">
        <v>701</v>
      </c>
    </row>
    <row r="44" ht="45.0" customHeight="1">
      <c r="A44" s="76" t="s">
        <v>689</v>
      </c>
      <c r="B44" s="23" t="s">
        <v>702</v>
      </c>
    </row>
    <row r="45" ht="45.0" customHeight="1">
      <c r="A45" s="76" t="s">
        <v>689</v>
      </c>
      <c r="B45" s="23" t="s">
        <v>704</v>
      </c>
    </row>
    <row r="46" ht="45.0" customHeight="1">
      <c r="A46" s="76" t="s">
        <v>689</v>
      </c>
      <c r="B46" s="23" t="s">
        <v>705</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A4:F4"/>
    <mergeCell ref="B18:E18"/>
    <mergeCell ref="B19:E19"/>
    <mergeCell ref="B20:E20"/>
    <mergeCell ref="B21:E21"/>
    <mergeCell ref="B22:E22"/>
    <mergeCell ref="B23:E23"/>
    <mergeCell ref="B24:E24"/>
    <mergeCell ref="B25:E25"/>
    <mergeCell ref="B26:E26"/>
    <mergeCell ref="B27:E27"/>
    <mergeCell ref="B28:E28"/>
    <mergeCell ref="B31:E31"/>
    <mergeCell ref="B32:E32"/>
    <mergeCell ref="B44:E44"/>
    <mergeCell ref="B45:E45"/>
    <mergeCell ref="B46:E46"/>
    <mergeCell ref="B33:E33"/>
    <mergeCell ref="B36:E36"/>
    <mergeCell ref="B37:E37"/>
    <mergeCell ref="B38:E38"/>
    <mergeCell ref="B39:E39"/>
    <mergeCell ref="B42:E42"/>
    <mergeCell ref="B43:E4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52.0"/>
    <col customWidth="1" min="2" max="2" width="25.0"/>
    <col customWidth="1" min="3" max="4" width="12.0"/>
    <col customWidth="1" min="5" max="5" width="26.29"/>
    <col customWidth="1" min="6" max="6" width="19.29"/>
    <col customWidth="1" min="7" max="13" width="12.0"/>
    <col customWidth="1" min="14" max="14" width="14.0"/>
    <col customWidth="1" min="15" max="26" width="8.57"/>
  </cols>
  <sheetData>
    <row r="1" ht="14.25" customHeight="1">
      <c r="A1" s="1" t="s">
        <v>654</v>
      </c>
    </row>
    <row r="2" ht="14.25" customHeight="1">
      <c r="A2" s="2" t="s">
        <v>655</v>
      </c>
    </row>
    <row r="3" ht="14.25" customHeight="1"/>
    <row r="4" ht="14.25" customHeight="1">
      <c r="A4" s="3" t="s">
        <v>656</v>
      </c>
    </row>
    <row r="5" ht="14.25" customHeight="1">
      <c r="A5" s="4" t="s">
        <v>529</v>
      </c>
      <c r="B5" s="4" t="s">
        <v>11</v>
      </c>
      <c r="C5" s="4" t="s">
        <v>13</v>
      </c>
    </row>
    <row r="6" ht="14.25" customHeight="1">
      <c r="A6" s="7" t="s">
        <v>657</v>
      </c>
      <c r="B6" s="32">
        <f>Comparacion!$E$12</f>
        <v>914216.354</v>
      </c>
      <c r="C6" s="7" t="s">
        <v>204</v>
      </c>
    </row>
    <row r="7" ht="14.25" customHeight="1">
      <c r="A7" s="7" t="s">
        <v>661</v>
      </c>
      <c r="B7" s="16">
        <f>Supuestos!$K$108</f>
        <v>71310.97465</v>
      </c>
      <c r="C7" s="7" t="s">
        <v>204</v>
      </c>
    </row>
    <row r="8" ht="14.25" customHeight="1">
      <c r="A8" s="7" t="s">
        <v>546</v>
      </c>
      <c r="B8" s="16">
        <f>Comparacion!$E$11</f>
        <v>1946376.616</v>
      </c>
      <c r="C8" s="7" t="s">
        <v>204</v>
      </c>
    </row>
    <row r="9" ht="14.25" customHeight="1">
      <c r="A9" s="7" t="s">
        <v>662</v>
      </c>
      <c r="B9" s="65">
        <f>Comparacion!$E$6</f>
        <v>1581.731689</v>
      </c>
      <c r="C9" s="7" t="s">
        <v>119</v>
      </c>
    </row>
    <row r="10" ht="14.25" customHeight="1">
      <c r="A10" s="7" t="s">
        <v>663</v>
      </c>
      <c r="B10" s="65">
        <f>Comparacion!$E$7</f>
        <v>271.7464815</v>
      </c>
      <c r="C10" s="7" t="s">
        <v>119</v>
      </c>
    </row>
    <row r="11" ht="14.25" customHeight="1">
      <c r="A11" s="7" t="s">
        <v>539</v>
      </c>
      <c r="B11" s="51">
        <f>Comparacion!$E$8</f>
        <v>0.8281968532</v>
      </c>
      <c r="C11" s="7" t="s">
        <v>72</v>
      </c>
    </row>
    <row r="12" ht="14.25" customHeight="1">
      <c r="A12" s="7" t="s">
        <v>544</v>
      </c>
      <c r="B12" s="16">
        <f>Comparacion!$E$10</f>
        <v>442735.2859</v>
      </c>
      <c r="C12" s="7" t="s">
        <v>545</v>
      </c>
    </row>
    <row r="13" ht="14.25" customHeight="1">
      <c r="A13" s="7" t="s">
        <v>556</v>
      </c>
      <c r="B13" s="65">
        <f>Comparacion!$E$16</f>
        <v>26.4735329</v>
      </c>
      <c r="C13" s="7" t="s">
        <v>119</v>
      </c>
    </row>
    <row r="14" ht="14.25" customHeight="1">
      <c r="A14" s="7" t="s">
        <v>561</v>
      </c>
      <c r="B14" s="16">
        <f>Comparacion!$E$17</f>
        <v>627.1489759</v>
      </c>
      <c r="C14" s="7" t="s">
        <v>170</v>
      </c>
    </row>
    <row r="15" ht="14.25" customHeight="1">
      <c r="A15" s="7" t="s">
        <v>568</v>
      </c>
      <c r="B15" s="33">
        <f>Comparacion!$E$18</f>
        <v>0.3484160977</v>
      </c>
      <c r="C15" s="7" t="s">
        <v>168</v>
      </c>
    </row>
    <row r="16" ht="14.25" customHeight="1">
      <c r="A16" s="7" t="s">
        <v>666</v>
      </c>
      <c r="B16" s="7" t="str">
        <f>TEXT(Comparacion!$B$15,"#,##0")&amp;" / "&amp;TEXT(Comparacion!$C$15,"#,##0")&amp;" / "&amp;TEXT(Comparacion!$D$15,"#,##0")</f>
        <v>56.431 / 27.254 / 102.156</v>
      </c>
      <c r="C16" s="7" t="s">
        <v>204</v>
      </c>
    </row>
    <row r="17" ht="14.25" customHeight="1">
      <c r="A17" s="7" t="s">
        <v>667</v>
      </c>
      <c r="B17" s="81">
        <f>Supuestos!$B$21</f>
        <v>2035</v>
      </c>
      <c r="C17" s="7"/>
    </row>
    <row r="18" ht="14.25" customHeight="1"/>
    <row r="19" ht="14.25" customHeight="1">
      <c r="A19" s="3" t="s">
        <v>668</v>
      </c>
    </row>
    <row r="20" ht="14.25" customHeight="1">
      <c r="A20" s="4" t="s">
        <v>7</v>
      </c>
      <c r="B20" s="4" t="s">
        <v>13</v>
      </c>
      <c r="C20" s="4"/>
      <c r="D20" s="4">
        <v>2026.0</v>
      </c>
      <c r="E20" s="4">
        <v>2027.0</v>
      </c>
      <c r="F20" s="4">
        <v>2028.0</v>
      </c>
      <c r="G20" s="4">
        <v>2029.0</v>
      </c>
      <c r="H20" s="4">
        <v>2030.0</v>
      </c>
      <c r="I20" s="4">
        <v>2031.0</v>
      </c>
      <c r="J20" s="4">
        <v>2032.0</v>
      </c>
      <c r="K20" s="4">
        <v>2033.0</v>
      </c>
      <c r="L20" s="4">
        <v>2034.0</v>
      </c>
      <c r="M20" s="4">
        <v>2035.0</v>
      </c>
      <c r="N20" s="4" t="s">
        <v>670</v>
      </c>
    </row>
    <row r="21" ht="14.25" customHeight="1">
      <c r="A21" s="7" t="s">
        <v>671</v>
      </c>
      <c r="B21" s="7" t="s">
        <v>204</v>
      </c>
      <c r="C21" s="7"/>
      <c r="D21" s="16">
        <f>Calculo!D216</f>
        <v>10612.58163</v>
      </c>
      <c r="E21" s="16">
        <f>Calculo!E216</f>
        <v>18532.96998</v>
      </c>
      <c r="F21" s="16">
        <f>Calculo!F216</f>
        <v>31085.05346</v>
      </c>
      <c r="G21" s="16">
        <f>Calculo!G216</f>
        <v>55918.62272</v>
      </c>
      <c r="H21" s="16">
        <f>Calculo!H216</f>
        <v>94442.76307</v>
      </c>
      <c r="I21" s="16">
        <f>Calculo!I216</f>
        <v>132310.931</v>
      </c>
      <c r="J21" s="16">
        <f>Calculo!J216</f>
        <v>178168.7455</v>
      </c>
      <c r="K21" s="16">
        <f>Calculo!K216</f>
        <v>225415.457</v>
      </c>
      <c r="L21" s="16">
        <f>Calculo!L216</f>
        <v>257235.1049</v>
      </c>
      <c r="M21" s="16">
        <f>Calculo!M216</f>
        <v>296951.2465</v>
      </c>
      <c r="N21" s="26">
        <f t="shared" ref="N21:N27" si="1">SUM(D21:M21)</f>
        <v>1300673.476</v>
      </c>
    </row>
    <row r="22" ht="14.25" customHeight="1">
      <c r="A22" s="7" t="s">
        <v>672</v>
      </c>
      <c r="B22" s="7" t="s">
        <v>204</v>
      </c>
      <c r="C22" s="7"/>
      <c r="D22" s="16">
        <f>Calculo!D215</f>
        <v>4457.930589</v>
      </c>
      <c r="E22" s="16">
        <f>Calculo!E215</f>
        <v>7572.966482</v>
      </c>
      <c r="F22" s="16">
        <f>Calculo!F215</f>
        <v>14002.5872</v>
      </c>
      <c r="G22" s="16">
        <f>Calculo!G215</f>
        <v>27633.33881</v>
      </c>
      <c r="H22" s="16">
        <f>Calculo!H215</f>
        <v>47515.76786</v>
      </c>
      <c r="I22" s="16">
        <f>Calculo!I215</f>
        <v>66734.71386</v>
      </c>
      <c r="J22" s="16">
        <f>Calculo!J215</f>
        <v>90882.62657</v>
      </c>
      <c r="K22" s="16">
        <f>Calculo!K215</f>
        <v>115500.6325</v>
      </c>
      <c r="L22" s="16">
        <f>Calculo!L215</f>
        <v>131096.0935</v>
      </c>
      <c r="M22" s="16">
        <f>Calculo!M215</f>
        <v>151352.6366</v>
      </c>
      <c r="N22" s="26">
        <f t="shared" si="1"/>
        <v>656749.2939</v>
      </c>
    </row>
    <row r="23" ht="14.25" customHeight="1">
      <c r="A23" s="7" t="s">
        <v>679</v>
      </c>
      <c r="B23" s="7" t="s">
        <v>204</v>
      </c>
      <c r="C23" s="7"/>
      <c r="D23" s="16">
        <f>Calculo!D261</f>
        <v>-516.2434891</v>
      </c>
      <c r="E23" s="16">
        <f>Calculo!E261</f>
        <v>-887.9295953</v>
      </c>
      <c r="F23" s="16">
        <f>Calculo!F261</f>
        <v>-1547.107014</v>
      </c>
      <c r="G23" s="16">
        <f>Calculo!G261</f>
        <v>-2896.875297</v>
      </c>
      <c r="H23" s="16">
        <f>Calculo!H261</f>
        <v>-4924.510127</v>
      </c>
      <c r="I23" s="16">
        <f>Calculo!I261</f>
        <v>-6902.254764</v>
      </c>
      <c r="J23" s="16">
        <f>Calculo!J261</f>
        <v>-9343.076759</v>
      </c>
      <c r="K23" s="16">
        <f>Calculo!K261</f>
        <v>-11847.92716</v>
      </c>
      <c r="L23" s="16">
        <f>Calculo!L261</f>
        <v>-13491.17936</v>
      </c>
      <c r="M23" s="16">
        <f>Calculo!M261</f>
        <v>-15579.51681</v>
      </c>
      <c r="N23" s="26">
        <f t="shared" si="1"/>
        <v>-67936.62038</v>
      </c>
    </row>
    <row r="24" ht="14.25" customHeight="1">
      <c r="A24" s="7" t="s">
        <v>685</v>
      </c>
      <c r="B24" s="7" t="s">
        <v>204</v>
      </c>
      <c r="C24" s="7"/>
      <c r="D24" s="16">
        <f>Calculo!D263</f>
        <v>190.5311019</v>
      </c>
      <c r="E24" s="16">
        <f>Calculo!E263</f>
        <v>322.6493171</v>
      </c>
      <c r="F24" s="16">
        <f>Calculo!F263</f>
        <v>516.9353341</v>
      </c>
      <c r="G24" s="16">
        <f>Calculo!G263</f>
        <v>909.5964423</v>
      </c>
      <c r="H24" s="16">
        <f>Calculo!H263</f>
        <v>1448.786482</v>
      </c>
      <c r="I24" s="16">
        <f>Calculo!I263</f>
        <v>1938.323806</v>
      </c>
      <c r="J24" s="16">
        <f>Calculo!J263</f>
        <v>2514.468598</v>
      </c>
      <c r="K24" s="16">
        <f>Calculo!K263</f>
        <v>3083.484211</v>
      </c>
      <c r="L24" s="16">
        <f>Calculo!L263</f>
        <v>3459.39529</v>
      </c>
      <c r="M24" s="16">
        <f>Calculo!M263</f>
        <v>3932.264498</v>
      </c>
      <c r="N24" s="26">
        <f t="shared" si="1"/>
        <v>18316.43508</v>
      </c>
    </row>
    <row r="25" ht="14.25" customHeight="1">
      <c r="A25" s="7" t="s">
        <v>692</v>
      </c>
      <c r="B25" s="7" t="s">
        <v>204</v>
      </c>
      <c r="C25" s="7"/>
      <c r="D25" s="16">
        <f>Calculo!D265</f>
        <v>129.5630051</v>
      </c>
      <c r="E25" s="16">
        <f>Calculo!E265</f>
        <v>230.0393025</v>
      </c>
      <c r="F25" s="16">
        <f>Calculo!F265</f>
        <v>397.4194754</v>
      </c>
      <c r="G25" s="16">
        <f>Calculo!G265</f>
        <v>734.342888</v>
      </c>
      <c r="H25" s="16">
        <f>Calculo!H265</f>
        <v>1246.418602</v>
      </c>
      <c r="I25" s="16">
        <f>Calculo!I265</f>
        <v>1749.014922</v>
      </c>
      <c r="J25" s="16">
        <f>Calculo!J265</f>
        <v>2359.045135</v>
      </c>
      <c r="K25" s="16">
        <f>Calculo!K265</f>
        <v>2986.9783</v>
      </c>
      <c r="L25" s="16">
        <f>Calculo!L265</f>
        <v>3408.591802</v>
      </c>
      <c r="M25" s="16">
        <f>Calculo!M265</f>
        <v>3939.325878</v>
      </c>
      <c r="N25" s="26">
        <f t="shared" si="1"/>
        <v>17180.73931</v>
      </c>
    </row>
    <row r="26" ht="14.25" customHeight="1">
      <c r="A26" s="7" t="s">
        <v>703</v>
      </c>
      <c r="B26" s="7" t="s">
        <v>204</v>
      </c>
      <c r="C26" s="7"/>
      <c r="D26" s="16">
        <f>Calculo!D266</f>
        <v>2139.329239</v>
      </c>
      <c r="E26" s="16">
        <f>Calculo!E266</f>
        <v>2139.329239</v>
      </c>
      <c r="F26" s="16">
        <f>Calculo!F266</f>
        <v>2139.329239</v>
      </c>
      <c r="G26" s="16">
        <f>Calculo!G266</f>
        <v>2139.329239</v>
      </c>
      <c r="H26" s="16">
        <f>Calculo!H266</f>
        <v>2139.329239</v>
      </c>
      <c r="I26" s="16">
        <f>Calculo!I266</f>
        <v>2139.329239</v>
      </c>
      <c r="J26" s="16">
        <f>Calculo!J266</f>
        <v>2139.329239</v>
      </c>
      <c r="K26" s="16">
        <f>Calculo!K266</f>
        <v>2139.329239</v>
      </c>
      <c r="L26" s="16">
        <f>Calculo!L266</f>
        <v>2139.329239</v>
      </c>
      <c r="M26" s="16">
        <f>Calculo!M266</f>
        <v>2139.329239</v>
      </c>
      <c r="N26" s="26">
        <f t="shared" si="1"/>
        <v>21393.29239</v>
      </c>
    </row>
    <row r="27" ht="14.25" customHeight="1">
      <c r="A27" s="5" t="s">
        <v>706</v>
      </c>
      <c r="B27" s="7" t="s">
        <v>204</v>
      </c>
      <c r="C27" s="7"/>
      <c r="D27" s="80">
        <f>Calculo!D267</f>
        <v>17013.69208</v>
      </c>
      <c r="E27" s="80">
        <f>Calculo!E267</f>
        <v>27910.02473</v>
      </c>
      <c r="F27" s="80">
        <f>Calculo!F267</f>
        <v>46594.21769</v>
      </c>
      <c r="G27" s="80">
        <f>Calculo!G267</f>
        <v>84438.3548</v>
      </c>
      <c r="H27" s="80">
        <f>Calculo!H267</f>
        <v>141868.5551</v>
      </c>
      <c r="I27" s="80">
        <f>Calculo!I267</f>
        <v>197970.058</v>
      </c>
      <c r="J27" s="80">
        <f>Calculo!J267</f>
        <v>266721.1383</v>
      </c>
      <c r="K27" s="80">
        <f>Calculo!K267</f>
        <v>337277.9542</v>
      </c>
      <c r="L27" s="80">
        <f>Calculo!L267</f>
        <v>383847.3353</v>
      </c>
      <c r="M27" s="80">
        <f>Calculo!M267</f>
        <v>442735.2859</v>
      </c>
      <c r="N27" s="26">
        <f t="shared" si="1"/>
        <v>1946376.616</v>
      </c>
    </row>
    <row r="28" ht="14.25" customHeight="1">
      <c r="A28" s="7" t="s">
        <v>707</v>
      </c>
      <c r="B28" s="7"/>
      <c r="C28" s="7"/>
      <c r="D28" s="35">
        <f>Calculo!D282</f>
        <v>0.8928571429</v>
      </c>
      <c r="E28" s="35">
        <f>Calculo!E282</f>
        <v>0.7971938776</v>
      </c>
      <c r="F28" s="35">
        <f>Calculo!F282</f>
        <v>0.7117802478</v>
      </c>
      <c r="G28" s="35">
        <f>Calculo!G282</f>
        <v>0.6355180784</v>
      </c>
      <c r="H28" s="35">
        <f>Calculo!H282</f>
        <v>0.5674268557</v>
      </c>
      <c r="I28" s="35">
        <f>Calculo!I282</f>
        <v>0.5066311212</v>
      </c>
      <c r="J28" s="35">
        <f>Calculo!J282</f>
        <v>0.4523492153</v>
      </c>
      <c r="K28" s="35">
        <f>Calculo!K282</f>
        <v>0.403883228</v>
      </c>
      <c r="L28" s="35">
        <f>Calculo!L282</f>
        <v>0.360610025</v>
      </c>
      <c r="M28" s="35">
        <f>Calculo!M282</f>
        <v>0.3219732366</v>
      </c>
      <c r="N28" s="88"/>
    </row>
    <row r="29" ht="14.25" customHeight="1">
      <c r="A29" s="7" t="s">
        <v>708</v>
      </c>
      <c r="B29" s="7" t="s">
        <v>204</v>
      </c>
      <c r="C29" s="7"/>
      <c r="D29" s="16">
        <f t="shared" ref="D29:M29" si="2">D27*D28</f>
        <v>15190.7965</v>
      </c>
      <c r="E29" s="16">
        <f t="shared" si="2"/>
        <v>22249.70084</v>
      </c>
      <c r="F29" s="16">
        <f t="shared" si="2"/>
        <v>33164.84381</v>
      </c>
      <c r="G29" s="16">
        <f t="shared" si="2"/>
        <v>53662.10099</v>
      </c>
      <c r="H29" s="16">
        <f t="shared" si="2"/>
        <v>80500.02816</v>
      </c>
      <c r="I29" s="16">
        <f t="shared" si="2"/>
        <v>100297.7925</v>
      </c>
      <c r="J29" s="16">
        <f t="shared" si="2"/>
        <v>120651.0976</v>
      </c>
      <c r="K29" s="16">
        <f t="shared" si="2"/>
        <v>136220.9089</v>
      </c>
      <c r="L29" s="16">
        <f t="shared" si="2"/>
        <v>138419.1972</v>
      </c>
      <c r="M29" s="16">
        <f t="shared" si="2"/>
        <v>142548.9129</v>
      </c>
      <c r="N29" s="26">
        <f>SUM(D29:M29)</f>
        <v>842905.3794</v>
      </c>
    </row>
    <row r="30" ht="14.25" customHeight="1">
      <c r="A30" s="5" t="s">
        <v>709</v>
      </c>
      <c r="N30" s="80">
        <f>Supuestos!$K$108+N29</f>
        <v>914216.354</v>
      </c>
    </row>
    <row r="31" ht="14.25" customHeight="1"/>
    <row r="32" ht="14.25" customHeight="1">
      <c r="A32" s="3" t="s">
        <v>710</v>
      </c>
    </row>
    <row r="33" ht="14.25" customHeight="1">
      <c r="A33" s="4" t="s">
        <v>7</v>
      </c>
      <c r="B33" s="4" t="s">
        <v>13</v>
      </c>
      <c r="C33" s="4"/>
      <c r="D33" s="4">
        <v>2026.0</v>
      </c>
      <c r="E33" s="4">
        <v>2027.0</v>
      </c>
      <c r="F33" s="4">
        <v>2028.0</v>
      </c>
      <c r="G33" s="4">
        <v>2029.0</v>
      </c>
      <c r="H33" s="4">
        <v>2030.0</v>
      </c>
      <c r="I33" s="4">
        <v>2031.0</v>
      </c>
      <c r="J33" s="4">
        <v>2032.0</v>
      </c>
      <c r="K33" s="4">
        <v>2033.0</v>
      </c>
      <c r="L33" s="4">
        <v>2034.0</v>
      </c>
      <c r="M33" s="4">
        <v>2035.0</v>
      </c>
      <c r="N33" s="4" t="s">
        <v>670</v>
      </c>
    </row>
    <row r="34" ht="14.25" customHeight="1">
      <c r="A34" s="7" t="s">
        <v>711</v>
      </c>
      <c r="B34" s="7" t="s">
        <v>713</v>
      </c>
      <c r="C34" s="7"/>
      <c r="D34" s="16">
        <f>SUM(Calculo!D8:D15)</f>
        <v>6958</v>
      </c>
      <c r="E34" s="16">
        <f>SUM(Calculo!E8:E15)</f>
        <v>10963</v>
      </c>
      <c r="F34" s="16">
        <f>SUM(Calculo!F8:F15)</f>
        <v>23077</v>
      </c>
      <c r="G34" s="16">
        <f>SUM(Calculo!G8:G15)</f>
        <v>50958</v>
      </c>
      <c r="H34" s="16">
        <f>SUM(Calculo!H8:H15)</f>
        <v>88903</v>
      </c>
      <c r="I34" s="16">
        <f>SUM(Calculo!I8:I15)</f>
        <v>124900</v>
      </c>
      <c r="J34" s="16">
        <f>SUM(Calculo!J8:J15)</f>
        <v>172353</v>
      </c>
      <c r="K34" s="16">
        <f>SUM(Calculo!K8:K15)</f>
        <v>220292</v>
      </c>
      <c r="L34" s="16">
        <f>SUM(Calculo!L8:L15)</f>
        <v>248658</v>
      </c>
      <c r="M34" s="16">
        <f>SUM(Calculo!M8:M15)</f>
        <v>287333</v>
      </c>
      <c r="N34" s="26">
        <f>SUM(D34:M34)</f>
        <v>1234395</v>
      </c>
    </row>
    <row r="35" ht="14.25" customHeight="1">
      <c r="A35" s="7" t="s">
        <v>715</v>
      </c>
      <c r="B35" s="7" t="s">
        <v>716</v>
      </c>
      <c r="C35" s="7"/>
      <c r="D35" s="33">
        <f t="shared" ref="D35:M35" si="3">IF(D34=0,0,(D21+D22)/D34)</f>
        <v>2.165925873</v>
      </c>
      <c r="E35" s="33">
        <f t="shared" si="3"/>
        <v>2.3812767</v>
      </c>
      <c r="F35" s="33">
        <f t="shared" si="3"/>
        <v>1.953791249</v>
      </c>
      <c r="G35" s="33">
        <f t="shared" si="3"/>
        <v>1.639624034</v>
      </c>
      <c r="H35" s="33">
        <f t="shared" si="3"/>
        <v>1.596779984</v>
      </c>
      <c r="I35" s="33">
        <f t="shared" si="3"/>
        <v>1.593640071</v>
      </c>
      <c r="J35" s="33">
        <f t="shared" si="3"/>
        <v>1.561048384</v>
      </c>
      <c r="K35" s="33">
        <f t="shared" si="3"/>
        <v>1.547564549</v>
      </c>
      <c r="L35" s="33">
        <f t="shared" si="3"/>
        <v>1.561708042</v>
      </c>
      <c r="M35" s="33">
        <f t="shared" si="3"/>
        <v>1.560224141</v>
      </c>
      <c r="N35" s="89"/>
    </row>
    <row r="36" ht="14.25" customHeight="1">
      <c r="A36" s="7" t="s">
        <v>722</v>
      </c>
      <c r="B36" s="7" t="s">
        <v>716</v>
      </c>
      <c r="C36" s="7"/>
      <c r="D36" s="33">
        <f t="shared" ref="D36:M36" si="4">IF(D34=0,0,D27/D34)</f>
        <v>2.445198632</v>
      </c>
      <c r="E36" s="33">
        <f t="shared" si="4"/>
        <v>2.54583825</v>
      </c>
      <c r="F36" s="33">
        <f t="shared" si="4"/>
        <v>2.019076036</v>
      </c>
      <c r="G36" s="33">
        <f t="shared" si="4"/>
        <v>1.657018619</v>
      </c>
      <c r="H36" s="33">
        <f t="shared" si="4"/>
        <v>1.595767917</v>
      </c>
      <c r="I36" s="33">
        <f t="shared" si="4"/>
        <v>1.585028487</v>
      </c>
      <c r="J36" s="33">
        <f t="shared" si="4"/>
        <v>1.547528261</v>
      </c>
      <c r="K36" s="33">
        <f t="shared" si="4"/>
        <v>1.53104949</v>
      </c>
      <c r="L36" s="33">
        <f t="shared" si="4"/>
        <v>1.543675793</v>
      </c>
      <c r="M36" s="33">
        <f t="shared" si="4"/>
        <v>1.54084385</v>
      </c>
      <c r="N36" s="89"/>
    </row>
    <row r="37" ht="14.25" customHeight="1"/>
    <row r="38" ht="14.25" customHeight="1">
      <c r="A38" s="3" t="s">
        <v>723</v>
      </c>
    </row>
    <row r="39" ht="14.25" customHeight="1">
      <c r="A39" s="4" t="s">
        <v>7</v>
      </c>
      <c r="B39" s="4" t="s">
        <v>13</v>
      </c>
      <c r="C39" s="4"/>
      <c r="D39" s="4">
        <v>2026.0</v>
      </c>
      <c r="E39" s="4">
        <v>2027.0</v>
      </c>
      <c r="F39" s="4">
        <v>2028.0</v>
      </c>
      <c r="G39" s="4">
        <v>2029.0</v>
      </c>
      <c r="H39" s="4">
        <v>2030.0</v>
      </c>
      <c r="I39" s="4">
        <v>2031.0</v>
      </c>
      <c r="J39" s="4">
        <v>2032.0</v>
      </c>
      <c r="K39" s="4">
        <v>2033.0</v>
      </c>
      <c r="L39" s="4">
        <v>2034.0</v>
      </c>
      <c r="M39" s="4">
        <v>2035.0</v>
      </c>
      <c r="N39" s="4" t="s">
        <v>670</v>
      </c>
    </row>
    <row r="40" ht="14.25" customHeight="1">
      <c r="A40" s="7" t="s">
        <v>724</v>
      </c>
      <c r="B40" s="7" t="s">
        <v>119</v>
      </c>
      <c r="C40" s="7"/>
      <c r="D40" s="65">
        <f>Calculo!D91</f>
        <v>0.3199577648</v>
      </c>
      <c r="E40" s="65">
        <f>Calculo!E91</f>
        <v>0.7689832381</v>
      </c>
      <c r="F40" s="65">
        <f>Calculo!F91</f>
        <v>1.395883537</v>
      </c>
      <c r="G40" s="65">
        <f>Calculo!G91</f>
        <v>2.760313598</v>
      </c>
      <c r="H40" s="65">
        <f>Calculo!H91</f>
        <v>4.604138006</v>
      </c>
      <c r="I40" s="65">
        <f>Calculo!I91</f>
        <v>6.567268698</v>
      </c>
      <c r="J40" s="65">
        <f>Calculo!J91</f>
        <v>8.748404512</v>
      </c>
      <c r="K40" s="65">
        <f>Calculo!K91</f>
        <v>11.09331532</v>
      </c>
      <c r="L40" s="65">
        <f>Calculo!L91</f>
        <v>12.94581655</v>
      </c>
      <c r="M40" s="65">
        <f>Calculo!M91</f>
        <v>15.28638894</v>
      </c>
      <c r="N40" s="73">
        <f t="shared" ref="N40:N58" si="5">SUM(D40:M40)</f>
        <v>64.49047016</v>
      </c>
    </row>
    <row r="41" ht="14.25" customHeight="1">
      <c r="A41" s="7" t="s">
        <v>725</v>
      </c>
      <c r="B41" s="7" t="s">
        <v>119</v>
      </c>
      <c r="C41" s="7"/>
      <c r="D41" s="65">
        <f>Calculo!D92</f>
        <v>4.734592</v>
      </c>
      <c r="E41" s="65">
        <f>Calculo!E92</f>
        <v>8.073570667</v>
      </c>
      <c r="F41" s="65">
        <f>Calculo!F92</f>
        <v>13.794536</v>
      </c>
      <c r="G41" s="65">
        <f>Calculo!G92</f>
        <v>25.13153333</v>
      </c>
      <c r="H41" s="65">
        <f>Calculo!H92</f>
        <v>42.72885333</v>
      </c>
      <c r="I41" s="65">
        <f>Calculo!I92</f>
        <v>59.68608</v>
      </c>
      <c r="J41" s="65">
        <f>Calculo!J92</f>
        <v>80.66645067</v>
      </c>
      <c r="K41" s="65">
        <f>Calculo!K92</f>
        <v>102.102232</v>
      </c>
      <c r="L41" s="65">
        <f>Calculo!L92</f>
        <v>116.0646613</v>
      </c>
      <c r="M41" s="65">
        <f>Calculo!M92</f>
        <v>133.613712</v>
      </c>
      <c r="N41" s="73">
        <f t="shared" si="5"/>
        <v>586.5962213</v>
      </c>
    </row>
    <row r="42" ht="14.25" customHeight="1">
      <c r="A42" s="7" t="s">
        <v>726</v>
      </c>
      <c r="B42" s="7" t="s">
        <v>119</v>
      </c>
      <c r="C42" s="7"/>
      <c r="D42" s="65">
        <f>Calculo!D93</f>
        <v>0.434424</v>
      </c>
      <c r="E42" s="65">
        <f>Calculo!E93</f>
        <v>0.835794</v>
      </c>
      <c r="F42" s="65">
        <f>Calculo!F93</f>
        <v>1.619646</v>
      </c>
      <c r="G42" s="65">
        <f>Calculo!G93</f>
        <v>3.177906</v>
      </c>
      <c r="H42" s="65">
        <f>Calculo!H93</f>
        <v>5.600292</v>
      </c>
      <c r="I42" s="65">
        <f>Calculo!I93</f>
        <v>8.112396</v>
      </c>
      <c r="J42" s="65">
        <f>Calculo!J93</f>
        <v>10.964484</v>
      </c>
      <c r="K42" s="65">
        <f>Calculo!K93</f>
        <v>13.88268</v>
      </c>
      <c r="L42" s="65">
        <f>Calculo!L93</f>
        <v>15.785646</v>
      </c>
      <c r="M42" s="65">
        <f>Calculo!M93</f>
        <v>18.189144</v>
      </c>
      <c r="N42" s="73">
        <f t="shared" si="5"/>
        <v>78.602412</v>
      </c>
    </row>
    <row r="43" ht="14.25" customHeight="1">
      <c r="A43" s="7" t="s">
        <v>727</v>
      </c>
      <c r="B43" s="7" t="s">
        <v>119</v>
      </c>
      <c r="C43" s="7"/>
      <c r="D43" s="65">
        <f>Calculo!D94</f>
        <v>0.428128</v>
      </c>
      <c r="E43" s="65">
        <f>Calculo!E94</f>
        <v>0.730336</v>
      </c>
      <c r="F43" s="65">
        <f>Calculo!F94</f>
        <v>1.13328</v>
      </c>
      <c r="G43" s="65">
        <f>Calculo!G94</f>
        <v>1.8888</v>
      </c>
      <c r="H43" s="65">
        <f>Calculo!H94</f>
        <v>3.135408</v>
      </c>
      <c r="I43" s="65">
        <f>Calculo!I94</f>
        <v>4.369424</v>
      </c>
      <c r="J43" s="65">
        <f>Calculo!J94</f>
        <v>5.842688</v>
      </c>
      <c r="K43" s="65">
        <f>Calculo!K94</f>
        <v>7.36632</v>
      </c>
      <c r="L43" s="65">
        <f>Calculo!L94</f>
        <v>8.43664</v>
      </c>
      <c r="M43" s="65">
        <f>Calculo!M94</f>
        <v>9.7588</v>
      </c>
      <c r="N43" s="73">
        <f t="shared" si="5"/>
        <v>43.089824</v>
      </c>
    </row>
    <row r="44" ht="14.25" customHeight="1">
      <c r="A44" s="7" t="s">
        <v>728</v>
      </c>
      <c r="B44" s="7" t="s">
        <v>119</v>
      </c>
      <c r="C44" s="7"/>
      <c r="D44" s="65">
        <f>Calculo!D95</f>
        <v>1.4166</v>
      </c>
      <c r="E44" s="65">
        <f>Calculo!E95</f>
        <v>2.417664</v>
      </c>
      <c r="F44" s="65">
        <f>Calculo!F95</f>
        <v>3.739824</v>
      </c>
      <c r="G44" s="65">
        <f>Calculo!G95</f>
        <v>6.270816</v>
      </c>
      <c r="H44" s="65">
        <f>Calculo!H95</f>
        <v>10.350624</v>
      </c>
      <c r="I44" s="65">
        <f>Calculo!I95</f>
        <v>14.430432</v>
      </c>
      <c r="J44" s="65">
        <f>Calculo!J95</f>
        <v>19.26576</v>
      </c>
      <c r="K44" s="65">
        <f>Calculo!K95</f>
        <v>24.308856</v>
      </c>
      <c r="L44" s="65">
        <f>Calculo!L95</f>
        <v>27.878688</v>
      </c>
      <c r="M44" s="65">
        <f>Calculo!M95</f>
        <v>32.20404</v>
      </c>
      <c r="N44" s="73">
        <f t="shared" si="5"/>
        <v>142.283304</v>
      </c>
    </row>
    <row r="45" ht="14.25" customHeight="1">
      <c r="A45" s="7" t="s">
        <v>730</v>
      </c>
      <c r="B45" s="7" t="s">
        <v>119</v>
      </c>
      <c r="C45" s="7"/>
      <c r="D45" s="65">
        <f>Calculo!D96</f>
        <v>0</v>
      </c>
      <c r="E45" s="65">
        <f>Calculo!E96</f>
        <v>0</v>
      </c>
      <c r="F45" s="65">
        <f>Calculo!F96</f>
        <v>0</v>
      </c>
      <c r="G45" s="65">
        <f>Calculo!G96</f>
        <v>0</v>
      </c>
      <c r="H45" s="65">
        <f>Calculo!H96</f>
        <v>0</v>
      </c>
      <c r="I45" s="65">
        <f>Calculo!I96</f>
        <v>0</v>
      </c>
      <c r="J45" s="65">
        <f>Calculo!J96</f>
        <v>0</v>
      </c>
      <c r="K45" s="65">
        <f>Calculo!K96</f>
        <v>0</v>
      </c>
      <c r="L45" s="65">
        <f>Calculo!L96</f>
        <v>0</v>
      </c>
      <c r="M45" s="65">
        <f>Calculo!M96</f>
        <v>0</v>
      </c>
      <c r="N45" s="73">
        <f t="shared" si="5"/>
        <v>0</v>
      </c>
    </row>
    <row r="46" ht="14.25" customHeight="1">
      <c r="A46" s="7" t="s">
        <v>732</v>
      </c>
      <c r="B46" s="7" t="s">
        <v>119</v>
      </c>
      <c r="C46" s="7"/>
      <c r="D46" s="65">
        <f>Calculo!D97</f>
        <v>0.31775125</v>
      </c>
      <c r="E46" s="65">
        <f>Calculo!E97</f>
        <v>0.46728125</v>
      </c>
      <c r="F46" s="65">
        <f>Calculo!F97</f>
        <v>0.822415</v>
      </c>
      <c r="G46" s="65">
        <f>Calculo!G97</f>
        <v>1.40184375</v>
      </c>
      <c r="H46" s="65">
        <f>Calculo!H97</f>
        <v>2.26164125</v>
      </c>
      <c r="I46" s="65">
        <f>Calculo!I97</f>
        <v>3.065365</v>
      </c>
      <c r="J46" s="65">
        <f>Calculo!J97</f>
        <v>4.0746925</v>
      </c>
      <c r="K46" s="65">
        <f>Calculo!K97</f>
        <v>5.158785</v>
      </c>
      <c r="L46" s="65">
        <f>Calculo!L97</f>
        <v>5.9812</v>
      </c>
      <c r="M46" s="65">
        <f>Calculo!M97</f>
        <v>6.87838</v>
      </c>
      <c r="N46" s="73">
        <f t="shared" si="5"/>
        <v>30.429355</v>
      </c>
    </row>
    <row r="47" ht="14.25" customHeight="1">
      <c r="A47" s="7" t="s">
        <v>525</v>
      </c>
      <c r="B47" s="7" t="s">
        <v>119</v>
      </c>
      <c r="C47" s="7"/>
      <c r="D47" s="65">
        <f>Calculo!D98</f>
        <v>0.89718</v>
      </c>
      <c r="E47" s="65">
        <f>Calculo!E98</f>
        <v>1.62613875</v>
      </c>
      <c r="F47" s="65">
        <f>Calculo!F98</f>
        <v>2.41117125</v>
      </c>
      <c r="G47" s="65">
        <f>Calculo!G98</f>
        <v>4.03731</v>
      </c>
      <c r="H47" s="65">
        <f>Calculo!H98</f>
        <v>6.67277625</v>
      </c>
      <c r="I47" s="65">
        <f>Calculo!I98</f>
        <v>9.3082425</v>
      </c>
      <c r="J47" s="65">
        <f>Calculo!J98</f>
        <v>12.50444625</v>
      </c>
      <c r="K47" s="65">
        <f>Calculo!K98</f>
        <v>15.8127975</v>
      </c>
      <c r="L47" s="65">
        <f>Calculo!L98</f>
        <v>18.0557475</v>
      </c>
      <c r="M47" s="65">
        <f>Calculo!M98</f>
        <v>20.91550875</v>
      </c>
      <c r="N47" s="73">
        <f t="shared" si="5"/>
        <v>92.24131875</v>
      </c>
    </row>
    <row r="48" ht="14.25" customHeight="1">
      <c r="A48" s="7" t="s">
        <v>423</v>
      </c>
      <c r="B48" s="7" t="s">
        <v>119</v>
      </c>
      <c r="C48" s="7"/>
      <c r="D48" s="65">
        <f>Calculo!D66</f>
        <v>0.3764387844</v>
      </c>
      <c r="E48" s="65">
        <f>Calculo!E66</f>
        <v>0.5402018162</v>
      </c>
      <c r="F48" s="65">
        <f>Calculo!F66</f>
        <v>1.307401894</v>
      </c>
      <c r="G48" s="65">
        <f>Calculo!G66</f>
        <v>3.167346384</v>
      </c>
      <c r="H48" s="65">
        <f>Calculo!H66</f>
        <v>5.595327</v>
      </c>
      <c r="I48" s="65">
        <f>Calculo!I66</f>
        <v>7.86386836</v>
      </c>
      <c r="J48" s="65">
        <f>Calculo!J66</f>
        <v>10.96023275</v>
      </c>
      <c r="K48" s="65">
        <f>Calculo!K66</f>
        <v>14.06425382</v>
      </c>
      <c r="L48" s="65">
        <f>Calculo!L66</f>
        <v>15.79916911</v>
      </c>
      <c r="M48" s="65">
        <f>Calculo!M66</f>
        <v>18.25183128</v>
      </c>
      <c r="N48" s="73">
        <f t="shared" si="5"/>
        <v>77.9260712</v>
      </c>
    </row>
    <row r="49" ht="14.25" customHeight="1">
      <c r="A49" s="7" t="s">
        <v>427</v>
      </c>
      <c r="B49" s="7" t="s">
        <v>119</v>
      </c>
      <c r="C49" s="7"/>
      <c r="D49" s="65">
        <f>Calculo!D67</f>
        <v>0.3247952148</v>
      </c>
      <c r="E49" s="65">
        <f>Calculo!E67</f>
        <v>0.4660916255</v>
      </c>
      <c r="F49" s="65">
        <f>Calculo!F67</f>
        <v>1.128039662</v>
      </c>
      <c r="G49" s="65">
        <f>Calculo!G67</f>
        <v>2.732818699</v>
      </c>
      <c r="H49" s="65">
        <f>Calculo!H67</f>
        <v>4.827705088</v>
      </c>
      <c r="I49" s="65">
        <f>Calculo!I67</f>
        <v>6.785025665</v>
      </c>
      <c r="J49" s="65">
        <f>Calculo!J67</f>
        <v>9.456600375</v>
      </c>
      <c r="K49" s="65">
        <f>Calculo!K67</f>
        <v>12.13478135</v>
      </c>
      <c r="L49" s="65">
        <f>Calculo!L67</f>
        <v>13.63168392</v>
      </c>
      <c r="M49" s="65">
        <f>Calculo!M67</f>
        <v>15.74786581</v>
      </c>
      <c r="N49" s="73">
        <f t="shared" si="5"/>
        <v>67.23540741</v>
      </c>
    </row>
    <row r="50" ht="14.25" customHeight="1">
      <c r="A50" s="7" t="s">
        <v>431</v>
      </c>
      <c r="B50" s="7" t="s">
        <v>119</v>
      </c>
      <c r="C50" s="7"/>
      <c r="D50" s="65">
        <f>Calculo!D68</f>
        <v>0.1061659045</v>
      </c>
      <c r="E50" s="65">
        <f>Calculo!E68</f>
        <v>0.2551580553</v>
      </c>
      <c r="F50" s="65">
        <f>Calculo!F68</f>
        <v>0.4631712513</v>
      </c>
      <c r="G50" s="65">
        <f>Calculo!G68</f>
        <v>0.9159058543</v>
      </c>
      <c r="H50" s="65">
        <f>Calculo!H68</f>
        <v>1.527709372</v>
      </c>
      <c r="I50" s="65">
        <f>Calculo!I68</f>
        <v>2.179100176</v>
      </c>
      <c r="J50" s="65">
        <f>Calculo!J68</f>
        <v>2.902827749</v>
      </c>
      <c r="K50" s="65">
        <f>Calculo!K68</f>
        <v>3.680897869</v>
      </c>
      <c r="L50" s="65">
        <f>Calculo!L68</f>
        <v>4.295580462</v>
      </c>
      <c r="M50" s="65">
        <f>Calculo!M68</f>
        <v>5.072211045</v>
      </c>
      <c r="N50" s="73">
        <f t="shared" si="5"/>
        <v>21.39872774</v>
      </c>
    </row>
    <row r="51" ht="14.25" customHeight="1">
      <c r="A51" s="7" t="s">
        <v>432</v>
      </c>
      <c r="B51" s="7" t="s">
        <v>119</v>
      </c>
      <c r="C51" s="7"/>
      <c r="D51" s="65">
        <f>Calculo!D69</f>
        <v>0.08808270101</v>
      </c>
      <c r="E51" s="65">
        <f>Calculo!E69</f>
        <v>0.2116970678</v>
      </c>
      <c r="F51" s="65">
        <f>Calculo!F69</f>
        <v>0.3842794447</v>
      </c>
      <c r="G51" s="65">
        <f>Calculo!G69</f>
        <v>0.7598999121</v>
      </c>
      <c r="H51" s="65">
        <f>Calculo!H69</f>
        <v>1.267495138</v>
      </c>
      <c r="I51" s="65">
        <f>Calculo!I69</f>
        <v>1.807934761</v>
      </c>
      <c r="J51" s="65">
        <f>Calculo!J69</f>
        <v>2.408390055</v>
      </c>
      <c r="K51" s="65">
        <f>Calculo!K69</f>
        <v>3.053931749</v>
      </c>
      <c r="L51" s="65">
        <f>Calculo!L69</f>
        <v>3.563915658</v>
      </c>
      <c r="M51" s="65">
        <f>Calculo!M69</f>
        <v>4.20826301</v>
      </c>
      <c r="N51" s="73">
        <f t="shared" si="5"/>
        <v>17.7538895</v>
      </c>
    </row>
    <row r="52" ht="14.25" customHeight="1">
      <c r="A52" s="7" t="s">
        <v>433</v>
      </c>
      <c r="B52" s="7" t="s">
        <v>119</v>
      </c>
      <c r="C52" s="7"/>
      <c r="D52" s="65">
        <f>Calculo!D70</f>
        <v>1.598816997</v>
      </c>
      <c r="E52" s="65">
        <f>Calculo!E70</f>
        <v>2.726351502</v>
      </c>
      <c r="F52" s="65">
        <f>Calculo!F70</f>
        <v>4.658255373</v>
      </c>
      <c r="G52" s="65">
        <f>Calculo!G70</f>
        <v>8.486628342</v>
      </c>
      <c r="H52" s="65">
        <f>Calculo!H70</f>
        <v>14.42903992</v>
      </c>
      <c r="I52" s="65">
        <f>Calculo!I70</f>
        <v>20.15529938</v>
      </c>
      <c r="J52" s="65">
        <f>Calculo!J70</f>
        <v>27.24012806</v>
      </c>
      <c r="K52" s="65">
        <f>Calculo!K70</f>
        <v>34.47874367</v>
      </c>
      <c r="L52" s="65">
        <f>Calculo!L70</f>
        <v>39.19369468</v>
      </c>
      <c r="M52" s="65">
        <f>Calculo!M70</f>
        <v>45.11980626</v>
      </c>
      <c r="N52" s="73">
        <f t="shared" si="5"/>
        <v>198.0867642</v>
      </c>
    </row>
    <row r="53" ht="14.25" customHeight="1">
      <c r="A53" s="7" t="s">
        <v>434</v>
      </c>
      <c r="B53" s="7" t="s">
        <v>119</v>
      </c>
      <c r="C53" s="7"/>
      <c r="D53" s="65">
        <f>Calculo!D71</f>
        <v>1.027810927</v>
      </c>
      <c r="E53" s="65">
        <f>Calculo!E71</f>
        <v>1.752654537</v>
      </c>
      <c r="F53" s="65">
        <f>Calculo!F71</f>
        <v>2.99459274</v>
      </c>
      <c r="G53" s="65">
        <f>Calculo!G71</f>
        <v>5.455689648</v>
      </c>
      <c r="H53" s="65">
        <f>Calculo!H71</f>
        <v>9.275811377</v>
      </c>
      <c r="I53" s="65">
        <f>Calculo!I71</f>
        <v>12.95697817</v>
      </c>
      <c r="J53" s="65">
        <f>Calculo!J71</f>
        <v>17.5115109</v>
      </c>
      <c r="K53" s="65">
        <f>Calculo!K71</f>
        <v>22.16490665</v>
      </c>
      <c r="L53" s="65">
        <f>Calculo!L71</f>
        <v>25.19594658</v>
      </c>
      <c r="M53" s="65">
        <f>Calculo!M71</f>
        <v>29.00558974</v>
      </c>
      <c r="N53" s="73">
        <f t="shared" si="5"/>
        <v>127.3414913</v>
      </c>
    </row>
    <row r="54" ht="14.25" customHeight="1">
      <c r="A54" s="7" t="s">
        <v>437</v>
      </c>
      <c r="B54" s="7" t="s">
        <v>119</v>
      </c>
      <c r="C54" s="7"/>
      <c r="D54" s="65">
        <f>Calculo!D72</f>
        <v>0.1139544362</v>
      </c>
      <c r="E54" s="65">
        <f>Calculo!E72</f>
        <v>0.2192384261</v>
      </c>
      <c r="F54" s="65">
        <f>Calculo!F72</f>
        <v>0.4248518653</v>
      </c>
      <c r="G54" s="65">
        <f>Calculo!G72</f>
        <v>0.8336014734</v>
      </c>
      <c r="H54" s="65">
        <f>Calculo!H72</f>
        <v>1.469021319</v>
      </c>
      <c r="I54" s="65">
        <f>Calculo!I72</f>
        <v>2.127975232</v>
      </c>
      <c r="J54" s="65">
        <f>Calculo!J72</f>
        <v>2.876110878</v>
      </c>
      <c r="K54" s="65">
        <f>Calculo!K72</f>
        <v>3.641587417</v>
      </c>
      <c r="L54" s="65">
        <f>Calculo!L72</f>
        <v>4.140757393</v>
      </c>
      <c r="M54" s="65">
        <f>Calculo!M72</f>
        <v>4.771222697</v>
      </c>
      <c r="N54" s="73">
        <f t="shared" si="5"/>
        <v>20.61832114</v>
      </c>
    </row>
    <row r="55" ht="14.25" customHeight="1">
      <c r="A55" s="7" t="s">
        <v>439</v>
      </c>
      <c r="B55" s="7" t="s">
        <v>119</v>
      </c>
      <c r="C55" s="7"/>
      <c r="D55" s="65">
        <f>Calculo!D73</f>
        <v>0.07537583855</v>
      </c>
      <c r="E55" s="65">
        <f>Calculo!E73</f>
        <v>0.145016559</v>
      </c>
      <c r="F55" s="65">
        <f>Calculo!F73</f>
        <v>0.2810207894</v>
      </c>
      <c r="G55" s="65">
        <f>Calculo!G73</f>
        <v>0.5513906451</v>
      </c>
      <c r="H55" s="65">
        <f>Calculo!H73</f>
        <v>0.9716928753</v>
      </c>
      <c r="I55" s="65">
        <f>Calculo!I73</f>
        <v>1.407561855</v>
      </c>
      <c r="J55" s="65">
        <f>Calculo!J73</f>
        <v>1.902420621</v>
      </c>
      <c r="K55" s="65">
        <f>Calculo!K73</f>
        <v>2.408749623</v>
      </c>
      <c r="L55" s="65">
        <f>Calculo!L73</f>
        <v>2.738928568</v>
      </c>
      <c r="M55" s="65">
        <f>Calculo!M73</f>
        <v>3.155953588</v>
      </c>
      <c r="N55" s="73">
        <f t="shared" si="5"/>
        <v>13.63811096</v>
      </c>
    </row>
    <row r="56" ht="14.25" customHeight="1">
      <c r="A56" s="5" t="s">
        <v>739</v>
      </c>
      <c r="B56" s="7" t="s">
        <v>119</v>
      </c>
      <c r="C56" s="7"/>
      <c r="D56" s="61">
        <f>Calculo!D259</f>
        <v>12.26007382</v>
      </c>
      <c r="E56" s="61">
        <f>Calculo!E259</f>
        <v>21.23617749</v>
      </c>
      <c r="F56" s="61">
        <f>Calculo!F259</f>
        <v>36.55836881</v>
      </c>
      <c r="G56" s="61">
        <f>Calculo!G259</f>
        <v>67.57180364</v>
      </c>
      <c r="H56" s="61">
        <f>Calculo!H259</f>
        <v>114.7175349</v>
      </c>
      <c r="I56" s="61">
        <f>Calculo!I259</f>
        <v>160.8229518</v>
      </c>
      <c r="J56" s="61">
        <f>Calculo!J259</f>
        <v>217.3251473</v>
      </c>
      <c r="K56" s="61">
        <f>Calculo!K259</f>
        <v>275.352838</v>
      </c>
      <c r="L56" s="61">
        <f>Calculo!L259</f>
        <v>313.7080758</v>
      </c>
      <c r="M56" s="61">
        <f>Calculo!M259</f>
        <v>362.1787171</v>
      </c>
      <c r="N56" s="73">
        <f t="shared" si="5"/>
        <v>1581.731689</v>
      </c>
    </row>
    <row r="57" ht="14.25" customHeight="1">
      <c r="A57" s="7" t="s">
        <v>741</v>
      </c>
      <c r="B57" s="7" t="s">
        <v>119</v>
      </c>
      <c r="C57" s="7"/>
      <c r="D57" s="65">
        <f>Calculo!D41</f>
        <v>10.19509986</v>
      </c>
      <c r="E57" s="65">
        <f>Calculo!E41</f>
        <v>17.68445911</v>
      </c>
      <c r="F57" s="65">
        <f>Calculo!F41</f>
        <v>30.36994075</v>
      </c>
      <c r="G57" s="65">
        <f>Calculo!G41</f>
        <v>55.98430245</v>
      </c>
      <c r="H57" s="65">
        <f>Calculo!H41</f>
        <v>95.01949442</v>
      </c>
      <c r="I57" s="65">
        <f>Calculo!I41</f>
        <v>133.2139327</v>
      </c>
      <c r="J57" s="65">
        <f>Calculo!J41</f>
        <v>179.9528403</v>
      </c>
      <c r="K57" s="65">
        <f>Calculo!K41</f>
        <v>227.9611293</v>
      </c>
      <c r="L57" s="65">
        <f>Calculo!L41</f>
        <v>259.7433583</v>
      </c>
      <c r="M57" s="65">
        <f>Calculo!M41</f>
        <v>299.8606499</v>
      </c>
      <c r="N57" s="73">
        <f t="shared" si="5"/>
        <v>1309.985207</v>
      </c>
    </row>
    <row r="58" ht="14.25" customHeight="1">
      <c r="A58" s="7" t="s">
        <v>742</v>
      </c>
      <c r="B58" s="7" t="s">
        <v>119</v>
      </c>
      <c r="C58" s="7"/>
      <c r="D58" s="65">
        <f>Calculo!D260</f>
        <v>2.064973956</v>
      </c>
      <c r="E58" s="65">
        <f>Calculo!E260</f>
        <v>3.551718381</v>
      </c>
      <c r="F58" s="65">
        <f>Calculo!F260</f>
        <v>6.188428057</v>
      </c>
      <c r="G58" s="65">
        <f>Calculo!G260</f>
        <v>11.58750119</v>
      </c>
      <c r="H58" s="65">
        <f>Calculo!H260</f>
        <v>19.69804051</v>
      </c>
      <c r="I58" s="65">
        <f>Calculo!I260</f>
        <v>27.60901906</v>
      </c>
      <c r="J58" s="65">
        <f>Calculo!J260</f>
        <v>37.37230703</v>
      </c>
      <c r="K58" s="65">
        <f>Calculo!K260</f>
        <v>47.39170864</v>
      </c>
      <c r="L58" s="65">
        <f>Calculo!L260</f>
        <v>53.96471745</v>
      </c>
      <c r="M58" s="65">
        <f>Calculo!M260</f>
        <v>62.31806724</v>
      </c>
      <c r="N58" s="73">
        <f t="shared" si="5"/>
        <v>271.7464815</v>
      </c>
    </row>
    <row r="59" ht="14.25" customHeight="1">
      <c r="A59" s="7" t="s">
        <v>743</v>
      </c>
      <c r="B59" s="7" t="s">
        <v>72</v>
      </c>
      <c r="C59" s="7"/>
      <c r="D59" s="51">
        <f>IF(Calculo!D259=0,0,Calculo!D41/Calculo!D259)</f>
        <v>0.8315692069</v>
      </c>
      <c r="E59" s="51">
        <f>IF(Calculo!E259=0,0,Calculo!E41/Calculo!E259)</f>
        <v>0.8327515212</v>
      </c>
      <c r="F59" s="51">
        <f>IF(Calculo!F259=0,0,Calculo!F41/Calculo!F259)</f>
        <v>0.8307247216</v>
      </c>
      <c r="G59" s="51">
        <f>IF(Calculo!G259=0,0,Calculo!G41/Calculo!G259)</f>
        <v>0.8285157334</v>
      </c>
      <c r="H59" s="51">
        <f>IF(Calculo!H259=0,0,Calculo!H41/Calculo!H259)</f>
        <v>0.8282909363</v>
      </c>
      <c r="I59" s="51">
        <f>IF(Calculo!I259=0,0,Calculo!I41/Calculo!I259)</f>
        <v>0.8283266241</v>
      </c>
      <c r="J59" s="51">
        <f>IF(Calculo!J259=0,0,Calculo!J41/Calculo!J259)</f>
        <v>0.8280350549</v>
      </c>
      <c r="K59" s="51">
        <f>IF(Calculo!K259=0,0,Calculo!K41/Calculo!K259)</f>
        <v>0.8278873427</v>
      </c>
      <c r="L59" s="51">
        <f>IF(Calculo!L259=0,0,Calculo!L41/Calculo!L259)</f>
        <v>0.8279779144</v>
      </c>
      <c r="M59" s="51">
        <f>IF(Calculo!M259=0,0,Calculo!M41/Calculo!M259)</f>
        <v>0.8279355901</v>
      </c>
      <c r="N59" s="90"/>
    </row>
    <row r="60" ht="14.25" customHeight="1"/>
    <row r="61" ht="14.25" customHeight="1">
      <c r="A61" s="3" t="s">
        <v>744</v>
      </c>
    </row>
    <row r="62" ht="14.25" customHeight="1">
      <c r="A62" s="4" t="s">
        <v>7</v>
      </c>
      <c r="B62" s="4" t="s">
        <v>13</v>
      </c>
      <c r="C62" s="4"/>
      <c r="D62" s="4">
        <v>2026.0</v>
      </c>
      <c r="E62" s="4">
        <v>2027.0</v>
      </c>
      <c r="F62" s="4">
        <v>2028.0</v>
      </c>
      <c r="G62" s="4">
        <v>2029.0</v>
      </c>
      <c r="H62" s="4">
        <v>2030.0</v>
      </c>
      <c r="I62" s="4">
        <v>2031.0</v>
      </c>
      <c r="J62" s="4">
        <v>2032.0</v>
      </c>
      <c r="K62" s="4">
        <v>2033.0</v>
      </c>
      <c r="L62" s="4">
        <v>2034.0</v>
      </c>
      <c r="M62" s="4">
        <v>2035.0</v>
      </c>
      <c r="N62" s="4" t="s">
        <v>670</v>
      </c>
    </row>
    <row r="63" ht="14.25" customHeight="1">
      <c r="A63" s="7" t="s">
        <v>724</v>
      </c>
      <c r="B63" s="7" t="s">
        <v>745</v>
      </c>
      <c r="C63" s="7"/>
      <c r="D63" s="16">
        <f>Calculo!D80</f>
        <v>10.92592593</v>
      </c>
      <c r="E63" s="16">
        <f>Calculo!E80</f>
        <v>26.25925926</v>
      </c>
      <c r="F63" s="16">
        <f>Calculo!F80</f>
        <v>47.66666667</v>
      </c>
      <c r="G63" s="16">
        <f>Calculo!G80</f>
        <v>94.25925926</v>
      </c>
      <c r="H63" s="16">
        <f>Calculo!H80</f>
        <v>157.2222222</v>
      </c>
      <c r="I63" s="16">
        <f>Calculo!I80</f>
        <v>224.2592593</v>
      </c>
      <c r="J63" s="16">
        <f>Calculo!J80</f>
        <v>298.7407407</v>
      </c>
      <c r="K63" s="16">
        <f>Calculo!K80</f>
        <v>378.8148148</v>
      </c>
      <c r="L63" s="16">
        <f>Calculo!L80</f>
        <v>442.0740741</v>
      </c>
      <c r="M63" s="16">
        <f>Calculo!M80</f>
        <v>522</v>
      </c>
      <c r="N63" s="26">
        <f t="shared" ref="N63:N78" si="6">SUM(D63:M63)</f>
        <v>2202.222222</v>
      </c>
    </row>
    <row r="64" ht="14.25" customHeight="1">
      <c r="A64" s="7" t="s">
        <v>725</v>
      </c>
      <c r="B64" s="7" t="s">
        <v>745</v>
      </c>
      <c r="C64" s="7"/>
      <c r="D64" s="16">
        <f>Calculo!D81</f>
        <v>188</v>
      </c>
      <c r="E64" s="16">
        <f>Calculo!E81</f>
        <v>320.5833333</v>
      </c>
      <c r="F64" s="16">
        <f>Calculo!F81</f>
        <v>547.75</v>
      </c>
      <c r="G64" s="16">
        <f>Calculo!G81</f>
        <v>997.9166667</v>
      </c>
      <c r="H64" s="16">
        <f>Calculo!H81</f>
        <v>1696.666667</v>
      </c>
      <c r="I64" s="16">
        <f>Calculo!I81</f>
        <v>2370</v>
      </c>
      <c r="J64" s="16">
        <f>Calculo!J81</f>
        <v>3203.083333</v>
      </c>
      <c r="K64" s="16">
        <f>Calculo!K81</f>
        <v>4054.25</v>
      </c>
      <c r="L64" s="16">
        <f>Calculo!L81</f>
        <v>4608.666667</v>
      </c>
      <c r="M64" s="16">
        <f>Calculo!M81</f>
        <v>5305.5</v>
      </c>
      <c r="N64" s="26">
        <f t="shared" si="6"/>
        <v>23292.41667</v>
      </c>
    </row>
    <row r="65" ht="14.25" customHeight="1">
      <c r="A65" s="7" t="s">
        <v>726</v>
      </c>
      <c r="B65" s="7" t="s">
        <v>745</v>
      </c>
      <c r="C65" s="7"/>
      <c r="D65" s="16">
        <f>Calculo!D82</f>
        <v>6.133333333</v>
      </c>
      <c r="E65" s="16">
        <f>Calculo!E82</f>
        <v>11.8</v>
      </c>
      <c r="F65" s="16">
        <f>Calculo!F82</f>
        <v>22.86666667</v>
      </c>
      <c r="G65" s="16">
        <f>Calculo!G82</f>
        <v>44.86666667</v>
      </c>
      <c r="H65" s="16">
        <f>Calculo!H82</f>
        <v>79.06666667</v>
      </c>
      <c r="I65" s="16">
        <f>Calculo!I82</f>
        <v>114.5333333</v>
      </c>
      <c r="J65" s="16">
        <f>Calculo!J82</f>
        <v>154.8</v>
      </c>
      <c r="K65" s="16">
        <f>Calculo!K82</f>
        <v>196</v>
      </c>
      <c r="L65" s="16">
        <f>Calculo!L82</f>
        <v>222.8666667</v>
      </c>
      <c r="M65" s="16">
        <f>Calculo!M82</f>
        <v>256.8</v>
      </c>
      <c r="N65" s="26">
        <f t="shared" si="6"/>
        <v>1109.733333</v>
      </c>
    </row>
    <row r="66" ht="14.25" customHeight="1">
      <c r="A66" s="7" t="s">
        <v>727</v>
      </c>
      <c r="B66" s="7" t="s">
        <v>745</v>
      </c>
      <c r="C66" s="7"/>
      <c r="D66" s="16">
        <f>Calculo!D83</f>
        <v>3.777777778</v>
      </c>
      <c r="E66" s="16">
        <f>Calculo!E83</f>
        <v>6.444444444</v>
      </c>
      <c r="F66" s="16">
        <f>Calculo!F83</f>
        <v>10</v>
      </c>
      <c r="G66" s="16">
        <f>Calculo!G83</f>
        <v>16.66666667</v>
      </c>
      <c r="H66" s="16">
        <f>Calculo!H83</f>
        <v>27.66666667</v>
      </c>
      <c r="I66" s="16">
        <f>Calculo!I83</f>
        <v>38.55555556</v>
      </c>
      <c r="J66" s="16">
        <f>Calculo!J83</f>
        <v>51.55555556</v>
      </c>
      <c r="K66" s="16">
        <f>Calculo!K83</f>
        <v>65</v>
      </c>
      <c r="L66" s="16">
        <f>Calculo!L83</f>
        <v>74.44444444</v>
      </c>
      <c r="M66" s="16">
        <f>Calculo!M83</f>
        <v>86.11111111</v>
      </c>
      <c r="N66" s="26">
        <f t="shared" si="6"/>
        <v>380.2222222</v>
      </c>
    </row>
    <row r="67" ht="14.25" customHeight="1">
      <c r="A67" s="7" t="s">
        <v>728</v>
      </c>
      <c r="B67" s="7" t="s">
        <v>745</v>
      </c>
      <c r="C67" s="7"/>
      <c r="D67" s="16">
        <f>Calculo!D84</f>
        <v>12.5</v>
      </c>
      <c r="E67" s="16">
        <f>Calculo!E84</f>
        <v>21.33333333</v>
      </c>
      <c r="F67" s="16">
        <f>Calculo!F84</f>
        <v>33</v>
      </c>
      <c r="G67" s="16">
        <f>Calculo!G84</f>
        <v>55.33333333</v>
      </c>
      <c r="H67" s="16">
        <f>Calculo!H84</f>
        <v>91.33333333</v>
      </c>
      <c r="I67" s="16">
        <f>Calculo!I84</f>
        <v>127.3333333</v>
      </c>
      <c r="J67" s="16">
        <f>Calculo!J84</f>
        <v>170</v>
      </c>
      <c r="K67" s="16">
        <f>Calculo!K84</f>
        <v>214.5</v>
      </c>
      <c r="L67" s="16">
        <f>Calculo!L84</f>
        <v>246</v>
      </c>
      <c r="M67" s="16">
        <f>Calculo!M84</f>
        <v>284.1666667</v>
      </c>
      <c r="N67" s="26">
        <f t="shared" si="6"/>
        <v>1255.5</v>
      </c>
    </row>
    <row r="68" ht="14.25" customHeight="1">
      <c r="A68" s="7" t="s">
        <v>730</v>
      </c>
      <c r="B68" s="7" t="s">
        <v>745</v>
      </c>
      <c r="C68" s="7"/>
      <c r="D68" s="16">
        <f>Calculo!D85</f>
        <v>0</v>
      </c>
      <c r="E68" s="16">
        <f>Calculo!E85</f>
        <v>0</v>
      </c>
      <c r="F68" s="16">
        <f>Calculo!F85</f>
        <v>0</v>
      </c>
      <c r="G68" s="16">
        <f>Calculo!G85</f>
        <v>0</v>
      </c>
      <c r="H68" s="16">
        <f>Calculo!H85</f>
        <v>0</v>
      </c>
      <c r="I68" s="16">
        <f>Calculo!I85</f>
        <v>0</v>
      </c>
      <c r="J68" s="16">
        <f>Calculo!J85</f>
        <v>0</v>
      </c>
      <c r="K68" s="16">
        <f>Calculo!K85</f>
        <v>0</v>
      </c>
      <c r="L68" s="16">
        <f>Calculo!L85</f>
        <v>0</v>
      </c>
      <c r="M68" s="16">
        <f>Calculo!M85</f>
        <v>0</v>
      </c>
      <c r="N68" s="26">
        <f t="shared" si="6"/>
        <v>0</v>
      </c>
    </row>
    <row r="69" ht="14.25" customHeight="1">
      <c r="A69" s="7" t="s">
        <v>732</v>
      </c>
      <c r="B69" s="7" t="s">
        <v>745</v>
      </c>
      <c r="C69" s="7"/>
      <c r="D69" s="16">
        <f>Calculo!D86</f>
        <v>1.888888889</v>
      </c>
      <c r="E69" s="16">
        <f>Calculo!E86</f>
        <v>2.777777778</v>
      </c>
      <c r="F69" s="16">
        <f>Calculo!F86</f>
        <v>4.888888889</v>
      </c>
      <c r="G69" s="16">
        <f>Calculo!G86</f>
        <v>8.333333333</v>
      </c>
      <c r="H69" s="16">
        <f>Calculo!H86</f>
        <v>13.44444444</v>
      </c>
      <c r="I69" s="16">
        <f>Calculo!I86</f>
        <v>18.22222222</v>
      </c>
      <c r="J69" s="16">
        <f>Calculo!J86</f>
        <v>24.22222222</v>
      </c>
      <c r="K69" s="16">
        <f>Calculo!K86</f>
        <v>30.66666667</v>
      </c>
      <c r="L69" s="16">
        <f>Calculo!L86</f>
        <v>35.55555556</v>
      </c>
      <c r="M69" s="16">
        <f>Calculo!M86</f>
        <v>40.88888889</v>
      </c>
      <c r="N69" s="26">
        <f t="shared" si="6"/>
        <v>180.8888889</v>
      </c>
    </row>
    <row r="70" ht="14.25" customHeight="1">
      <c r="A70" s="7" t="s">
        <v>525</v>
      </c>
      <c r="B70" s="7" t="s">
        <v>745</v>
      </c>
      <c r="C70" s="7"/>
      <c r="D70" s="16">
        <f>Calculo!D87</f>
        <v>5.333333333</v>
      </c>
      <c r="E70" s="16">
        <f>Calculo!E87</f>
        <v>9.666666667</v>
      </c>
      <c r="F70" s="16">
        <f>Calculo!F87</f>
        <v>14.33333333</v>
      </c>
      <c r="G70" s="16">
        <f>Calculo!G87</f>
        <v>24</v>
      </c>
      <c r="H70" s="16">
        <f>Calculo!H87</f>
        <v>39.66666667</v>
      </c>
      <c r="I70" s="16">
        <f>Calculo!I87</f>
        <v>55.33333333</v>
      </c>
      <c r="J70" s="16">
        <f>Calculo!J87</f>
        <v>74.33333333</v>
      </c>
      <c r="K70" s="16">
        <f>Calculo!K87</f>
        <v>94</v>
      </c>
      <c r="L70" s="16">
        <f>Calculo!L87</f>
        <v>107.3333333</v>
      </c>
      <c r="M70" s="16">
        <f>Calculo!M87</f>
        <v>124.3333333</v>
      </c>
      <c r="N70" s="26">
        <f t="shared" si="6"/>
        <v>548.3333333</v>
      </c>
    </row>
    <row r="71" ht="14.25" customHeight="1">
      <c r="A71" s="7" t="s">
        <v>746</v>
      </c>
      <c r="B71" s="7" t="s">
        <v>747</v>
      </c>
      <c r="C71" s="7"/>
      <c r="D71" s="50">
        <f>Calculo!D202</f>
        <v>0.3764387844</v>
      </c>
      <c r="E71" s="50">
        <f>Calculo!E202</f>
        <v>0.5402018162</v>
      </c>
      <c r="F71" s="50">
        <f>Calculo!F202</f>
        <v>1.307401894</v>
      </c>
      <c r="G71" s="50">
        <f>Calculo!G202</f>
        <v>3.167346384</v>
      </c>
      <c r="H71" s="50">
        <f>Calculo!H202</f>
        <v>5.595327</v>
      </c>
      <c r="I71" s="50">
        <f>Calculo!I202</f>
        <v>7.86386836</v>
      </c>
      <c r="J71" s="50">
        <f>Calculo!J202</f>
        <v>10.96023275</v>
      </c>
      <c r="K71" s="50">
        <f>Calculo!K202</f>
        <v>14.06425382</v>
      </c>
      <c r="L71" s="50">
        <f>Calculo!L202</f>
        <v>15.79916911</v>
      </c>
      <c r="M71" s="50">
        <f>Calculo!M202</f>
        <v>18.25183128</v>
      </c>
      <c r="N71" s="83">
        <f t="shared" si="6"/>
        <v>77.9260712</v>
      </c>
    </row>
    <row r="72" ht="14.25" customHeight="1">
      <c r="A72" s="7" t="s">
        <v>749</v>
      </c>
      <c r="B72" s="7" t="s">
        <v>747</v>
      </c>
      <c r="C72" s="7"/>
      <c r="D72" s="50">
        <f>Calculo!D203</f>
        <v>0.3247952148</v>
      </c>
      <c r="E72" s="50">
        <f>Calculo!E203</f>
        <v>0.4660916255</v>
      </c>
      <c r="F72" s="50">
        <f>Calculo!F203</f>
        <v>1.128039662</v>
      </c>
      <c r="G72" s="50">
        <f>Calculo!G203</f>
        <v>2.732818699</v>
      </c>
      <c r="H72" s="50">
        <f>Calculo!H203</f>
        <v>4.827705088</v>
      </c>
      <c r="I72" s="50">
        <f>Calculo!I203</f>
        <v>6.785025665</v>
      </c>
      <c r="J72" s="50">
        <f>Calculo!J203</f>
        <v>9.456600375</v>
      </c>
      <c r="K72" s="50">
        <f>Calculo!K203</f>
        <v>12.13478135</v>
      </c>
      <c r="L72" s="50">
        <f>Calculo!L203</f>
        <v>13.63168392</v>
      </c>
      <c r="M72" s="50">
        <f>Calculo!M203</f>
        <v>15.74786581</v>
      </c>
      <c r="N72" s="83">
        <f t="shared" si="6"/>
        <v>67.23540741</v>
      </c>
    </row>
    <row r="73" ht="14.25" customHeight="1">
      <c r="A73" s="7" t="s">
        <v>750</v>
      </c>
      <c r="B73" s="7" t="s">
        <v>747</v>
      </c>
      <c r="C73" s="7"/>
      <c r="D73" s="50">
        <f>Calculo!D204</f>
        <v>0.212331809</v>
      </c>
      <c r="E73" s="50">
        <f>Calculo!E204</f>
        <v>0.5103161106</v>
      </c>
      <c r="F73" s="50">
        <f>Calculo!F204</f>
        <v>0.9263425025</v>
      </c>
      <c r="G73" s="50">
        <f>Calculo!G204</f>
        <v>1.831811709</v>
      </c>
      <c r="H73" s="50">
        <f>Calculo!H204</f>
        <v>3.055418744</v>
      </c>
      <c r="I73" s="50">
        <f>Calculo!I204</f>
        <v>4.358200352</v>
      </c>
      <c r="J73" s="50">
        <f>Calculo!J204</f>
        <v>5.805655497</v>
      </c>
      <c r="K73" s="50">
        <f>Calculo!K204</f>
        <v>7.361795739</v>
      </c>
      <c r="L73" s="50">
        <f>Calculo!L204</f>
        <v>8.591160925</v>
      </c>
      <c r="M73" s="50">
        <f>Calculo!M204</f>
        <v>10.14442209</v>
      </c>
      <c r="N73" s="83">
        <f t="shared" si="6"/>
        <v>42.79745548</v>
      </c>
    </row>
    <row r="74" ht="14.25" customHeight="1">
      <c r="A74" s="7" t="s">
        <v>751</v>
      </c>
      <c r="B74" s="7" t="s">
        <v>747</v>
      </c>
      <c r="C74" s="7"/>
      <c r="D74" s="50">
        <f>Calculo!D205</f>
        <v>0.176165402</v>
      </c>
      <c r="E74" s="50">
        <f>Calculo!E205</f>
        <v>0.4233941357</v>
      </c>
      <c r="F74" s="50">
        <f>Calculo!F205</f>
        <v>0.7685588894</v>
      </c>
      <c r="G74" s="50">
        <f>Calculo!G205</f>
        <v>1.519799824</v>
      </c>
      <c r="H74" s="50">
        <f>Calculo!H205</f>
        <v>2.534990276</v>
      </c>
      <c r="I74" s="50">
        <f>Calculo!I205</f>
        <v>3.615869523</v>
      </c>
      <c r="J74" s="50">
        <f>Calculo!J205</f>
        <v>4.816780111</v>
      </c>
      <c r="K74" s="50">
        <f>Calculo!K205</f>
        <v>6.107863497</v>
      </c>
      <c r="L74" s="50">
        <f>Calculo!L205</f>
        <v>7.127831317</v>
      </c>
      <c r="M74" s="50">
        <f>Calculo!M205</f>
        <v>8.41652602</v>
      </c>
      <c r="N74" s="83">
        <f t="shared" si="6"/>
        <v>35.50777899</v>
      </c>
    </row>
    <row r="75" ht="14.25" customHeight="1">
      <c r="A75" s="7" t="s">
        <v>752</v>
      </c>
      <c r="B75" s="7" t="s">
        <v>747</v>
      </c>
      <c r="C75" s="7"/>
      <c r="D75" s="50">
        <f>Calculo!D206</f>
        <v>2.664694995</v>
      </c>
      <c r="E75" s="50">
        <f>Calculo!E206</f>
        <v>4.543919169</v>
      </c>
      <c r="F75" s="50">
        <f>Calculo!F206</f>
        <v>7.763758955</v>
      </c>
      <c r="G75" s="50">
        <f>Calculo!G206</f>
        <v>14.14438057</v>
      </c>
      <c r="H75" s="50">
        <f>Calculo!H206</f>
        <v>24.04839987</v>
      </c>
      <c r="I75" s="50">
        <f>Calculo!I206</f>
        <v>33.59216563</v>
      </c>
      <c r="J75" s="50">
        <f>Calculo!J206</f>
        <v>45.40021344</v>
      </c>
      <c r="K75" s="50">
        <f>Calculo!K206</f>
        <v>57.46457278</v>
      </c>
      <c r="L75" s="50">
        <f>Calculo!L206</f>
        <v>65.32282447</v>
      </c>
      <c r="M75" s="50">
        <f>Calculo!M206</f>
        <v>75.19967711</v>
      </c>
      <c r="N75" s="83">
        <f t="shared" si="6"/>
        <v>330.144607</v>
      </c>
    </row>
    <row r="76" ht="14.25" customHeight="1">
      <c r="A76" s="7" t="s">
        <v>753</v>
      </c>
      <c r="B76" s="7" t="s">
        <v>747</v>
      </c>
      <c r="C76" s="7"/>
      <c r="D76" s="50">
        <f>Calculo!D207</f>
        <v>2.055621853</v>
      </c>
      <c r="E76" s="50">
        <f>Calculo!E207</f>
        <v>3.505309073</v>
      </c>
      <c r="F76" s="50">
        <f>Calculo!F207</f>
        <v>5.989185479</v>
      </c>
      <c r="G76" s="50">
        <f>Calculo!G207</f>
        <v>10.9113793</v>
      </c>
      <c r="H76" s="50">
        <f>Calculo!H207</f>
        <v>18.55162275</v>
      </c>
      <c r="I76" s="50">
        <f>Calculo!I207</f>
        <v>25.91395634</v>
      </c>
      <c r="J76" s="50">
        <f>Calculo!J207</f>
        <v>35.0230218</v>
      </c>
      <c r="K76" s="50">
        <f>Calculo!K207</f>
        <v>44.32981329</v>
      </c>
      <c r="L76" s="50">
        <f>Calculo!L207</f>
        <v>50.39189316</v>
      </c>
      <c r="M76" s="50">
        <f>Calculo!M207</f>
        <v>58.01117948</v>
      </c>
      <c r="N76" s="83">
        <f t="shared" si="6"/>
        <v>254.6829825</v>
      </c>
    </row>
    <row r="77" ht="14.25" customHeight="1">
      <c r="A77" s="7" t="s">
        <v>754</v>
      </c>
      <c r="B77" s="7" t="s">
        <v>747</v>
      </c>
      <c r="C77" s="7"/>
      <c r="D77" s="50">
        <f>Calculo!D208</f>
        <v>0.1519392482</v>
      </c>
      <c r="E77" s="50">
        <f>Calculo!E208</f>
        <v>0.2923179015</v>
      </c>
      <c r="F77" s="50">
        <f>Calculo!F208</f>
        <v>0.5664691538</v>
      </c>
      <c r="G77" s="50">
        <f>Calculo!G208</f>
        <v>1.111468631</v>
      </c>
      <c r="H77" s="50">
        <f>Calculo!H208</f>
        <v>1.958695091</v>
      </c>
      <c r="I77" s="50">
        <f>Calculo!I208</f>
        <v>2.83730031</v>
      </c>
      <c r="J77" s="50">
        <f>Calculo!J208</f>
        <v>3.834814505</v>
      </c>
      <c r="K77" s="50">
        <f>Calculo!K208</f>
        <v>4.855449889</v>
      </c>
      <c r="L77" s="50">
        <f>Calculo!L208</f>
        <v>5.521009857</v>
      </c>
      <c r="M77" s="50">
        <f>Calculo!M208</f>
        <v>6.361630263</v>
      </c>
      <c r="N77" s="83">
        <f t="shared" si="6"/>
        <v>27.49109485</v>
      </c>
    </row>
    <row r="78" ht="14.25" customHeight="1">
      <c r="A78" s="7" t="s">
        <v>755</v>
      </c>
      <c r="B78" s="7" t="s">
        <v>747</v>
      </c>
      <c r="C78" s="7"/>
      <c r="D78" s="50">
        <f>Calculo!D209</f>
        <v>0.1507516771</v>
      </c>
      <c r="E78" s="50">
        <f>Calculo!E209</f>
        <v>0.2900331179</v>
      </c>
      <c r="F78" s="50">
        <f>Calculo!F209</f>
        <v>0.5620415788</v>
      </c>
      <c r="G78" s="50">
        <f>Calculo!G209</f>
        <v>1.10278129</v>
      </c>
      <c r="H78" s="50">
        <f>Calculo!H209</f>
        <v>1.943385751</v>
      </c>
      <c r="I78" s="50">
        <f>Calculo!I209</f>
        <v>2.815123709</v>
      </c>
      <c r="J78" s="50">
        <f>Calculo!J209</f>
        <v>3.804841242</v>
      </c>
      <c r="K78" s="50">
        <f>Calculo!K209</f>
        <v>4.817499247</v>
      </c>
      <c r="L78" s="50">
        <f>Calculo!L209</f>
        <v>5.477857137</v>
      </c>
      <c r="M78" s="50">
        <f>Calculo!M209</f>
        <v>6.311907176</v>
      </c>
      <c r="N78" s="83">
        <f t="shared" si="6"/>
        <v>27.27622192</v>
      </c>
    </row>
    <row r="79" ht="14.25" customHeight="1"/>
    <row r="80" ht="14.25" customHeight="1">
      <c r="A80" s="3" t="s">
        <v>756</v>
      </c>
    </row>
    <row r="81" ht="14.25" customHeight="1">
      <c r="A81" s="4" t="s">
        <v>7</v>
      </c>
      <c r="B81" s="4" t="s">
        <v>13</v>
      </c>
      <c r="C81" s="4"/>
      <c r="D81" s="4">
        <v>2026.0</v>
      </c>
      <c r="E81" s="4">
        <v>2027.0</v>
      </c>
      <c r="F81" s="4">
        <v>2028.0</v>
      </c>
      <c r="G81" s="4">
        <v>2029.0</v>
      </c>
      <c r="H81" s="4">
        <v>2030.0</v>
      </c>
      <c r="I81" s="4">
        <v>2031.0</v>
      </c>
      <c r="J81" s="4">
        <v>2032.0</v>
      </c>
      <c r="K81" s="4">
        <v>2033.0</v>
      </c>
      <c r="L81" s="4">
        <v>2034.0</v>
      </c>
      <c r="M81" s="4">
        <v>2035.0</v>
      </c>
      <c r="N81" s="4" t="s">
        <v>670</v>
      </c>
    </row>
    <row r="82" ht="14.25" customHeight="1">
      <c r="A82" s="7" t="s">
        <v>757</v>
      </c>
      <c r="B82" s="7" t="s">
        <v>119</v>
      </c>
      <c r="C82" s="7"/>
      <c r="D82" s="65">
        <f>Calculo!D262</f>
        <v>1.291664443</v>
      </c>
      <c r="E82" s="65">
        <f>Calculo!E262</f>
        <v>2.187190314</v>
      </c>
      <c r="F82" s="65">
        <f>Calculo!F262</f>
        <v>3.492884879</v>
      </c>
      <c r="G82" s="65">
        <f>Calculo!G262</f>
        <v>6.130224341</v>
      </c>
      <c r="H82" s="65">
        <f>Calculo!H262</f>
        <v>9.756441588</v>
      </c>
      <c r="I82" s="65">
        <f>Calculo!I262</f>
        <v>13.05089914</v>
      </c>
      <c r="J82" s="65">
        <f>Calculo!J262</f>
        <v>16.9254312</v>
      </c>
      <c r="K82" s="65">
        <f>Calculo!K262</f>
        <v>20.75403484</v>
      </c>
      <c r="L82" s="65">
        <f>Calculo!L262</f>
        <v>23.2885452</v>
      </c>
      <c r="M82" s="65">
        <f>Calculo!M262</f>
        <v>26.4735329</v>
      </c>
      <c r="N82" s="73"/>
    </row>
    <row r="83" ht="14.25" customHeight="1">
      <c r="A83" s="7" t="s">
        <v>758</v>
      </c>
      <c r="B83" s="7" t="s">
        <v>759</v>
      </c>
      <c r="C83" s="7"/>
      <c r="D83" s="16">
        <f>Calculo!D112</f>
        <v>3437.733333</v>
      </c>
      <c r="E83" s="16">
        <f>Calculo!E112</f>
        <v>6116.372222</v>
      </c>
      <c r="F83" s="16">
        <f>Calculo!F112</f>
        <v>10533.07222</v>
      </c>
      <c r="G83" s="16">
        <f>Calculo!G112</f>
        <v>19400.12778</v>
      </c>
      <c r="H83" s="16">
        <f>Calculo!H112</f>
        <v>32904.64444</v>
      </c>
      <c r="I83" s="16">
        <f>Calculo!I112</f>
        <v>46170.26667</v>
      </c>
      <c r="J83" s="16">
        <f>Calculo!J112</f>
        <v>62242.09444</v>
      </c>
      <c r="K83" s="16">
        <f>Calculo!K112</f>
        <v>78794.86111</v>
      </c>
      <c r="L83" s="16">
        <f>Calculo!L112</f>
        <v>89944.04444</v>
      </c>
      <c r="M83" s="16">
        <f>Calculo!M112</f>
        <v>103956.7889</v>
      </c>
      <c r="N83" s="26">
        <f t="shared" ref="N83:N84" si="7">SUM(D83:M83)</f>
        <v>453500.0056</v>
      </c>
    </row>
    <row r="84" ht="14.25" customHeight="1">
      <c r="A84" s="7" t="s">
        <v>760</v>
      </c>
      <c r="B84" s="7" t="s">
        <v>761</v>
      </c>
      <c r="C84" s="7"/>
      <c r="D84" s="16">
        <f>Calculo!D264</f>
        <v>20.62670326</v>
      </c>
      <c r="E84" s="16">
        <f>Calculo!E264</f>
        <v>36.62274142</v>
      </c>
      <c r="F84" s="16">
        <f>Calculo!F264</f>
        <v>63.27001743</v>
      </c>
      <c r="G84" s="16">
        <f>Calculo!G264</f>
        <v>116.9089343</v>
      </c>
      <c r="H84" s="16">
        <f>Calculo!H264</f>
        <v>198.4324664</v>
      </c>
      <c r="I84" s="16">
        <f>Calculo!I264</f>
        <v>278.446859</v>
      </c>
      <c r="J84" s="16">
        <f>Calculo!J264</f>
        <v>375.5649535</v>
      </c>
      <c r="K84" s="16">
        <f>Calculo!K264</f>
        <v>475.5332358</v>
      </c>
      <c r="L84" s="16">
        <f>Calculo!L264</f>
        <v>542.6549933</v>
      </c>
      <c r="M84" s="16">
        <f>Calculo!M264</f>
        <v>627.1489759</v>
      </c>
      <c r="N84" s="26">
        <f t="shared" si="7"/>
        <v>2735.20988</v>
      </c>
    </row>
    <row r="85" ht="14.25" customHeight="1">
      <c r="A85" s="7" t="s">
        <v>568</v>
      </c>
      <c r="B85" s="7" t="s">
        <v>168</v>
      </c>
      <c r="C85" s="7"/>
      <c r="D85" s="33">
        <f>Calculo!D264/Supuestos!$B$42</f>
        <v>0.01145927959</v>
      </c>
      <c r="E85" s="33">
        <f>Calculo!E264/Supuestos!$B$42</f>
        <v>0.02034596745</v>
      </c>
      <c r="F85" s="33">
        <f>Calculo!F264/Supuestos!$B$42</f>
        <v>0.03515000968</v>
      </c>
      <c r="G85" s="33">
        <f>Calculo!G264/Supuestos!$B$42</f>
        <v>0.06494940792</v>
      </c>
      <c r="H85" s="33">
        <f>Calculo!H264/Supuestos!$B$42</f>
        <v>0.1102402591</v>
      </c>
      <c r="I85" s="33">
        <f>Calculo!I264/Supuestos!$B$42</f>
        <v>0.1546926994</v>
      </c>
      <c r="J85" s="33">
        <f>Calculo!J264/Supuestos!$B$42</f>
        <v>0.2086471964</v>
      </c>
      <c r="K85" s="33">
        <f>Calculo!K264/Supuestos!$B$42</f>
        <v>0.264185131</v>
      </c>
      <c r="L85" s="33">
        <f>Calculo!L264/Supuestos!$B$42</f>
        <v>0.3014749963</v>
      </c>
      <c r="M85" s="33">
        <f>Calculo!M264/Supuestos!$B$42</f>
        <v>0.3484160977</v>
      </c>
      <c r="N85" s="89"/>
    </row>
    <row r="86" ht="14.25" customHeight="1"/>
    <row r="87" ht="14.25" customHeight="1">
      <c r="A87" s="3" t="s">
        <v>763</v>
      </c>
    </row>
    <row r="88" ht="14.25" customHeight="1">
      <c r="A88" s="4" t="s">
        <v>311</v>
      </c>
      <c r="B88" s="4" t="s">
        <v>468</v>
      </c>
      <c r="C88" s="4" t="s">
        <v>312</v>
      </c>
      <c r="D88" s="4" t="s">
        <v>471</v>
      </c>
    </row>
    <row r="89" ht="14.25" customHeight="1">
      <c r="A89" s="91" t="str">
        <f>IF(Supuestos!F96=0,"",Supuestos!A96)</f>
        <v/>
      </c>
      <c r="B89" s="67">
        <f>Supuestos!F96</f>
        <v>0</v>
      </c>
      <c r="C89" s="67">
        <f>Supuestos!B96</f>
        <v>80000</v>
      </c>
      <c r="D89" s="16">
        <f t="shared" ref="D89:D100" si="8">B89*C89</f>
        <v>0</v>
      </c>
    </row>
    <row r="90" ht="14.25" customHeight="1">
      <c r="A90" s="91" t="str">
        <f>IF(Supuestos!F97=0,"",Supuestos!A97)</f>
        <v>Guillotina hidráulica 6 × 3.200 mm con tope motorizado</v>
      </c>
      <c r="B90" s="67">
        <f>Supuestos!F97</f>
        <v>1</v>
      </c>
      <c r="C90" s="67">
        <f>Supuestos!B97</f>
        <v>25810.97465</v>
      </c>
      <c r="D90" s="16">
        <f t="shared" si="8"/>
        <v>25810.97465</v>
      </c>
    </row>
    <row r="91" ht="14.25" customHeight="1">
      <c r="A91" s="91" t="str">
        <f>IF(Supuestos!F98=0,"",Supuestos!A98)</f>
        <v/>
      </c>
      <c r="B91" s="67">
        <f>Supuestos!F98</f>
        <v>0</v>
      </c>
      <c r="C91" s="67">
        <f>Supuestos!B98</f>
        <v>60000</v>
      </c>
      <c r="D91" s="16">
        <f t="shared" si="8"/>
        <v>0</v>
      </c>
    </row>
    <row r="92" ht="14.25" customHeight="1">
      <c r="A92" s="91" t="str">
        <f>IF(Supuestos!F99=0,"",Supuestos!A99)</f>
        <v/>
      </c>
      <c r="B92" s="67">
        <f>Supuestos!F99</f>
        <v>0</v>
      </c>
      <c r="C92" s="67">
        <f>Supuestos!B99</f>
        <v>30000</v>
      </c>
      <c r="D92" s="16">
        <f t="shared" si="8"/>
        <v>0</v>
      </c>
    </row>
    <row r="93" ht="14.25" customHeight="1">
      <c r="A93" s="91" t="str">
        <f>IF(Supuestos!F100=0,"",Supuestos!A100)</f>
        <v/>
      </c>
      <c r="B93" s="67">
        <f>Supuestos!F100</f>
        <v>0</v>
      </c>
      <c r="C93" s="67">
        <f>Supuestos!B100</f>
        <v>6000</v>
      </c>
      <c r="D93" s="16">
        <f t="shared" si="8"/>
        <v>0</v>
      </c>
    </row>
    <row r="94" ht="14.25" customHeight="1">
      <c r="A94" s="91" t="str">
        <f>IF(Supuestos!F101=0,"",Supuestos!A101)</f>
        <v>Desbobinador + enderezador + alimentador servo para la prensa de discos</v>
      </c>
      <c r="B94" s="67">
        <f>Supuestos!F101</f>
        <v>1</v>
      </c>
      <c r="C94" s="67">
        <f>Supuestos!B101</f>
        <v>12000</v>
      </c>
      <c r="D94" s="16">
        <f t="shared" si="8"/>
        <v>12000</v>
      </c>
    </row>
    <row r="95" ht="14.25" customHeight="1">
      <c r="A95" s="91" t="str">
        <f>IF(Supuestos!F102=0,"",Supuestos!A102)</f>
        <v>Estantería porta-flejes</v>
      </c>
      <c r="B95" s="67">
        <f>Supuestos!F102</f>
        <v>1</v>
      </c>
      <c r="C95" s="67">
        <f>Supuestos!B102</f>
        <v>3000</v>
      </c>
      <c r="D95" s="16">
        <f t="shared" si="8"/>
        <v>3000</v>
      </c>
    </row>
    <row r="96" ht="14.25" customHeight="1">
      <c r="A96" s="91" t="str">
        <f>IF(Supuestos!F103=0,"",Supuestos!A103)</f>
        <v>Autoelevador eléctrico 2,5 t</v>
      </c>
      <c r="B96" s="67">
        <f>Supuestos!F103</f>
        <v>1</v>
      </c>
      <c r="C96" s="67">
        <f>Supuestos!B103</f>
        <v>20000</v>
      </c>
      <c r="D96" s="16">
        <f t="shared" si="8"/>
        <v>20000</v>
      </c>
    </row>
    <row r="97" ht="14.25" customHeight="1">
      <c r="A97" s="91" t="str">
        <f>IF(Supuestos!F104=0,"",Supuestos!A104)</f>
        <v>Mesa elevadora de tijera 1500 × 3000 mm, 3 t, elevación ~1 m (paquete de hojas a la altura de la guillotina)</v>
      </c>
      <c r="B97" s="67">
        <f>Supuestos!F104</f>
        <v>1</v>
      </c>
      <c r="C97" s="67">
        <f>Supuestos!B104</f>
        <v>7000</v>
      </c>
      <c r="D97" s="16">
        <f t="shared" si="8"/>
        <v>7000</v>
      </c>
    </row>
    <row r="98" ht="14.25" customHeight="1">
      <c r="A98" s="91" t="str">
        <f>IF(Supuestos!F105=0,"",Supuestos!A105)</f>
        <v>Apoyos con bolas (mesa de bolas) entre la mesa elevadora y la guillotina</v>
      </c>
      <c r="B98" s="67">
        <f>Supuestos!F105</f>
        <v>1</v>
      </c>
      <c r="C98" s="67">
        <f>Supuestos!B105</f>
        <v>1500</v>
      </c>
      <c r="D98" s="16">
        <f t="shared" si="8"/>
        <v>1500</v>
      </c>
    </row>
    <row r="99" ht="14.25" customHeight="1">
      <c r="A99" s="91" t="str">
        <f>IF(Supuestos!F106=0,"",Supuestos!A106)</f>
        <v>Racks por espesor en el almacén de MP y carros porta-desarrollos</v>
      </c>
      <c r="B99" s="67">
        <f>Supuestos!F106</f>
        <v>1</v>
      </c>
      <c r="C99" s="67">
        <f>Supuestos!B106</f>
        <v>2000</v>
      </c>
      <c r="D99" s="16">
        <f t="shared" si="8"/>
        <v>2000</v>
      </c>
    </row>
    <row r="100" ht="14.25" customHeight="1">
      <c r="A100" s="91" t="str">
        <f>IF(Supuestos!F107=0,"",Supuestos!A107)</f>
        <v/>
      </c>
      <c r="B100" s="67">
        <f>Supuestos!F107</f>
        <v>0</v>
      </c>
      <c r="C100" s="67">
        <f>Supuestos!B107</f>
        <v>1500</v>
      </c>
      <c r="D100" s="16">
        <f t="shared" si="8"/>
        <v>0</v>
      </c>
    </row>
    <row r="101" ht="14.25" customHeight="1">
      <c r="A101" s="5" t="s">
        <v>94</v>
      </c>
      <c r="D101" s="26">
        <f>SUM(D89:D100)</f>
        <v>71310.97465</v>
      </c>
    </row>
    <row r="102" ht="14.25" customHeight="1">
      <c r="A102" s="2" t="s">
        <v>764</v>
      </c>
    </row>
    <row r="103" ht="14.25" customHeight="1"/>
    <row r="104" ht="14.25" customHeight="1">
      <c r="A104" s="3" t="s">
        <v>765</v>
      </c>
    </row>
    <row r="105" ht="14.25" customHeight="1">
      <c r="A105" s="4" t="s">
        <v>380</v>
      </c>
      <c r="B105" s="4" t="s">
        <v>718</v>
      </c>
      <c r="C105" s="4" t="s">
        <v>86</v>
      </c>
      <c r="D105" s="4" t="s">
        <v>430</v>
      </c>
      <c r="E105" s="4" t="s">
        <v>719</v>
      </c>
      <c r="F105" s="4" t="s">
        <v>366</v>
      </c>
    </row>
    <row r="106" ht="14.25" customHeight="1">
      <c r="A106" s="7" t="s">
        <v>378</v>
      </c>
      <c r="B106" s="47" t="str">
        <f>"Hoja "&amp;Nesting!H6&amp;" × "&amp;Nesting!I6</f>
        <v>Hoja 1220 × 2440</v>
      </c>
      <c r="C106" s="45">
        <f>Nesting!E6</f>
        <v>1.25</v>
      </c>
      <c r="D106" s="20">
        <f>Calculo!$N$91</f>
        <v>1.290297735</v>
      </c>
      <c r="E106" s="7" t="s">
        <v>766</v>
      </c>
      <c r="F106" s="65">
        <f t="array" ref="F106">INDEX(Calculo!$D$91:$M$91,MATCH(Supuestos!$B$21,Calculo!$D$4:$M$4,0))</f>
        <v>15.28638894</v>
      </c>
    </row>
    <row r="107" ht="14.25" customHeight="1">
      <c r="A107" s="7" t="s">
        <v>402</v>
      </c>
      <c r="B107" s="47" t="str">
        <f>"Hoja "&amp;Nesting!H7&amp;" × "&amp;Nesting!I7</f>
        <v>Hoja 1000 × 2000</v>
      </c>
      <c r="C107" s="45">
        <f>Nesting!E7</f>
        <v>1.6</v>
      </c>
      <c r="D107" s="20">
        <f>Calculo!$N$92</f>
        <v>1.327521036</v>
      </c>
      <c r="E107" s="7" t="s">
        <v>766</v>
      </c>
      <c r="F107" s="65">
        <f t="array" ref="F107">INDEX(Calculo!$D$92:$M$92,MATCH(Supuestos!$B$21,Calculo!$D$4:$M$4,0))</f>
        <v>133.613712</v>
      </c>
    </row>
    <row r="108" ht="14.25" customHeight="1">
      <c r="A108" s="7" t="s">
        <v>406</v>
      </c>
      <c r="B108" s="47" t="str">
        <f>"Hoja "&amp;Nesting!H8&amp;" × "&amp;Nesting!I8</f>
        <v>Hoja 1500 × 3000</v>
      </c>
      <c r="C108" s="45">
        <f>Nesting!E8</f>
        <v>2</v>
      </c>
      <c r="D108" s="20">
        <f>Calculo!$N$93</f>
        <v>1.280401294</v>
      </c>
      <c r="E108" s="7" t="s">
        <v>766</v>
      </c>
      <c r="F108" s="65">
        <f t="array" ref="F108">INDEX(Calculo!$D$93:$M$93,MATCH(Supuestos!$B$21,Calculo!$D$4:$M$4,0))</f>
        <v>18.189144</v>
      </c>
    </row>
    <row r="109" ht="14.25" customHeight="1">
      <c r="A109" s="7" t="s">
        <v>412</v>
      </c>
      <c r="B109" s="47" t="str">
        <f>"Hoja "&amp;Nesting!H9&amp;" × "&amp;Nesting!I9</f>
        <v>Hoja 1500 × 3000</v>
      </c>
      <c r="C109" s="45">
        <f>Nesting!E9</f>
        <v>3.2</v>
      </c>
      <c r="D109" s="20">
        <f>Calculo!$N$94</f>
        <v>1.101935275</v>
      </c>
      <c r="E109" s="7" t="s">
        <v>766</v>
      </c>
      <c r="F109" s="65">
        <f t="array" ref="F109">INDEX(Calculo!$D$94:$M$94,MATCH(Supuestos!$B$21,Calculo!$D$4:$M$4,0))</f>
        <v>9.7588</v>
      </c>
    </row>
    <row r="110" ht="14.25" customHeight="1">
      <c r="A110" s="7" t="s">
        <v>416</v>
      </c>
      <c r="B110" s="47" t="str">
        <f>"Hoja "&amp;Nesting!H10&amp;" × "&amp;Nesting!I10</f>
        <v>Hoja 1500 × 3000</v>
      </c>
      <c r="C110" s="45">
        <f>Nesting!E10</f>
        <v>3.2</v>
      </c>
      <c r="D110" s="20">
        <f>Calculo!$N$95</f>
        <v>1.101935275</v>
      </c>
      <c r="E110" s="7" t="s">
        <v>766</v>
      </c>
      <c r="F110" s="65">
        <f t="array" ref="F110">INDEX(Calculo!$D$95:$M$95,MATCH(Supuestos!$B$21,Calculo!$D$4:$M$4,0))</f>
        <v>32.20404</v>
      </c>
    </row>
    <row r="111" ht="14.25" customHeight="1">
      <c r="A111" s="7" t="s">
        <v>419</v>
      </c>
      <c r="B111" s="47" t="str">
        <f>"Hoja "&amp;Nesting!H11&amp;" × "&amp;Nesting!I11</f>
        <v>Hoja 1500 × 3000</v>
      </c>
      <c r="C111" s="45">
        <f>Nesting!E11</f>
        <v>4.75</v>
      </c>
      <c r="D111" s="20">
        <f>Calculo!$N$96</f>
        <v>1.090977346</v>
      </c>
      <c r="E111" s="7" t="s">
        <v>766</v>
      </c>
      <c r="F111" s="65">
        <f t="array" ref="F111">INDEX(Calculo!$D$96:$M$96,MATCH(Supuestos!$B$21,Calculo!$D$4:$M$4,0))</f>
        <v>0</v>
      </c>
    </row>
    <row r="112" ht="14.25" customHeight="1">
      <c r="A112" s="7" t="s">
        <v>421</v>
      </c>
      <c r="B112" s="47" t="str">
        <f>"Hoja "&amp;Nesting!H12&amp;" × "&amp;Nesting!I12</f>
        <v>Hoja 1500 × 3000</v>
      </c>
      <c r="C112" s="45">
        <f>Nesting!E12</f>
        <v>4.75</v>
      </c>
      <c r="D112" s="20">
        <f>Calculo!$N$97</f>
        <v>1.090977346</v>
      </c>
      <c r="E112" s="7" t="s">
        <v>766</v>
      </c>
      <c r="F112" s="65">
        <f t="array" ref="F112">INDEX(Calculo!$D$97:$M$97,MATCH(Supuestos!$B$21,Calculo!$D$4:$M$4,0))</f>
        <v>6.87838</v>
      </c>
    </row>
    <row r="113" ht="14.25" customHeight="1">
      <c r="A113" s="7" t="s">
        <v>255</v>
      </c>
      <c r="B113" s="47" t="str">
        <f>"Rollo de fleje "&amp;Nesting!W26&amp;" mm"</f>
        <v>Rollo de fleje 114 mm</v>
      </c>
      <c r="C113" s="45">
        <f>Nesting!D26</f>
        <v>0.9</v>
      </c>
      <c r="D113" s="20">
        <f>Calculo!$N$66</f>
        <v>1.26285</v>
      </c>
      <c r="E113" s="7" t="s">
        <v>731</v>
      </c>
      <c r="F113" s="65">
        <f t="array" ref="F113">INDEX(Calculo!$D$66:$M$66,MATCH(Supuestos!$B$21,Calculo!$D$4:$M$4,0))</f>
        <v>18.25183128</v>
      </c>
    </row>
    <row r="114" ht="14.25" customHeight="1">
      <c r="A114" s="7" t="s">
        <v>277</v>
      </c>
      <c r="B114" s="47" t="str">
        <f>"Rollo de fleje "&amp;Nesting!W27&amp;" mm"</f>
        <v>Rollo de fleje 106 mm</v>
      </c>
      <c r="C114" s="45">
        <f>Nesting!D27</f>
        <v>0.9</v>
      </c>
      <c r="D114" s="20">
        <f>Calculo!$N$67</f>
        <v>1.26285</v>
      </c>
      <c r="E114" s="7" t="s">
        <v>731</v>
      </c>
      <c r="F114" s="65">
        <f t="array" ref="F114">INDEX(Calculo!$D$67:$M$67,MATCH(Supuestos!$B$21,Calculo!$D$4:$M$4,0))</f>
        <v>15.74786581</v>
      </c>
    </row>
    <row r="115" ht="14.25" customHeight="1">
      <c r="A115" s="7" t="s">
        <v>408</v>
      </c>
      <c r="B115" s="47" t="str">
        <f>"Rollo de fleje "&amp;Nesting!W28&amp;" mm"</f>
        <v>Rollo de fleje 200 mm</v>
      </c>
      <c r="C115" s="45">
        <f>Nesting!D28</f>
        <v>1.25</v>
      </c>
      <c r="D115" s="20">
        <f>Calculo!$N$68</f>
        <v>1.186</v>
      </c>
      <c r="E115" s="7" t="s">
        <v>734</v>
      </c>
      <c r="F115" s="65">
        <f t="array" ref="F115">INDEX(Calculo!$D$68:$M$68,MATCH(Supuestos!$B$21,Calculo!$D$4:$M$4,0))</f>
        <v>5.072211045</v>
      </c>
    </row>
    <row r="116" ht="14.25" customHeight="1">
      <c r="A116" s="7" t="s">
        <v>411</v>
      </c>
      <c r="B116" s="47" t="str">
        <f>"Rollo de fleje "&amp;Nesting!W29&amp;" mm"</f>
        <v>Rollo de fleje 200 mm</v>
      </c>
      <c r="C116" s="45">
        <f>Nesting!D29</f>
        <v>1.25</v>
      </c>
      <c r="D116" s="20">
        <f>Calculo!$N$69</f>
        <v>1.186</v>
      </c>
      <c r="E116" s="7" t="s">
        <v>734</v>
      </c>
      <c r="F116" s="65">
        <f t="array" ref="F116">INDEX(Calculo!$D$69:$M$69,MATCH(Supuestos!$B$21,Calculo!$D$4:$M$4,0))</f>
        <v>4.20826301</v>
      </c>
    </row>
    <row r="117" ht="14.25" customHeight="1">
      <c r="A117" s="7" t="s">
        <v>436</v>
      </c>
      <c r="B117" s="47" t="str">
        <f>"Rollo de fleje "&amp;Nesting!W30&amp;" mm"</f>
        <v>Rollo de fleje 250 mm</v>
      </c>
      <c r="C117" s="45">
        <f>Nesting!D30</f>
        <v>1.6</v>
      </c>
      <c r="D117" s="20">
        <f>Calculo!$N$70</f>
        <v>1.186</v>
      </c>
      <c r="E117" s="7" t="s">
        <v>734</v>
      </c>
      <c r="F117" s="65">
        <f t="array" ref="F117">INDEX(Calculo!$D$70:$M$70,MATCH(Supuestos!$B$21,Calculo!$D$4:$M$4,0))</f>
        <v>45.11980626</v>
      </c>
    </row>
    <row r="118" ht="14.25" customHeight="1">
      <c r="A118" s="7" t="s">
        <v>438</v>
      </c>
      <c r="B118" s="47" t="str">
        <f>"Rollo de fleje "&amp;Nesting!W31&amp;" mm"</f>
        <v>Rollo de fleje 200 mm</v>
      </c>
      <c r="C118" s="45">
        <f>Nesting!D31</f>
        <v>1.6</v>
      </c>
      <c r="D118" s="20">
        <f>Calculo!$N$71</f>
        <v>1.186</v>
      </c>
      <c r="E118" s="7" t="s">
        <v>734</v>
      </c>
      <c r="F118" s="65">
        <f t="array" ref="F118">INDEX(Calculo!$D$71:$M$71,MATCH(Supuestos!$B$21,Calculo!$D$4:$M$4,0))</f>
        <v>29.00558974</v>
      </c>
    </row>
    <row r="119" ht="14.25" customHeight="1">
      <c r="A119" s="7" t="s">
        <v>485</v>
      </c>
      <c r="B119" s="47" t="str">
        <f>"Rollo de fleje "&amp;Nesting!W32&amp;" mm"</f>
        <v>Rollo de fleje 300 mm</v>
      </c>
      <c r="C119" s="45">
        <f>Nesting!D32</f>
        <v>2</v>
      </c>
      <c r="D119" s="20">
        <f>Calculo!$N$72</f>
        <v>1.198</v>
      </c>
      <c r="E119" s="7" t="s">
        <v>734</v>
      </c>
      <c r="F119" s="65">
        <f t="array" ref="F119">INDEX(Calculo!$D$72:$M$72,MATCH(Supuestos!$B$21,Calculo!$D$4:$M$4,0))</f>
        <v>4.771222697</v>
      </c>
    </row>
    <row r="120" ht="14.25" customHeight="1">
      <c r="A120" s="7" t="s">
        <v>486</v>
      </c>
      <c r="B120" s="47" t="str">
        <f>"Rollo de fleje "&amp;Nesting!W33&amp;" mm"</f>
        <v>Rollo de fleje 249 mm</v>
      </c>
      <c r="C120" s="45">
        <f>Nesting!D33</f>
        <v>2</v>
      </c>
      <c r="D120" s="20">
        <f>Calculo!$N$73</f>
        <v>1.198</v>
      </c>
      <c r="E120" s="7" t="s">
        <v>734</v>
      </c>
      <c r="F120" s="65">
        <f t="array" ref="F120">INDEX(Calculo!$D$73:$M$73,MATCH(Supuestos!$B$21,Calculo!$D$4:$M$4,0))</f>
        <v>3.155953588</v>
      </c>
    </row>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2026-09-29T17:46:23Z</dcterms:created>
  <dc:creator>openpyxl</dc:creator>
</cp:coreProperties>
</file>