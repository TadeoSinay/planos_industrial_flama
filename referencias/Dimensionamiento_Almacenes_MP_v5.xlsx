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Supuestos" sheetId="2" r:id="rId6"/>
    <sheet state="visible" name="Política de stock" sheetId="3" r:id="rId7"/>
    <sheet state="visible" name="Dimensionamiento" sheetId="4" r:id="rId8"/>
    <sheet state="visible" name="Procesado" sheetId="5" r:id="rId9"/>
  </sheets>
  <definedNames>
    <definedName name="PiezasPilaEmb">Supuestos!$B$18</definedName>
    <definedName name="AltPila">Supuestos!$B$16</definedName>
    <definedName name="PalA">Supuestos!$B$9</definedName>
    <definedName name="DiasMes">Supuestos!$B$5</definedName>
    <definedName name="HuellaPallet">Supuestos!$B$20</definedName>
    <definedName name="NivBuffer">Supuestos!$B$19</definedName>
    <definedName name="UmbVol">Supuestos!$B$12</definedName>
    <definedName name="UmbCajon">Supuestos!$B$10</definedName>
    <definedName name="DiasRodante">Supuestos!$B$14</definedName>
    <definedName name="CoefCirc">Supuestos!$B$6</definedName>
    <definedName name="UmbLT">Supuestos!$B$11</definedName>
    <definedName name="DiasAnio">Supuestos!$B$4</definedName>
    <definedName name="NivPallet">Supuestos!$B$7</definedName>
    <definedName name="DiasManual">Supuestos!$B$13</definedName>
    <definedName name="KgPallet">Supuestos!$B$15</definedName>
    <definedName name="PalL">Supuestos!$B$8</definedName>
    <definedName name="AltPilaTubo">Supuestos!$B$17</definedName>
    <definedName hidden="1" localSheetId="2" name="_xlnm._FilterDatabase">'Política de stock'!$A$4:$X$119</definedName>
    <definedName hidden="1" localSheetId="3" name="_xlnm._FilterDatabase">Dimensionamiento!$A$4:$AA$119</definedName>
  </definedNames>
  <calcPr/>
</workbook>
</file>

<file path=xl/sharedStrings.xml><?xml version="1.0" encoding="utf-8"?>
<sst xmlns="http://schemas.openxmlformats.org/spreadsheetml/2006/main" count="1214" uniqueCount="655">
  <si>
    <t>Supuestos</t>
  </si>
  <si>
    <t>Azul sobre amarillo = se puede cambiar; todo el libro se recalcula. La política de stock (consumo, plazos, ciclo, unidad de compra) viene del MRP nuevo y se edita en la hoja Política de stock.</t>
  </si>
  <si>
    <t>Parámetro</t>
  </si>
  <si>
    <t>Valor</t>
  </si>
  <si>
    <t>Unidad</t>
  </si>
  <si>
    <t>Qué hace / fuente</t>
  </si>
  <si>
    <t>Días hábiles por año</t>
  </si>
  <si>
    <t>días</t>
  </si>
  <si>
    <t>Igual que POLITICA_STOCK del MRP (consumo del año ÷ 240).</t>
  </si>
  <si>
    <t>Dimensionamiento del almacenamiento por material (stock máximo de la política)</t>
  </si>
  <si>
    <t>Días hábiles por mes</t>
  </si>
  <si>
    <t>Igual que POLITICA_STOCK del MRP (mes pico ÷ 20).</t>
  </si>
  <si>
    <t>Coeficiente de circulación</t>
  </si>
  <si>
    <t>×</t>
  </si>
  <si>
    <t>Pasillos y maniobra, solo en el área bruta (el layout todavía no está definido).</t>
  </si>
  <si>
    <t>Pallets apilados por posición (rack)</t>
  </si>
  <si>
    <t>niveles</t>
  </si>
  <si>
    <t>Niveles de los pallets en rack.</t>
  </si>
  <si>
    <t>Pallet — largo</t>
  </si>
  <si>
    <t>m</t>
  </si>
  <si>
    <t>Pallet 1200 × 1000.</t>
  </si>
  <si>
    <t>Pallet — ancho</t>
  </si>
  <si>
    <t>Puesto de trabajo: superficie máxima para pasar a cajón</t>
  </si>
  <si>
    <t>m²</t>
  </si>
  <si>
    <t>Si el stock máximo de un ítem ocupa menos que esto (sin redondear a lugares), se guarda en un cajón en el puesto de trabajo y no suma almacén. Se puede forzar por ítem en Dimensionamiento.</t>
  </si>
  <si>
    <t>Criticidad: plazo máximo alto desde</t>
  </si>
  <si>
    <t>días hábiles</t>
  </si>
  <si>
    <t>Plazo de entrega máximo ≥ este valor = nivel alto (equivale a unos 15 días corridos).</t>
  </si>
  <si>
    <t>Criticidad: volumen alto desde el percentil</t>
  </si>
  <si>
    <t>0 a 1</t>
  </si>
  <si>
    <t>El consumo anual del ítem se compara con el de los ítems de su misma unidad (kg, u, L, hoja, barra, m³). 0,5 = la mitad de arriba.</t>
  </si>
  <si>
    <t>Procesado: días de producción por adelantado — manuales</t>
  </si>
  <si>
    <t>Una semana de cuerpos cortados y de cúpulas y fondos embutidos para 1, 2,5, 5 y 10 kg.</t>
  </si>
  <si>
    <t>Procesado: días de producción por adelantado — rodantes</t>
  </si>
  <si>
    <t>Cuerpos cortados para 25, 50, 70 y 100 kg (sus cúpulas y fondos se compran).</t>
  </si>
  <si>
    <t>Procesado: carga máxima por pallet</t>
  </si>
  <si>
    <t>kg</t>
  </si>
  <si>
    <t>Supuesto.</t>
  </si>
  <si>
    <t>Procesado: altura máxima de pila</t>
  </si>
  <si>
    <t>mm</t>
  </si>
  <si>
    <t>Altura máxima de la pila de cuerpos de chapa sobre el pallet.</t>
  </si>
  <si>
    <t>Procesado: altura máxima de pila de tubo cortado (1 kg)</t>
  </si>
  <si>
    <t>Cuerpos del 1 kg cortados de tubo, parados en capas.</t>
  </si>
  <si>
    <t>Procesado: piezas por pila encastrada (cúpulas y fondos)</t>
  </si>
  <si>
    <t>piezas</t>
  </si>
  <si>
    <t>Cúpulas y fondos apilados encastrados.</t>
  </si>
  <si>
    <t>Procesado: pallets apilados</t>
  </si>
  <si>
    <t>Política de stock — año 2035 (datos del MRP nuevo, hoja POLITICA_STOCK)</t>
  </si>
  <si>
    <t>1 = sin apilar pallets de piezas procesadas.</t>
  </si>
  <si>
    <t>Huella neta de un pallet</t>
  </si>
  <si>
    <t>Amarillo = dato del MRP que se puede cambiar (plazos, ciclo, contenido, almacén, capacidad por lugar). El resto se calcula con las mismas fórmulas del MRP. Cada cambio se refleja en Dimensionamiento y Resumen.</t>
  </si>
  <si>
    <t>Ref.</t>
  </si>
  <si>
    <t>Código</t>
  </si>
  <si>
    <t>Material</t>
  </si>
  <si>
    <t>UM</t>
  </si>
  <si>
    <t>Proveedor</t>
  </si>
  <si>
    <t>Consumo del año</t>
  </si>
  <si>
    <t>Sección de almacén</t>
  </si>
  <si>
    <t>Consumo por día, promedio</t>
  </si>
  <si>
    <t>Consumo del mes pico</t>
  </si>
  <si>
    <t>Consumo por día, mes pico</t>
  </si>
  <si>
    <t>Stock de seguridad</t>
  </si>
  <si>
    <t>Plazo mínimo (días hábiles)</t>
  </si>
  <si>
    <t>Stock máximo</t>
  </si>
  <si>
    <t>Plazo máximo (días hábiles)</t>
  </si>
  <si>
    <t>Días de producción que dura el stock máximo</t>
  </si>
  <si>
    <t>De dónde sale el plazo</t>
  </si>
  <si>
    <t>Consumo mientras llega el pedido</t>
  </si>
  <si>
    <t>Nivel de plazo</t>
  </si>
  <si>
    <t>Percentil de volumen (en su UM)</t>
  </si>
  <si>
    <t>Punto de pedido</t>
  </si>
  <si>
    <t>Nivel de volumen</t>
  </si>
  <si>
    <t>Unidad de compra</t>
  </si>
  <si>
    <t>Criticidad</t>
  </si>
  <si>
    <t>Contenido de la unidad de compra</t>
  </si>
  <si>
    <t>Cálculo.</t>
  </si>
  <si>
    <t>Cada cuántos días se pide</t>
  </si>
  <si>
    <t>Lugares que ocupa el stock máximo</t>
  </si>
  <si>
    <t>Cantidad por pedido (unidades de compra)</t>
  </si>
  <si>
    <t>Cómo se calcula cada MP</t>
  </si>
  <si>
    <t>Huella por lugar (m²)</t>
  </si>
  <si>
    <t>Pedidos por año</t>
  </si>
  <si>
    <t>Niveles</t>
  </si>
  <si>
    <t>Superficie sin redondear (m²)</t>
  </si>
  <si>
    <t>Almacén</t>
  </si>
  <si>
    <t>Política de stock (hoja Política de stock, igual que el MRP): consumo mientras llega el pedido = consumo promedio por día × plazo promedio; stock de seguridad = consumo por día del mes pico × plazo máximo − ese consumo; cantidad por pedido = consumo por día del mes pico × ciclo de pedido ÷ contenido de la unidad de compra, redondeado hacia arriba; stock máximo = stock de seguridad + cantidad por pedido.</t>
  </si>
  <si>
    <t>Forzar ubicación</t>
  </si>
  <si>
    <t>Cuánto entra en un lugar</t>
  </si>
  <si>
    <t>Ubicación</t>
  </si>
  <si>
    <t>Lugares en almacén</t>
  </si>
  <si>
    <t>Área neta (m²)</t>
  </si>
  <si>
    <t>P01</t>
  </si>
  <si>
    <t>Área bruta (m²)</t>
  </si>
  <si>
    <t>Nota</t>
  </si>
  <si>
    <t>MP-01</t>
  </si>
  <si>
    <t>Clave de orden</t>
  </si>
  <si>
    <t>Caño c/costura Ø76,2 × 1,25 × 6 m (cuerpo 1 kg)</t>
  </si>
  <si>
    <t>Clave de días</t>
  </si>
  <si>
    <t>Lugares = stock máximo ÷ cuánto entra en un lugar (pallet, estantería, etc.). Área neta = lugares redondeados ÷ niveles × huella por lugar. Área bruta = área neta × coeficiente de circulación.</t>
  </si>
  <si>
    <t>barra</t>
  </si>
  <si>
    <t>Metalpri / Prilux</t>
  </si>
  <si>
    <t>Huella por lugar: 1,2 m² si viene en pallet; 2 m² si son big bags; hojas de chapa = medida de la hoja; barras en cantilever = 5 m²; estantería de cajas = 0,6 m²; gases = 1,5 m² por batería o pack (supuesto a confirmar). Se edita por ítem en Dimensionamiento.</t>
  </si>
  <si>
    <t>Ubicación: si el stock máximo ocupa menos que la superficie de «puesto de trabajo», el ítem va a un cajón en el puesto y no suma almacén. Los sellos oficiales numerados quedan siempre en almacén (sector bajo llave).</t>
  </si>
  <si>
    <t>Días de producción que dura un stock máximo = stock máximo ÷ consumo promedio por día. Para una sección se informa el ítem que antes se agota (mínimo) y el promedio de sus ítems.</t>
  </si>
  <si>
    <t>Procesado: cuerpos cortados (chapa y tubo) y cúpulas y fondos embutidos, por adelantado según los días de Supuestos; es un área separada de las materias primas.</t>
  </si>
  <si>
    <t>Cotización Comercial MID: entrega inmediata</t>
  </si>
  <si>
    <t>Atado de 16 barras</t>
  </si>
  <si>
    <t>Cantilever de caños y barras</t>
  </si>
  <si>
    <t>P02</t>
  </si>
  <si>
    <t>MP-02</t>
  </si>
  <si>
    <t>Hoja LAF 1,25 × 1220 × 2440 mm</t>
  </si>
  <si>
    <t>hoja</t>
  </si>
  <si>
    <t>Pradecon</t>
  </si>
  <si>
    <t>Cotización Pradecon (plazo del fleje; para hojas no lo informa)</t>
  </si>
  <si>
    <t>Paquete de 50 hojas</t>
  </si>
  <si>
    <t>Chapa y fleje (manuales)</t>
  </si>
  <si>
    <t>P03</t>
  </si>
  <si>
    <t>MP-03</t>
  </si>
  <si>
    <t>Hoja LAF 1,6 × 1000 × 2000 mm</t>
  </si>
  <si>
    <t>Paquete de 80 hojas</t>
  </si>
  <si>
    <t>Almacenamiento procesado: cuerpos cortados y cúpulas y fondos embutidos</t>
  </si>
  <si>
    <t>P04</t>
  </si>
  <si>
    <t>MP-04</t>
  </si>
  <si>
    <t>Hoja LAF 2,0 × 1500 × 3000 mm</t>
  </si>
  <si>
    <t>Es lo que se corta o embute en planta por adelantado según la producción: cuerpos de chapa (guillotina) y de tubo (1 kg), y cúpulas y fondos de fleje. Colchón = días de producción de Supuestos (manuales y rodantes) sobre la demanda 2035 del MRP nuevo. Las cúpulas y fondos de 25 a 100 kg son comprados y están en su sección.</t>
  </si>
  <si>
    <t>A) Cuerpos cortados</t>
  </si>
  <si>
    <t>Formato</t>
  </si>
  <si>
    <t>Línea</t>
  </si>
  <si>
    <t>Cuerpos a fabricar en el año 2035</t>
  </si>
  <si>
    <t>Cuerpos por mes</t>
  </si>
  <si>
    <t>Cuerpos por día hábil</t>
  </si>
  <si>
    <t>Días de colchón</t>
  </si>
  <si>
    <t>Paquete de 20 hojas</t>
  </si>
  <si>
    <t>Cuerpos en colchón</t>
  </si>
  <si>
    <t>Desarrollo (mm) — Ø en el tubo</t>
  </si>
  <si>
    <t>Alto (mm)</t>
  </si>
  <si>
    <t>Espesor (mm)</t>
  </si>
  <si>
    <t>P05</t>
  </si>
  <si>
    <t>MP-05</t>
  </si>
  <si>
    <t>Masa por cuerpo (kg)</t>
  </si>
  <si>
    <t>Fleje LAF 0,9 × 114 mm (cúpula 1 kg)</t>
  </si>
  <si>
    <t>Peso del colchón (kg)</t>
  </si>
  <si>
    <t>Pilas por pallet (cuerpos por capa en el tubo)</t>
  </si>
  <si>
    <t>Cuerpos por pila (altura máx.)</t>
  </si>
  <si>
    <t>Cuerpos por pallet</t>
  </si>
  <si>
    <t>Pallets</t>
  </si>
  <si>
    <t>Cotización Pradecon: 7 a 10 días</t>
  </si>
  <si>
    <t>Huella por pallet (m²)</t>
  </si>
  <si>
    <t>Rollo de 1.900 kg</t>
  </si>
  <si>
    <t>1 kg (tubo)</t>
  </si>
  <si>
    <t>Manual</t>
  </si>
  <si>
    <t>P06</t>
  </si>
  <si>
    <t>MP-13</t>
  </si>
  <si>
    <t>Fleje LAF 1,25 × 135 mm (fondo 1 kg)</t>
  </si>
  <si>
    <t>P07</t>
  </si>
  <si>
    <t>MP-06</t>
  </si>
  <si>
    <t>Fleje LAF 1,25 × 200 mm (cúpula y fondo 2,5 kg)</t>
  </si>
  <si>
    <t>Pacheco Chapas</t>
  </si>
  <si>
    <t>Cotización Pradecon (Pacheco cotizó el mismo fleje sin plazo)</t>
  </si>
  <si>
    <t>Rollo de 492 kg</t>
  </si>
  <si>
    <t>P08</t>
  </si>
  <si>
    <t>MP-07</t>
  </si>
  <si>
    <t>Fleje LAF 1,6 × 250 mm (cúpula 5 kg)</t>
  </si>
  <si>
    <t>Rollo de 615 kg</t>
  </si>
  <si>
    <t>P09</t>
  </si>
  <si>
    <t>MP-08</t>
  </si>
  <si>
    <t>Fleje LAF 1,6 × 200 mm (fondo 5 kg)</t>
  </si>
  <si>
    <t>P10</t>
  </si>
  <si>
    <t>MP-09</t>
  </si>
  <si>
    <t>Fleje LAF 1,6 × 300 mm (cúpula 10 kg)</t>
  </si>
  <si>
    <t>Rollo de 590 kg</t>
  </si>
  <si>
    <t>P11</t>
  </si>
  <si>
    <t>MP-10</t>
  </si>
  <si>
    <t>Fleje LAF 2,0 × 249 mm (fondo 10 kg)</t>
  </si>
  <si>
    <t>Rollo de 498 kg</t>
  </si>
  <si>
    <t>P12</t>
  </si>
  <si>
    <t>MP-11</t>
  </si>
  <si>
    <t>Hoja LAC 3,2 × 1500 × 3000 mm</t>
  </si>
  <si>
    <t>Calle de chapa (carros)</t>
  </si>
  <si>
    <t>P13</t>
  </si>
  <si>
    <t>MP-12</t>
  </si>
  <si>
    <t>Hoja LAC 4,75 × 1500 × 3000 mm</t>
  </si>
  <si>
    <t>Paquete de 15 hojas</t>
  </si>
  <si>
    <t>P14</t>
  </si>
  <si>
    <t>MP-15</t>
  </si>
  <si>
    <t>Casquete 10" × 3,2 mm (carro 25 kg)</t>
  </si>
  <si>
    <t>u</t>
  </si>
  <si>
    <t>2,5 kg</t>
  </si>
  <si>
    <t>Importado</t>
  </si>
  <si>
    <t>Sin cotización: proceso de carros (de la planilla de MP)</t>
  </si>
  <si>
    <t>Pallet de 400 u</t>
  </si>
  <si>
    <t>Rack de casquetes y cuplas (carros)</t>
  </si>
  <si>
    <t>P15</t>
  </si>
  <si>
    <t>MP-16</t>
  </si>
  <si>
    <t>Casquete 12" × 3,2 mm (carro 50 kg)</t>
  </si>
  <si>
    <t>Almacenamiento de materia prima — versión 5 (MRP nuevo)</t>
  </si>
  <si>
    <t>Pallet de 300 u</t>
  </si>
  <si>
    <t>P16</t>
  </si>
  <si>
    <t>MP-17</t>
  </si>
  <si>
    <t>Casquete 15" × 4,75 mm (carros 70 y 100 kg)</t>
  </si>
  <si>
    <t>Pallet de 150 u</t>
  </si>
  <si>
    <t>P17</t>
  </si>
  <si>
    <t>MP-18</t>
  </si>
  <si>
    <t>Asiento de válvula M22 × 1,5 (1 kg)</t>
  </si>
  <si>
    <t>Eli-Met</t>
  </si>
  <si>
    <t>Días de producción = cuántos días de consumo promedio cubre la sección llena hasta el stock máximo (de los ítems que están en almacén). «Se agota primero» es el ítem con menos días.</t>
  </si>
  <si>
    <t>Cotización Eli-Met: 35 a 40 días corridos = 25 a 29 hábiles</t>
  </si>
  <si>
    <t>Ítems en almacén</t>
  </si>
  <si>
    <t>Ítems en puesto de trabajo</t>
  </si>
  <si>
    <t>Caja de 1.000 u</t>
  </si>
  <si>
    <t>5 kg</t>
  </si>
  <si>
    <t>Posiciones</t>
  </si>
  <si>
    <t>Insumos de montaje (manuales)</t>
  </si>
  <si>
    <t>P18</t>
  </si>
  <si>
    <t>MP-19</t>
  </si>
  <si>
    <t>% del total</t>
  </si>
  <si>
    <t>Asiento de válvula M30 × 1,5 (2,5 a 10 kg)</t>
  </si>
  <si>
    <t>Días de producción — el que se agota primero</t>
  </si>
  <si>
    <t>Ítem que se agota primero</t>
  </si>
  <si>
    <t>Días de producción — promedio de la sección</t>
  </si>
  <si>
    <t>Tipo de almacenamiento</t>
  </si>
  <si>
    <t>Equipo de manejo</t>
  </si>
  <si>
    <t>Almacén de producto terminado</t>
  </si>
  <si>
    <t>P19</t>
  </si>
  <si>
    <t>MP-20</t>
  </si>
  <si>
    <t>Cupla M30 × 1,5 (carros 25 y 50 kg)</t>
  </si>
  <si>
    <t>Caja de 100 u</t>
  </si>
  <si>
    <t>P20</t>
  </si>
  <si>
    <t>MP-21</t>
  </si>
  <si>
    <t>Cupla 2½" BSP (carros 70 y 100 kg)</t>
  </si>
  <si>
    <t>Caja de 40 u</t>
  </si>
  <si>
    <t>P21</t>
  </si>
  <si>
    <t>MP-66</t>
  </si>
  <si>
    <t>Caño SAE 1010 1" × 2,0 × 6 m (manija; caño del eje 25 kg)</t>
  </si>
  <si>
    <t>Centrosider</t>
  </si>
  <si>
    <t>10 kg</t>
  </si>
  <si>
    <t>Sin cotización: planilla de MP</t>
  </si>
  <si>
    <t>Barra de 6 m</t>
  </si>
  <si>
    <t>P22</t>
  </si>
  <si>
    <t>MP-67</t>
  </si>
  <si>
    <t>Caño SAE 1010 1¼" × 2,0 × 6 m (caño del eje 50 a 100 kg)</t>
  </si>
  <si>
    <t>P23</t>
  </si>
  <si>
    <t>MP-68</t>
  </si>
  <si>
    <t>Barra trefilada SAE 1045 3/4" × 4 m (eje 25 kg)</t>
  </si>
  <si>
    <t>Vladimirsky</t>
  </si>
  <si>
    <t>Barra de 4 m</t>
  </si>
  <si>
    <t>P24</t>
  </si>
  <si>
    <t>MP-69</t>
  </si>
  <si>
    <t>Barra trefilada SAE 1045 1" × 6 m (eje 50 a 100 kg)</t>
  </si>
  <si>
    <t>25 kg</t>
  </si>
  <si>
    <t>Rodante</t>
  </si>
  <si>
    <t>P25</t>
  </si>
  <si>
    <t>MP-70</t>
  </si>
  <si>
    <t>Arandela de tope del eje</t>
  </si>
  <si>
    <t>Hierros Parrotta</t>
  </si>
  <si>
    <t>Bolsa de 1.000 u</t>
  </si>
  <si>
    <t>Rack de insumos de montaje (carros)</t>
  </si>
  <si>
    <t>P26</t>
  </si>
  <si>
    <t>MP-71</t>
  </si>
  <si>
    <t>Pasador partido del eje</t>
  </si>
  <si>
    <t>P27</t>
  </si>
  <si>
    <t>MP-54/300</t>
  </si>
  <si>
    <t>Rueda Ø300 × 50, buje 3/4" (carro 25 kg)</t>
  </si>
  <si>
    <t>Ruedar</t>
  </si>
  <si>
    <t>50 kg</t>
  </si>
  <si>
    <t>Pallet de 72 u</t>
  </si>
  <si>
    <t>P28</t>
  </si>
  <si>
    <t>MP-54/350</t>
  </si>
  <si>
    <t>Rueda Ø350 × 60, buje 1" (carro 50 kg)</t>
  </si>
  <si>
    <t>P29</t>
  </si>
  <si>
    <t>MP-54/400</t>
  </si>
  <si>
    <t>Rueda Ø400 × 60, buje 1" (carros 70 y 100 kg)</t>
  </si>
  <si>
    <t>Escanort</t>
  </si>
  <si>
    <t>P30</t>
  </si>
  <si>
    <t>MP-23</t>
  </si>
  <si>
    <t>Alambre MAG ER70S-6 Ø0,9 mm (manuales)</t>
  </si>
  <si>
    <t>Conarco (ESAB)</t>
  </si>
  <si>
    <t>70 kg</t>
  </si>
  <si>
    <t>Pallet de 900 kg</t>
  </si>
  <si>
    <t>Insumos de soldadura y superficie</t>
  </si>
  <si>
    <t>P31</t>
  </si>
  <si>
    <t>MP-24</t>
  </si>
  <si>
    <t>Alambre MAG ER70S-6 Ø1,0 mm (carros)</t>
  </si>
  <si>
    <t>P32</t>
  </si>
  <si>
    <t>MP-25</t>
  </si>
  <si>
    <t>Gas MAG Ar + 8 % CO₂ (Arcal 21)</t>
  </si>
  <si>
    <t>m³</t>
  </si>
  <si>
    <t>Air Liquide</t>
  </si>
  <si>
    <t>Cotización Air Liquide: día + 1</t>
  </si>
  <si>
    <t>Batería de 11 cilindros</t>
  </si>
  <si>
    <t>Jaula de gases</t>
  </si>
  <si>
    <t>P33</t>
  </si>
  <si>
    <t>MP-92</t>
  </si>
  <si>
    <t>Disco de sensitiva 355 mm</t>
  </si>
  <si>
    <t>Norton / Pferd</t>
  </si>
  <si>
    <t>Caja de 25 u</t>
  </si>
  <si>
    <t>P34</t>
  </si>
  <si>
    <t>MP-27</t>
  </si>
  <si>
    <t>Disco de corte 115 × 1,0 mm</t>
  </si>
  <si>
    <t>100 kg</t>
  </si>
  <si>
    <t>P35</t>
  </si>
  <si>
    <t>MP-93</t>
  </si>
  <si>
    <t>Disco flap 115 mm grano 60</t>
  </si>
  <si>
    <t>Rack selectivo de pallets (4 niveles) para equipos comprados para reventa.</t>
  </si>
  <si>
    <t>Autoelevador</t>
  </si>
  <si>
    <t>P36</t>
  </si>
  <si>
    <t>MP-94</t>
  </si>
  <si>
    <t>Mecha de acero rápido 4,5 mm</t>
  </si>
  <si>
    <t>Ferretería industrial</t>
  </si>
  <si>
    <t>P37</t>
  </si>
  <si>
    <t>MP-95</t>
  </si>
  <si>
    <t>Spray antiproyecciones 400 ml</t>
  </si>
  <si>
    <t>Würth Argentina</t>
  </si>
  <si>
    <t>P38</t>
  </si>
  <si>
    <t>MP-28</t>
  </si>
  <si>
    <t>Granalla de acero S330 / S390</t>
  </si>
  <si>
    <t>CyM Materiales</t>
  </si>
  <si>
    <t>Pallet de 1.000 kg</t>
  </si>
  <si>
    <t>P39</t>
  </si>
  <si>
    <t>MP-31</t>
  </si>
  <si>
    <t>Pintura en polvo poliéster rojo 03-1-050</t>
  </si>
  <si>
    <t>Sinteplast</t>
  </si>
  <si>
    <t>Pallet de 600 kg</t>
  </si>
  <si>
    <t>Depósito de polvo químico</t>
  </si>
  <si>
    <t>P40</t>
  </si>
  <si>
    <t>MP-33</t>
  </si>
  <si>
    <t>Polvo ABC 60 (manuales y sus recargas)</t>
  </si>
  <si>
    <t>DEMSA</t>
  </si>
  <si>
    <t>Big bag de 1.000 kg</t>
  </si>
  <si>
    <t>Subtotal A</t>
  </si>
  <si>
    <t>P41</t>
  </si>
  <si>
    <t>MP-33B</t>
  </si>
  <si>
    <t>Polvo ABC 90 (carros y sus recargas)</t>
  </si>
  <si>
    <t>P42</t>
  </si>
  <si>
    <t>MP-34</t>
  </si>
  <si>
    <t>Nitrógeno seco</t>
  </si>
  <si>
    <t>Pack de 12 cilindros</t>
  </si>
  <si>
    <t>P43</t>
  </si>
  <si>
    <t>MP-35</t>
  </si>
  <si>
    <t>Polvo BC (recargas)</t>
  </si>
  <si>
    <t>Polvex</t>
  </si>
  <si>
    <t>Cuerpos por pallet = el menor entre la carga máxima por pallet y las pilas del pallet × la altura máxima de pila. Huella = la mayor entre el pallet estándar y el desarrollo × alto del cuerpo más 100 mm de holgura por lado. El 1 kg (tubo) va parado en capas. La demanda es la de Comparacion_corte (2035) del MRP.</t>
  </si>
  <si>
    <t>B) Cúpulas y fondos embutidos (de fleje, formatos de 1 a 10 kg)</t>
  </si>
  <si>
    <t>Bolsa de 25 kg</t>
  </si>
  <si>
    <t>Pieza</t>
  </si>
  <si>
    <t>Piezas a fabricar en el año 2035</t>
  </si>
  <si>
    <t>Piezas por mes</t>
  </si>
  <si>
    <t>P44</t>
  </si>
  <si>
    <t>MP-36</t>
  </si>
  <si>
    <t>Polvo clase D (recargas)</t>
  </si>
  <si>
    <t>Piezas por día hábil</t>
  </si>
  <si>
    <t>Piezas en colchón</t>
  </si>
  <si>
    <t>Ø exterior de la pieza (mm)</t>
  </si>
  <si>
    <t>Masa por pieza (kg)</t>
  </si>
  <si>
    <t>Piezas por pila encastrada</t>
  </si>
  <si>
    <t>Pilas por pallet</t>
  </si>
  <si>
    <t>Piezas por pallet</t>
  </si>
  <si>
    <t>Cúpula 1 kg</t>
  </si>
  <si>
    <t>P45</t>
  </si>
  <si>
    <t>MP-37</t>
  </si>
  <si>
    <t>CO₂ líquido (recargas)</t>
  </si>
  <si>
    <t>Cilindro de 25 kg</t>
  </si>
  <si>
    <t>P46</t>
  </si>
  <si>
    <t>MP-38</t>
  </si>
  <si>
    <t>Agente limpio HCFC-123 (recargas)</t>
  </si>
  <si>
    <t>Polvex / DEMSA</t>
  </si>
  <si>
    <t>Cilindro de 50 kg</t>
  </si>
  <si>
    <t>Insumos de recargas</t>
  </si>
  <si>
    <t>P47</t>
  </si>
  <si>
    <t>MP-40</t>
  </si>
  <si>
    <t>Concentrado AFFF 3 % (recargas)</t>
  </si>
  <si>
    <t>L</t>
  </si>
  <si>
    <t>Bidón de 20 L</t>
  </si>
  <si>
    <t>P48</t>
  </si>
  <si>
    <t>MP-41</t>
  </si>
  <si>
    <t>Acetato de potasio Gastro K (recargas)</t>
  </si>
  <si>
    <t>P49</t>
  </si>
  <si>
    <t>MP-42</t>
  </si>
  <si>
    <t>Válvula HZ M-22 con tubo de pesca (1 kg)</t>
  </si>
  <si>
    <t>Polvex (HZ)</t>
  </si>
  <si>
    <t>Hojas gruesas 1500 × 3000 en pilas en piso (2 de alto), junto al corte de los carros.</t>
  </si>
  <si>
    <t>Puente grúa o autoelevador con horquillas largas</t>
  </si>
  <si>
    <t>Pallet de 3.000 u</t>
  </si>
  <si>
    <t>P50</t>
  </si>
  <si>
    <t>MP-43</t>
  </si>
  <si>
    <t>Válvula HZ M-30 con resorte (2,5 a 10 kg)</t>
  </si>
  <si>
    <t>Pallet de 1.500 u</t>
  </si>
  <si>
    <t>P51</t>
  </si>
  <si>
    <t>MP-44/25</t>
  </si>
  <si>
    <t>Válvula HZ de carro 25 kg</t>
  </si>
  <si>
    <t>Caja de 10 u</t>
  </si>
  <si>
    <t>P52</t>
  </si>
  <si>
    <t>MP-44/50</t>
  </si>
  <si>
    <t>Válvula HZ de carro 50-70-100 kg</t>
  </si>
  <si>
    <t>P53</t>
  </si>
  <si>
    <t>MP-45</t>
  </si>
  <si>
    <t>Manómetro 1,4 MPa</t>
  </si>
  <si>
    <t>Yukon</t>
  </si>
  <si>
    <t>P54</t>
  </si>
  <si>
    <t>MP-48/ABC1</t>
  </si>
  <si>
    <t>Tobera ABC 1 kg</t>
  </si>
  <si>
    <t>Caja de 50 u</t>
  </si>
  <si>
    <t>P55</t>
  </si>
  <si>
    <t>MP-48/ABC2.5</t>
  </si>
  <si>
    <t>Manguera con tobera ABC 2,5 kg</t>
  </si>
  <si>
    <t>P56</t>
  </si>
  <si>
    <t>MP-48/ABC5</t>
  </si>
  <si>
    <t>Manguera con tobera ABC 5 kg</t>
  </si>
  <si>
    <t>P57</t>
  </si>
  <si>
    <t>MP-48/ABC10</t>
  </si>
  <si>
    <t>Manguera con tobera ABC 10 kg</t>
  </si>
  <si>
    <t>P58</t>
  </si>
  <si>
    <t>MP-49/ABC25</t>
  </si>
  <si>
    <t>Manguera con válvula esférica y tobera, carro 25 kg</t>
  </si>
  <si>
    <t>P59</t>
  </si>
  <si>
    <t>MP-49/ABC50</t>
  </si>
  <si>
    <t>Manguera con válvula esférica y tobera, carro 50 kg</t>
  </si>
  <si>
    <t>P60</t>
  </si>
  <si>
    <t>MP-49/ABC70</t>
  </si>
  <si>
    <t>Manguera con válvula esférica y tobera, carro 70 kg</t>
  </si>
  <si>
    <t>Fondo 1 kg</t>
  </si>
  <si>
    <t>P61</t>
  </si>
  <si>
    <t>MP-49/ABC100</t>
  </si>
  <si>
    <t>Manguera con válvula esférica y tobera, carro 100 kg</t>
  </si>
  <si>
    <t>Rack cantilever de 3 niveles para barras de 4 y 6 m.</t>
  </si>
  <si>
    <t>Autoelevador lateral o puente grúa</t>
  </si>
  <si>
    <t>P62</t>
  </si>
  <si>
    <t>MP-50/M22</t>
  </si>
  <si>
    <t>Junta tórica del cuello M22</t>
  </si>
  <si>
    <t>Argensold</t>
  </si>
  <si>
    <t>P63</t>
  </si>
  <si>
    <t>MP-50/M30</t>
  </si>
  <si>
    <t>Junta tórica del cuello M30</t>
  </si>
  <si>
    <t>P64</t>
  </si>
  <si>
    <t>MP-50/2½</t>
  </si>
  <si>
    <t>Junta tórica del cuello 2½"</t>
  </si>
  <si>
    <t>Cúpula 2,5 kg</t>
  </si>
  <si>
    <t>P65</t>
  </si>
  <si>
    <t>MP-50/OT</t>
  </si>
  <si>
    <t>Junta tórica del cuello (recargas, surtido por medida)</t>
  </si>
  <si>
    <t>Matafuegos Iglesias</t>
  </si>
  <si>
    <t>P66</t>
  </si>
  <si>
    <t>MP-52/ABC2.5</t>
  </si>
  <si>
    <t>Soporte de pared ABC 2,5 kg</t>
  </si>
  <si>
    <t>Maxiseguridad</t>
  </si>
  <si>
    <t>Hojas en pilas en piso (2 de alto) y bobinas de fleje sobre pallet en piso (1 nivel).</t>
  </si>
  <si>
    <t>Puente grúa o autoelevador con pinza de bobina</t>
  </si>
  <si>
    <t>P67</t>
  </si>
  <si>
    <t>MP-52/ABC5</t>
  </si>
  <si>
    <t>Soporte de pared ABC 5 kg</t>
  </si>
  <si>
    <t>Fondo 2,5 kg</t>
  </si>
  <si>
    <t>P68</t>
  </si>
  <si>
    <t>MP-52/ABC10</t>
  </si>
  <si>
    <t>Soporte de pared ABC 10 kg</t>
  </si>
  <si>
    <t>P69</t>
  </si>
  <si>
    <t>MP-87</t>
  </si>
  <si>
    <t>Soporte vehicular (1 kg)</t>
  </si>
  <si>
    <t>P70</t>
  </si>
  <si>
    <t>MP-86</t>
  </si>
  <si>
    <t>Tornillo y tarugo de fijación</t>
  </si>
  <si>
    <t>Cúpula 5 kg</t>
  </si>
  <si>
    <t>Zona seca y cerrada. Big bags de 1 t en rack pesado (4 niveles) y pallets de bolsas y pintura.</t>
  </si>
  <si>
    <t>P71</t>
  </si>
  <si>
    <t>MP-55</t>
  </si>
  <si>
    <t>Embalaje</t>
  </si>
  <si>
    <t>Conjunto de seguridad de CO₂ (recargas)</t>
  </si>
  <si>
    <t>Georgia</t>
  </si>
  <si>
    <t>Bolsa de 100 u</t>
  </si>
  <si>
    <t>P72</t>
  </si>
  <si>
    <t>MP-56/ABC1</t>
  </si>
  <si>
    <t>Etiqueta de características ABC 1 kg</t>
  </si>
  <si>
    <t>Astuprint</t>
  </si>
  <si>
    <t>Rollo de 1.000 u</t>
  </si>
  <si>
    <t>Identificación</t>
  </si>
  <si>
    <t>P73</t>
  </si>
  <si>
    <t>MP-56/ABC2.5</t>
  </si>
  <si>
    <t>Etiqueta de características ABC 2,5 kg</t>
  </si>
  <si>
    <t>Fondo 5 kg</t>
  </si>
  <si>
    <t>P74</t>
  </si>
  <si>
    <t>MP-56/ABC5</t>
  </si>
  <si>
    <t>Etiqueta de características ABC 5 kg</t>
  </si>
  <si>
    <t>P75</t>
  </si>
  <si>
    <t>MP-56/ABC10</t>
  </si>
  <si>
    <t>Etiqueta de características ABC 10 kg</t>
  </si>
  <si>
    <t>Rack de pallets (4 niveles) para cajas plegadas; pallets de madera vacíos en pila en piso; rollos y cajas chicas en estantería.</t>
  </si>
  <si>
    <t>Autoelevador y zorra manual</t>
  </si>
  <si>
    <t>Cúpula 10 kg</t>
  </si>
  <si>
    <t>P76</t>
  </si>
  <si>
    <t>MP-56/ABC25</t>
  </si>
  <si>
    <t>Etiqueta de características ABC 25 kg</t>
  </si>
  <si>
    <t>P77</t>
  </si>
  <si>
    <t>MP-56/ABC50</t>
  </si>
  <si>
    <t>Etiqueta de características ABC 50 kg</t>
  </si>
  <si>
    <t>P78</t>
  </si>
  <si>
    <t>MP-56/ABC70</t>
  </si>
  <si>
    <t>Etiqueta de características ABC 70 kg</t>
  </si>
  <si>
    <t>Fondo 10 kg</t>
  </si>
  <si>
    <t>P79</t>
  </si>
  <si>
    <t>MP-56/ABC100</t>
  </si>
  <si>
    <t>Etiqueta de características ABC 100 kg</t>
  </si>
  <si>
    <t>P80</t>
  </si>
  <si>
    <t>MP-78</t>
  </si>
  <si>
    <t>Oblea de fabricación (PBA)</t>
  </si>
  <si>
    <t>DPS (PBA)</t>
  </si>
  <si>
    <t>Estantería de cajas (5 niveles) para etiquetas e impresos; sellos oficiales numerados en sector bajo llave.</t>
  </si>
  <si>
    <t>Paquete de 500 u</t>
  </si>
  <si>
    <t>P81</t>
  </si>
  <si>
    <t>MP-79</t>
  </si>
  <si>
    <t>Estampilla IRAM de conformidad</t>
  </si>
  <si>
    <t>IRAM</t>
  </si>
  <si>
    <t>P82</t>
  </si>
  <si>
    <t>MP-77</t>
  </si>
  <si>
    <t>Tarjeta de identificación AGC (CABA)</t>
  </si>
  <si>
    <t>AGC (CABA)</t>
  </si>
  <si>
    <t>Subtotal B</t>
  </si>
  <si>
    <t>P83</t>
  </si>
  <si>
    <t>MP-80</t>
  </si>
  <si>
    <t>Etiqueta de n° de serie GS1</t>
  </si>
  <si>
    <t>P84</t>
  </si>
  <si>
    <t>MP-81</t>
  </si>
  <si>
    <t>Faja de garantía válvula-cuello</t>
  </si>
  <si>
    <t>Masas de cúpulas y fondos: de la hoja de pesos del MRP. Pila encastrada y diámetro exterior (igual al del cilindro): supuestos editables. Una cúpula y un fondo por cuerpo.</t>
  </si>
  <si>
    <t>Rack de pallets (4 niveles) para válvulas, manómetros, toberas, mangueras y soportes; estantería para juntas y tornillos.</t>
  </si>
  <si>
    <t>Peso (t)</t>
  </si>
  <si>
    <t>TOTAL PROCESADO</t>
  </si>
  <si>
    <t>P85</t>
  </si>
  <si>
    <t>MP-51</t>
  </si>
  <si>
    <t>Precinto de fábrica</t>
  </si>
  <si>
    <t>SonFuertes</t>
  </si>
  <si>
    <t>P86</t>
  </si>
  <si>
    <t>MP-88</t>
  </si>
  <si>
    <t>Etiqueta del cilindro suelto</t>
  </si>
  <si>
    <t>P87</t>
  </si>
  <si>
    <t>MP-62/M22</t>
  </si>
  <si>
    <t>Tapón protector de rosca M22</t>
  </si>
  <si>
    <t>A definir (inyectora)</t>
  </si>
  <si>
    <t>Caja de 5.000 u</t>
  </si>
  <si>
    <t>P88</t>
  </si>
  <si>
    <t>MP-62/M30</t>
  </si>
  <si>
    <t>Tapón protector de rosca M30</t>
  </si>
  <si>
    <t>P89</t>
  </si>
  <si>
    <t>MP-62/2½</t>
  </si>
  <si>
    <t>Tapón protector de rosca 2½"</t>
  </si>
  <si>
    <t>Rack de pallets para bidones, cilindros y agentes líquidos (1 nivel los líquidos); estantería para rollos y bolsas chicas.</t>
  </si>
  <si>
    <t>P90</t>
  </si>
  <si>
    <t>MP-85</t>
  </si>
  <si>
    <t>Impresos (protocolo de ensayo, remito de préstamo)</t>
  </si>
  <si>
    <t>P91</t>
  </si>
  <si>
    <t>MP-57</t>
  </si>
  <si>
    <t>Marbete del año</t>
  </si>
  <si>
    <t>Paquete de 1.000 u</t>
  </si>
  <si>
    <t>P92</t>
  </si>
  <si>
    <t>MP-97</t>
  </si>
  <si>
    <t>Precinto del recargador</t>
  </si>
  <si>
    <t>P93</t>
  </si>
  <si>
    <t>MP-72</t>
  </si>
  <si>
    <t>Etiqueta de servicio</t>
  </si>
  <si>
    <t>P94</t>
  </si>
  <si>
    <t>MP-75</t>
  </si>
  <si>
    <t>Estampilla y oblea de recarga (PBA)</t>
  </si>
  <si>
    <t>Pallets de alambre, pintura y granalla en rack (4 niveles); discos y sprays en estantería.</t>
  </si>
  <si>
    <t>P95</t>
  </si>
  <si>
    <t>MP-76</t>
  </si>
  <si>
    <t>Tarjeta de identificación DPS (PBA)</t>
  </si>
  <si>
    <t>P96</t>
  </si>
  <si>
    <t>MP-82</t>
  </si>
  <si>
    <t>Faja amarilla de sustituto</t>
  </si>
  <si>
    <t>P97</t>
  </si>
  <si>
    <t>MP-83</t>
  </si>
  <si>
    <t>Tarjeta DPS «sustituto habilitado»</t>
  </si>
  <si>
    <t>P98</t>
  </si>
  <si>
    <t>MP-84</t>
  </si>
  <si>
    <t>Tarjeta AGC «es sustituto»</t>
  </si>
  <si>
    <t>P99</t>
  </si>
  <si>
    <t>MP-65</t>
  </si>
  <si>
    <t>Esmalte poliuretano rojo (recargas)</t>
  </si>
  <si>
    <t>Jaula ventilada y segregada: baterías y packs de cilindros en piso (1 nivel). Evaluar tanque para el gas de soldadura.</t>
  </si>
  <si>
    <t>Zorra para cilindros / entrega del proveedor</t>
  </si>
  <si>
    <t>Lata de 4 L</t>
  </si>
  <si>
    <t>P100</t>
  </si>
  <si>
    <t>MP-59/ABC1</t>
  </si>
  <si>
    <t>Caja de cartón simple ABC 1 kg</t>
  </si>
  <si>
    <t>Maxipack</t>
  </si>
  <si>
    <t>Pallet de 600 cajas</t>
  </si>
  <si>
    <t>P101</t>
  </si>
  <si>
    <t>MP-59/ABC2.5</t>
  </si>
  <si>
    <t>Caja de cartón simple ABC 2,5 kg</t>
  </si>
  <si>
    <t>P102</t>
  </si>
  <si>
    <t>MP-59/ABC5</t>
  </si>
  <si>
    <t>Caja de cartón simple ABC 5 kg</t>
  </si>
  <si>
    <t>P103</t>
  </si>
  <si>
    <t>MP-59/ABC10</t>
  </si>
  <si>
    <t>Caja de cartón doble ABC 10 kg</t>
  </si>
  <si>
    <t>Rack de pallets (4 niveles) para casquetes importados y cuplas de los carros.</t>
  </si>
  <si>
    <t>P104</t>
  </si>
  <si>
    <t>MP-89</t>
  </si>
  <si>
    <t>Etiqueta de caja</t>
  </si>
  <si>
    <t>P105</t>
  </si>
  <si>
    <t>MP-60</t>
  </si>
  <si>
    <t>Pallet de madera 1200 × 1000</t>
  </si>
  <si>
    <t>IndusPallets</t>
  </si>
  <si>
    <t>Pila de 15 u</t>
  </si>
  <si>
    <t>P106</t>
  </si>
  <si>
    <t>MP-90</t>
  </si>
  <si>
    <t>Etiqueta de pallet</t>
  </si>
  <si>
    <t>P107</t>
  </si>
  <si>
    <t>RV-AGUA_10l</t>
  </si>
  <si>
    <t>Matafuego Agua 10 l (reventa)</t>
  </si>
  <si>
    <t>Fabricante nacional</t>
  </si>
  <si>
    <t>Rack de pallets (4 niveles) para ruedas, alambre y válvulas de carros; estantería para piezas chicas.</t>
  </si>
  <si>
    <t>Procesado: cuerpos cortados y cúpulas y fondos embutidos</t>
  </si>
  <si>
    <t>—</t>
  </si>
  <si>
    <t>P108</t>
  </si>
  <si>
    <t>RV-AFFF_10l</t>
  </si>
  <si>
    <t>Matafuego AFFF 10 l (reventa)</t>
  </si>
  <si>
    <t>Rodantes (por definición del colchón)</t>
  </si>
  <si>
    <t>Pallets en piso (1 nivel) junto a la guillotina, el corte de tubo y el balancín de embutido. Los días son el colchón elegido: manuales (columna promedio) y rodantes (columna mínimo). Detalle en la hoja Procesado.</t>
  </si>
  <si>
    <t>Autoelevador o zorra; puente grúa para los cuerpos grandes</t>
  </si>
  <si>
    <t>TOTAL ALMACÉN</t>
  </si>
  <si>
    <t>P109</t>
  </si>
  <si>
    <t>RV-AFFF_50l</t>
  </si>
  <si>
    <t>Matafuego AFFF 50 l (reventa)</t>
  </si>
  <si>
    <t>P110</t>
  </si>
  <si>
    <t>RV-BC_5kg</t>
  </si>
  <si>
    <t>Matafuego BC 5 kg (reventa)</t>
  </si>
  <si>
    <t>P111</t>
  </si>
  <si>
    <t>RV-SALESK_6l</t>
  </si>
  <si>
    <t>Matafuego Clase K 6 l (reventa)</t>
  </si>
  <si>
    <t>P112</t>
  </si>
  <si>
    <t>RV-CO2_2kg</t>
  </si>
  <si>
    <t>Matafuego CO₂ 2 kg (reventa)</t>
  </si>
  <si>
    <t>Los gases usan un supuesto de 1,5 m² por paquete (dato a confirmar con el proveedor). La huella de cada ítem se puede cambiar en Dimensionamiento (columnas amarillas).</t>
  </si>
  <si>
    <t>Criticidad: plazo máximo × volumen (cantidad de ítems)</t>
  </si>
  <si>
    <t>Volumen alto</t>
  </si>
  <si>
    <t>Volumen bajo</t>
  </si>
  <si>
    <t>Total</t>
  </si>
  <si>
    <t>Plazo alto</t>
  </si>
  <si>
    <t>Plazo bajo</t>
  </si>
  <si>
    <t>Plazo alto y volumen alto = criticidad Alta; uno solo = Media; ninguno = Baja. Los umbrales están en Supuestos.</t>
  </si>
  <si>
    <t>Los 10 ítems que más área ocupan en el almacén</t>
  </si>
  <si>
    <t>Ítem</t>
  </si>
  <si>
    <t>Sección</t>
  </si>
  <si>
    <t>Días de producción del stock máx.</t>
  </si>
  <si>
    <t>P113</t>
  </si>
  <si>
    <t>RV-CO2_5kg</t>
  </si>
  <si>
    <t>Matafuego CO₂ 5 kg (reventa)</t>
  </si>
  <si>
    <t>P114</t>
  </si>
  <si>
    <t>RV-HCFC-HFC_5kg</t>
  </si>
  <si>
    <t>Matafuego HCFC 5 kg (reventa)</t>
  </si>
  <si>
    <t>P115</t>
  </si>
  <si>
    <t>RV-CLASED_9l</t>
  </si>
  <si>
    <t>Matafuego Clase D 9 l (reventa)</t>
  </si>
  <si>
    <t>Huella de gases: supuesto a confirmar con el proveedor.</t>
  </si>
  <si>
    <t>Sello oficial numerado: siempre en almacén (sector bajo llave).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</si>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</sst>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0.0"/>
    <numFmt numFmtId="166" formatCode="0.000"/>
  </numFmts>
  <fonts count="8">
    <font>
      <sz val="11.0"/>
      <color theme="1"/>
      <name val="Calibri"/>
      <scheme val="minor"/>
    </font>
    <font>
      <b/>
      <sz val="14.0"/>
      <color rgb="FF1F3A4D"/>
      <name val="Arial"/>
    </font>
    <font>
      <i/>
      <sz val="9.0"/>
      <color theme="1"/>
      <name val="Arial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0000FF"/>
      <name val="Arial"/>
    </font>
    <font>
      <b/>
      <sz val="10.0"/>
      <color theme="1"/>
      <name val="Arial"/>
    </font>
    <font>
      <b/>
      <sz val="16.0"/>
      <color rgb="FF1F3A4D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A4D"/>
        <bgColor rgb="FF1F3A4D"/>
      </patternFill>
    </fill>
    <fill>
      <patternFill patternType="solid">
        <fgColor rgb="FFFFF4CC"/>
        <bgColor rgb="FFFFF4CC"/>
      </patternFill>
    </fill>
  </fills>
  <borders count="2">
    <border/>
    <border>
      <left style="thin">
        <color rgb="FFC9D1D8"/>
      </left>
      <right style="thin">
        <color rgb="FFC9D1D8"/>
      </right>
      <top style="thin">
        <color rgb="FFC9D1D8"/>
      </top>
      <bottom style="thin">
        <color rgb="FFC9D1D8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vertical="bottom" wrapText="0"/>
    </xf>
    <xf borderId="1" fillId="3" fontId="5" numFmtId="0" xfId="0" applyAlignment="1" applyBorder="1" applyFill="1" applyFont="1">
      <alignment shrinkToFit="0" vertical="bottom" wrapText="0"/>
    </xf>
    <xf borderId="0" fillId="0" fontId="4" numFmtId="0" xfId="0" applyAlignment="1" applyFont="1">
      <alignment shrinkToFit="0" vertical="top" wrapText="1"/>
    </xf>
    <xf borderId="1" fillId="0" fontId="4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3" fontId="5" numFmtId="164" xfId="0" applyAlignment="1" applyBorder="1" applyFill="1" applyFont="1" applyNumberFormat="1">
      <alignment shrinkToFit="0" vertical="bottom" wrapText="0"/>
    </xf>
    <xf borderId="1" fillId="0" fontId="4" numFmtId="4" xfId="0" applyAlignment="1" applyBorder="1" applyFont="1" applyNumberFormat="1">
      <alignment shrinkToFit="0" vertical="bottom" wrapText="0"/>
    </xf>
    <xf borderId="1" fillId="0" fontId="4" numFmtId="164" xfId="0" applyAlignment="1" applyBorder="1" applyFont="1" applyNumberFormat="1">
      <alignment shrinkToFit="0" vertical="bottom" wrapText="0"/>
    </xf>
    <xf borderId="1" fillId="3" fontId="5" numFmtId="1" xfId="0" applyAlignment="1" applyBorder="1" applyFill="1" applyFont="1" applyNumberFormat="1">
      <alignment shrinkToFit="0" vertical="bottom" wrapText="0"/>
    </xf>
    <xf borderId="1" fillId="0" fontId="4" numFmtId="165" xfId="0" applyAlignment="1" applyBorder="1" applyFont="1" applyNumberFormat="1">
      <alignment shrinkToFit="0" vertical="bottom" wrapText="0"/>
    </xf>
    <xf borderId="1" fillId="0" fontId="4" numFmtId="1" xfId="0" applyAlignment="1" applyBorder="1" applyFont="1" applyNumberFormat="1">
      <alignment shrinkToFit="0" vertical="bottom" wrapText="0"/>
    </xf>
    <xf borderId="1" fillId="0" fontId="4" numFmtId="3" xfId="0" applyAlignment="1" applyBorder="1" applyFont="1" applyNumberFormat="1">
      <alignment shrinkToFit="0" vertical="bottom" wrapText="0"/>
    </xf>
    <xf borderId="1" fillId="0" fontId="4" numFmtId="9" xfId="0" applyAlignment="1" applyBorder="1" applyFont="1" applyNumberFormat="1">
      <alignment shrinkToFit="0" vertical="bottom" wrapText="0"/>
    </xf>
    <xf borderId="1" fillId="0" fontId="4" numFmtId="166" xfId="0" applyAlignment="1" applyBorder="1" applyFont="1" applyNumberFormat="1">
      <alignment shrinkToFit="0" vertical="bottom" wrapText="0"/>
    </xf>
    <xf borderId="1" fillId="3" fontId="5" numFmtId="3" xfId="0" applyAlignment="1" applyBorder="1" applyFill="1" applyFont="1" applyNumberFormat="1">
      <alignment shrinkToFit="0" vertical="bottom" wrapText="0"/>
    </xf>
    <xf borderId="1" fillId="3" fontId="5" numFmtId="165" xfId="0" applyAlignment="1" applyBorder="1" applyFill="1" applyFont="1" applyNumberFormat="1">
      <alignment shrinkToFit="0" vertical="bottom" wrapText="0"/>
    </xf>
    <xf borderId="1" fillId="3" fontId="5" numFmtId="2" xfId="0" applyAlignment="1" applyBorder="1" applyFill="1" applyFont="1" applyNumberFormat="1">
      <alignment shrinkToFit="0" vertical="bottom" wrapText="0"/>
    </xf>
    <xf borderId="1" fillId="0" fontId="4" numFmtId="2" xfId="0" applyAlignment="1" applyBorder="1" applyFont="1" applyNumberFormat="1">
      <alignment shrinkToFit="0" vertical="bottom" wrapText="0"/>
    </xf>
    <xf borderId="0" fillId="0" fontId="7" numFmtId="0" xfId="0" applyAlignment="1" applyFont="1">
      <alignment shrinkToFit="0" vertical="bottom" wrapText="0"/>
    </xf>
    <xf borderId="1" fillId="0" fontId="4" numFmtId="0" xfId="0" applyAlignment="1" applyBorder="1" applyFont="1">
      <alignment shrinkToFit="0" vertical="top" wrapText="1"/>
    </xf>
    <xf borderId="1" fillId="0" fontId="6" numFmtId="0" xfId="0" applyAlignment="1" applyBorder="1" applyFont="1">
      <alignment shrinkToFit="0" vertical="bottom" wrapText="0"/>
    </xf>
    <xf borderId="1" fillId="0" fontId="6" numFmtId="3" xfId="0" applyAlignment="1" applyBorder="1" applyFont="1" applyNumberFormat="1">
      <alignment shrinkToFit="0" vertical="bottom" wrapText="0"/>
    </xf>
    <xf borderId="1" fillId="0" fontId="6" numFmtId="1" xfId="0" applyAlignment="1" applyBorder="1" applyFont="1" applyNumberFormat="1">
      <alignment shrinkToFit="0" vertical="bottom" wrapText="0"/>
    </xf>
    <xf borderId="1" fillId="0" fontId="6" numFmtId="164" xfId="0" applyAlignment="1" applyBorder="1" applyFont="1" applyNumberFormat="1">
      <alignment shrinkToFit="0" vertical="bottom" wrapText="0"/>
    </xf>
    <xf borderId="1" fillId="3" fontId="5" numFmtId="166" xfId="0" applyAlignment="1" applyBorder="1" applyFill="1" applyFont="1" applyNumberFormat="1">
      <alignment shrinkToFit="0" vertical="bottom" wrapText="0"/>
    </xf>
    <xf borderId="1" fillId="0" fontId="6" numFmtId="9" xfId="0" applyAlignment="1" applyBorder="1" applyFont="1" applyNumberFormat="1">
      <alignment shrinkToFit="0" vertical="bottom" wrapText="0"/>
    </xf>
    <xf borderId="1" fillId="0" fontId="6" numFmtId="165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3">
    <dxf>
      <font/>
      <fill>
        <patternFill patternType="solid">
          <fgColor rgb="FFF8CBAD"/>
          <bgColor rgb="FFF8CBAD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  <dxf>
      <font/>
      <fill>
        <patternFill patternType="solid">
          <fgColor rgb="FFE2EFDA"/>
          <bgColor rgb="FFE2EFD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Área bruta por sección (m²)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v>Área bruta (m²)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Resumen!$A$7:$A$20</c:f>
            </c:strRef>
          </c:cat>
          <c:val>
            <c:numRef>
              <c:f>Resumen!$F$7:$F$20</c:f>
              <c:numCache/>
            </c:numRef>
          </c:val>
        </c:ser>
        <c:axId val="361534227"/>
        <c:axId val="2003498630"/>
      </c:barChart>
      <c:catAx>
        <c:axId val="36153422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03498630"/>
      </c:catAx>
      <c:valAx>
        <c:axId val="20034986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61534227"/>
        <c:crosses val="max"/>
      </c:valAx>
    </c:plotArea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44</xdr:row>
      <xdr:rowOff>142875</xdr:rowOff>
    </xdr:from>
    <xdr:ext cx="7515225" cy="25050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6.0"/>
    <col customWidth="1" min="2" max="2" width="11.0"/>
    <col customWidth="1" min="3" max="3" width="12.0"/>
    <col customWidth="1" min="4" max="4" width="11.0"/>
    <col customWidth="1" min="5" max="6" width="12.0"/>
    <col customWidth="1" min="7" max="7" width="9.0"/>
    <col customWidth="1" min="8" max="8" width="15.0"/>
    <col customWidth="1" min="9" max="9" width="44.0"/>
    <col customWidth="1" min="10" max="10" width="15.0"/>
    <col customWidth="1" min="11" max="11" width="80.0"/>
    <col customWidth="1" min="12" max="12" width="36.0"/>
    <col customWidth="1" min="13" max="26" width="8.71"/>
  </cols>
  <sheetData>
    <row r="1">
      <c r="A1" s="22" t="s">
        <v>195</v>
      </c>
    </row>
    <row r="2">
      <c r="A2" s="2" t="str">
        <f>"Política de stock del MRP, año 2035: stock máximo = stock de seguridad + una compra. Pallets en rack de "&amp;NivPallet&amp;" niveles. Circulación × "&amp;CoefCirc&amp;" en el área bruta. Cajón en el puesto si ocupa ≤ "&amp;UmbCajon&amp;" m²."</f>
        <v>Política de stock del MRP, año 2035: stock máximo = stock de seguridad + una compra. Pallets en rack de 4 niveles. Circulación × 1,5 en el área bruta. Cajón en el puesto si ocupa ≤ 0,1 m².</v>
      </c>
    </row>
    <row r="3">
      <c r="A3" s="8" t="str">
        <f>"Ítems del MRP: "&amp;COUNTA(Dimensionamiento!B5:B119)&amp;" · en almacén: "&amp;COUNTIF(Dimensionamiento!U5:U119,"Almacén")&amp;" · en puesto de trabajo (cajón): "&amp;COUNTIF(Dimensionamiento!U5:U119,"Puesto de trabajo")</f>
        <v>Ítems del MRP: 115 · en almacén: 71 · en puesto de trabajo (cajón): 44</v>
      </c>
    </row>
    <row r="4">
      <c r="A4" s="2" t="s">
        <v>205</v>
      </c>
    </row>
    <row r="6" ht="57.75" customHeight="1">
      <c r="A6" s="3" t="s">
        <v>57</v>
      </c>
      <c r="B6" s="3" t="s">
        <v>207</v>
      </c>
      <c r="C6" s="3" t="s">
        <v>208</v>
      </c>
      <c r="D6" s="3" t="s">
        <v>211</v>
      </c>
      <c r="E6" s="3" t="s">
        <v>90</v>
      </c>
      <c r="F6" s="3" t="s">
        <v>92</v>
      </c>
      <c r="G6" s="3" t="s">
        <v>215</v>
      </c>
      <c r="H6" s="3" t="s">
        <v>217</v>
      </c>
      <c r="I6" s="3" t="s">
        <v>218</v>
      </c>
      <c r="J6" s="3" t="s">
        <v>219</v>
      </c>
      <c r="K6" s="3" t="s">
        <v>220</v>
      </c>
      <c r="L6" s="3" t="s">
        <v>221</v>
      </c>
    </row>
    <row r="7" ht="31.5" customHeight="1">
      <c r="A7" s="23" t="s">
        <v>222</v>
      </c>
      <c r="B7" s="7">
        <f>COUNTIFS(Dimensionamiento!$F$5:$F$119,A7,Dimensionamiento!$U$5:$U$119,"Almacén")</f>
        <v>7</v>
      </c>
      <c r="C7" s="7">
        <f>COUNTIFS(Dimensionamiento!$F$5:$F$119,A7,Dimensionamiento!$U$5:$U$119,"Puesto de trabajo")</f>
        <v>2</v>
      </c>
      <c r="D7" s="15">
        <f>SUMIF(Dimensionamiento!$F$5:$F$119,A7,Dimensionamiento!$V$5:$V$119)</f>
        <v>17</v>
      </c>
      <c r="E7" s="11">
        <f>SUMIF(Dimensionamiento!$F$5:$F$119,A7,Dimensionamiento!$W$5:$W$119)</f>
        <v>9.6</v>
      </c>
      <c r="F7" s="11">
        <f>SUMIF(Dimensionamiento!$F$5:$F$119,A7,Dimensionamiento!$X$5:$X$119)</f>
        <v>14.4</v>
      </c>
      <c r="G7" s="16">
        <f t="shared" ref="G7:G20" si="1">F7/$F$21</f>
        <v>0.04346078208</v>
      </c>
      <c r="H7" s="13">
        <f>IFERROR(MINIFS(Dimensionamiento!$J$5:$J$119,Dimensionamiento!$F$5:$F$119,A7,Dimensionamiento!$U$5:$U$119,"Almacén",Dimensionamiento!$J$5:$J$119,"&gt;0"),0)</f>
        <v>19.59124876</v>
      </c>
      <c r="I7" s="23" t="str">
        <f t="array" ref="I7">IFERROR(INDEX(Dimensionamiento!$C$5:$C$119,MATCH(A7&amp;"|Almacén|"&amp;ROUND(H7,6),Dimensionamiento!$AA$5:$AA$119,0)),"—")</f>
        <v>Matafuego AFFF 50 l (reventa)</v>
      </c>
      <c r="J7" s="13">
        <f>IFERROR(AVERAGEIFS(Dimensionamiento!$J$5:$J$119,Dimensionamiento!$F$5:$F$119,A7,Dimensionamiento!$U$5:$U$119,"Almacén",Dimensionamiento!$J$5:$J$119,"&gt;0"),0)</f>
        <v>30.93826403</v>
      </c>
      <c r="K7" s="23" t="s">
        <v>303</v>
      </c>
      <c r="L7" s="23" t="s">
        <v>304</v>
      </c>
    </row>
    <row r="8" ht="31.5" customHeight="1">
      <c r="A8" s="23" t="s">
        <v>178</v>
      </c>
      <c r="B8" s="7">
        <f>COUNTIFS(Dimensionamiento!$F$5:$F$119,A8,Dimensionamiento!$U$5:$U$119,"Almacén")</f>
        <v>2</v>
      </c>
      <c r="C8" s="7">
        <f>COUNTIFS(Dimensionamiento!$F$5:$F$119,A8,Dimensionamiento!$U$5:$U$119,"Puesto de trabajo")</f>
        <v>0</v>
      </c>
      <c r="D8" s="15">
        <f>SUMIF(Dimensionamiento!$F$5:$F$119,A8,Dimensionamiento!$V$5:$V$119)</f>
        <v>3</v>
      </c>
      <c r="E8" s="11">
        <f>SUMIF(Dimensionamiento!$F$5:$F$119,A8,Dimensionamiento!$W$5:$W$119)</f>
        <v>9</v>
      </c>
      <c r="F8" s="11">
        <f>SUMIF(Dimensionamiento!$F$5:$F$119,A8,Dimensionamiento!$X$5:$X$119)</f>
        <v>13.5</v>
      </c>
      <c r="G8" s="16">
        <f t="shared" si="1"/>
        <v>0.0407444832</v>
      </c>
      <c r="H8" s="13">
        <f>IFERROR(MINIFS(Dimensionamiento!$J$5:$J$119,Dimensionamiento!$F$5:$F$119,A8,Dimensionamiento!$U$5:$U$119,"Almacén",Dimensionamiento!$J$5:$J$119,"&gt;0"),0)</f>
        <v>24.09261412</v>
      </c>
      <c r="I8" s="23" t="str">
        <f t="array" ref="I8">IFERROR(INDEX(Dimensionamiento!$C$5:$C$119,MATCH(A8&amp;"|Almacén|"&amp;ROUND(H8,6),Dimensionamiento!$AA$5:$AA$119,0)),"—")</f>
        <v>Hoja LAC 4,75 × 1500 × 3000 mm</v>
      </c>
      <c r="J8" s="13">
        <f>IFERROR(AVERAGEIFS(Dimensionamiento!$J$5:$J$119,Dimensionamiento!$F$5:$F$119,A8,Dimensionamiento!$U$5:$U$119,"Almacén",Dimensionamiento!$J$5:$J$119,"&gt;0"),0)</f>
        <v>26.1499664</v>
      </c>
      <c r="K8" s="23" t="s">
        <v>380</v>
      </c>
      <c r="L8" s="23" t="s">
        <v>381</v>
      </c>
    </row>
    <row r="9" ht="31.5" customHeight="1">
      <c r="A9" s="23" t="s">
        <v>107</v>
      </c>
      <c r="B9" s="7">
        <f>COUNTIFS(Dimensionamiento!$F$5:$F$119,A9,Dimensionamiento!$U$5:$U$119,"Almacén")</f>
        <v>5</v>
      </c>
      <c r="C9" s="7">
        <f>COUNTIFS(Dimensionamiento!$F$5:$F$119,A9,Dimensionamiento!$U$5:$U$119,"Puesto de trabajo")</f>
        <v>0</v>
      </c>
      <c r="D9" s="15">
        <f>SUMIF(Dimensionamiento!$F$5:$F$119,A9,Dimensionamiento!$V$5:$V$119)</f>
        <v>11</v>
      </c>
      <c r="E9" s="11">
        <f>SUMIF(Dimensionamiento!$F$5:$F$119,A9,Dimensionamiento!$W$5:$W$119)</f>
        <v>30</v>
      </c>
      <c r="F9" s="11">
        <f>SUMIF(Dimensionamiento!$F$5:$F$119,A9,Dimensionamiento!$X$5:$X$119)</f>
        <v>45</v>
      </c>
      <c r="G9" s="16">
        <f t="shared" si="1"/>
        <v>0.135814944</v>
      </c>
      <c r="H9" s="13">
        <f>IFERROR(MINIFS(Dimensionamiento!$J$5:$J$119,Dimensionamiento!$F$5:$F$119,A9,Dimensionamiento!$U$5:$U$119,"Almacén",Dimensionamiento!$J$5:$J$119,"&gt;0"),0)</f>
        <v>7.850104017</v>
      </c>
      <c r="I9" s="23" t="str">
        <f t="array" ref="I9">IFERROR(INDEX(Dimensionamiento!$C$5:$C$119,MATCH(A9&amp;"|Almacén|"&amp;ROUND(H9,6),Dimensionamiento!$AA$5:$AA$119,0)),"—")</f>
        <v>Caño c/costura Ø76,2 × 1,25 × 6 m (cuerpo 1 kg)</v>
      </c>
      <c r="J9" s="13">
        <f>IFERROR(AVERAGEIFS(Dimensionamiento!$J$5:$J$119,Dimensionamiento!$F$5:$F$119,A9,Dimensionamiento!$U$5:$U$119,"Almacén",Dimensionamiento!$J$5:$J$119,"&gt;0"),0)</f>
        <v>55.36196962</v>
      </c>
      <c r="K9" s="23" t="s">
        <v>424</v>
      </c>
      <c r="L9" s="23" t="s">
        <v>425</v>
      </c>
    </row>
    <row r="10" ht="31.5" customHeight="1">
      <c r="A10" s="23" t="s">
        <v>115</v>
      </c>
      <c r="B10" s="7">
        <f>COUNTIFS(Dimensionamiento!$F$5:$F$119,A10,Dimensionamiento!$U$5:$U$119,"Almacén")</f>
        <v>10</v>
      </c>
      <c r="C10" s="7">
        <f>COUNTIFS(Dimensionamiento!$F$5:$F$119,A10,Dimensionamiento!$U$5:$U$119,"Puesto de trabajo")</f>
        <v>0</v>
      </c>
      <c r="D10" s="15">
        <f>SUMIF(Dimensionamiento!$F$5:$F$119,A10,Dimensionamiento!$V$5:$V$119)</f>
        <v>28</v>
      </c>
      <c r="E10" s="11">
        <f>SUMIF(Dimensionamiento!$F$5:$F$119,A10,Dimensionamiento!$W$5:$W$119)</f>
        <v>38.6768</v>
      </c>
      <c r="F10" s="11">
        <f>SUMIF(Dimensionamiento!$F$5:$F$119,A10,Dimensionamiento!$X$5:$X$119)</f>
        <v>58.0152</v>
      </c>
      <c r="G10" s="16">
        <f t="shared" si="1"/>
        <v>0.1750962475</v>
      </c>
      <c r="H10" s="13">
        <f>IFERROR(MINIFS(Dimensionamiento!$J$5:$J$119,Dimensionamiento!$F$5:$F$119,A10,Dimensionamiento!$U$5:$U$119,"Almacén",Dimensionamiento!$J$5:$J$119,"&gt;0"),0)</f>
        <v>12.69045154</v>
      </c>
      <c r="I10" s="23" t="str">
        <f t="array" ref="I10">IFERROR(INDEX(Dimensionamiento!$C$5:$C$119,MATCH(A10&amp;"|Almacén|"&amp;ROUND(H10,6),Dimensionamiento!$AA$5:$AA$119,0)),"—")</f>
        <v>Fleje LAF 1,6 × 200 mm (fondo 5 kg)</v>
      </c>
      <c r="J10" s="13">
        <f>IFERROR(AVERAGEIFS(Dimensionamiento!$J$5:$J$119,Dimensionamiento!$F$5:$F$119,A10,Dimensionamiento!$U$5:$U$119,"Almacén",Dimensionamiento!$J$5:$J$119,"&gt;0"),0)</f>
        <v>32.29782742</v>
      </c>
      <c r="K10" s="23" t="s">
        <v>445</v>
      </c>
      <c r="L10" s="23" t="s">
        <v>446</v>
      </c>
    </row>
    <row r="11" ht="31.5" customHeight="1">
      <c r="A11" s="23" t="s">
        <v>323</v>
      </c>
      <c r="B11" s="7">
        <f>COUNTIFS(Dimensionamiento!$F$5:$F$119,A11,Dimensionamiento!$U$5:$U$119,"Almacén")</f>
        <v>4</v>
      </c>
      <c r="C11" s="7">
        <f>COUNTIFS(Dimensionamiento!$F$5:$F$119,A11,Dimensionamiento!$U$5:$U$119,"Puesto de trabajo")</f>
        <v>1</v>
      </c>
      <c r="D11" s="15">
        <f>SUMIF(Dimensionamiento!$F$5:$F$119,A11,Dimensionamiento!$V$5:$V$119)</f>
        <v>11</v>
      </c>
      <c r="E11" s="11">
        <f>SUMIF(Dimensionamiento!$F$5:$F$119,A11,Dimensionamiento!$W$5:$W$119)</f>
        <v>8.4</v>
      </c>
      <c r="F11" s="11">
        <f>SUMIF(Dimensionamiento!$F$5:$F$119,A11,Dimensionamiento!$X$5:$X$119)</f>
        <v>12.6</v>
      </c>
      <c r="G11" s="16">
        <f t="shared" si="1"/>
        <v>0.03802818432</v>
      </c>
      <c r="H11" s="13">
        <f>IFERROR(MINIFS(Dimensionamiento!$J$5:$J$119,Dimensionamiento!$F$5:$F$119,A11,Dimensionamiento!$U$5:$U$119,"Almacén",Dimensionamiento!$J$5:$J$119,"&gt;0"),0)</f>
        <v>7.384612458</v>
      </c>
      <c r="I11" s="23" t="str">
        <f t="array" ref="I11">IFERROR(INDEX(Dimensionamiento!$C$5:$C$119,MATCH(A11&amp;"|Almacén|"&amp;ROUND(H11,6),Dimensionamiento!$AA$5:$AA$119,0)),"—")</f>
        <v>Polvo ABC 90 (carros y sus recargas)</v>
      </c>
      <c r="J11" s="13">
        <f>IFERROR(AVERAGEIFS(Dimensionamiento!$J$5:$J$119,Dimensionamiento!$F$5:$F$119,A11,Dimensionamiento!$U$5:$U$119,"Almacén",Dimensionamiento!$J$5:$J$119,"&gt;0"),0)</f>
        <v>45.26068065</v>
      </c>
      <c r="K11" s="23" t="s">
        <v>461</v>
      </c>
      <c r="L11" s="23" t="s">
        <v>304</v>
      </c>
    </row>
    <row r="12" ht="31.5" customHeight="1">
      <c r="A12" s="23" t="s">
        <v>464</v>
      </c>
      <c r="B12" s="7">
        <f>COUNTIFS(Dimensionamiento!$F$5:$F$119,A12,Dimensionamiento!$U$5:$U$119,"Almacén")</f>
        <v>6</v>
      </c>
      <c r="C12" s="7">
        <f>COUNTIFS(Dimensionamiento!$F$5:$F$119,A12,Dimensionamiento!$U$5:$U$119,"Puesto de trabajo")</f>
        <v>4</v>
      </c>
      <c r="D12" s="15">
        <f>SUMIF(Dimensionamiento!$F$5:$F$119,A12,Dimensionamiento!$V$5:$V$119)</f>
        <v>50</v>
      </c>
      <c r="E12" s="11">
        <f>SUMIF(Dimensionamiento!$F$5:$F$119,A12,Dimensionamiento!$W$5:$W$119)</f>
        <v>22.2</v>
      </c>
      <c r="F12" s="11">
        <f>SUMIF(Dimensionamiento!$F$5:$F$119,A12,Dimensionamiento!$X$5:$X$119)</f>
        <v>33.3</v>
      </c>
      <c r="G12" s="16">
        <f t="shared" si="1"/>
        <v>0.1005030586</v>
      </c>
      <c r="H12" s="13">
        <f>IFERROR(MINIFS(Dimensionamiento!$J$5:$J$119,Dimensionamiento!$F$5:$F$119,A12,Dimensionamiento!$U$5:$U$119,"Almacén",Dimensionamiento!$J$5:$J$119,"&gt;0"),0)</f>
        <v>15.64076751</v>
      </c>
      <c r="I12" s="23" t="str">
        <f t="array" ref="I12">IFERROR(INDEX(Dimensionamiento!$C$5:$C$119,MATCH(A12&amp;"|Almacén|"&amp;ROUND(H12,6),Dimensionamiento!$AA$5:$AA$119,0)),"—")</f>
        <v>Pallet de madera 1200 × 1000</v>
      </c>
      <c r="J12" s="13">
        <f>IFERROR(AVERAGEIFS(Dimensionamiento!$J$5:$J$119,Dimensionamiento!$F$5:$F$119,A12,Dimensionamiento!$U$5:$U$119,"Almacén",Dimensionamiento!$J$5:$J$119,"&gt;0"),0)</f>
        <v>24.69458416</v>
      </c>
      <c r="K12" s="23" t="s">
        <v>484</v>
      </c>
      <c r="L12" s="23" t="s">
        <v>485</v>
      </c>
    </row>
    <row r="13" ht="31.5" customHeight="1">
      <c r="A13" s="23" t="s">
        <v>473</v>
      </c>
      <c r="B13" s="7">
        <f>COUNTIFS(Dimensionamiento!$F$5:$F$119,A13,Dimensionamiento!$U$5:$U$119,"Almacén")</f>
        <v>5</v>
      </c>
      <c r="C13" s="7">
        <f>COUNTIFS(Dimensionamiento!$F$5:$F$119,A13,Dimensionamiento!$U$5:$U$119,"Puesto de trabajo")</f>
        <v>11</v>
      </c>
      <c r="D13" s="15">
        <f>SUMIF(Dimensionamiento!$F$5:$F$119,A13,Dimensionamiento!$V$5:$V$119)</f>
        <v>9</v>
      </c>
      <c r="E13" s="11">
        <f>SUMIF(Dimensionamiento!$F$5:$F$119,A13,Dimensionamiento!$W$5:$W$119)</f>
        <v>3</v>
      </c>
      <c r="F13" s="11">
        <f>SUMIF(Dimensionamiento!$F$5:$F$119,A13,Dimensionamiento!$X$5:$X$119)</f>
        <v>4.5</v>
      </c>
      <c r="G13" s="16">
        <f t="shared" si="1"/>
        <v>0.0135814944</v>
      </c>
      <c r="H13" s="13">
        <f>IFERROR(MINIFS(Dimensionamiento!$J$5:$J$119,Dimensionamiento!$F$5:$F$119,A13,Dimensionamiento!$U$5:$U$119,"Almacén",Dimensionamiento!$J$5:$J$119,"&gt;0"),0)</f>
        <v>24.36501682</v>
      </c>
      <c r="I13" s="23" t="str">
        <f t="array" ref="I13">IFERROR(INDEX(Dimensionamiento!$C$5:$C$119,MATCH(A13&amp;"|Almacén|"&amp;ROUND(H13,6),Dimensionamiento!$AA$5:$AA$119,0)),"—")</f>
        <v>Tarjeta de identificación AGC (CABA)</v>
      </c>
      <c r="J13" s="13">
        <f>IFERROR(AVERAGEIFS(Dimensionamiento!$J$5:$J$119,Dimensionamiento!$F$5:$F$119,A13,Dimensionamiento!$U$5:$U$119,"Almacén",Dimensionamiento!$J$5:$J$119,"&gt;0"),0)</f>
        <v>31.14016369</v>
      </c>
      <c r="K13" s="23" t="s">
        <v>504</v>
      </c>
      <c r="L13" s="23" t="s">
        <v>150</v>
      </c>
    </row>
    <row r="14" ht="31.5" customHeight="1">
      <c r="A14" s="23" t="s">
        <v>212</v>
      </c>
      <c r="B14" s="7">
        <f>COUNTIFS(Dimensionamiento!$F$5:$F$119,A14,Dimensionamiento!$U$5:$U$119,"Almacén")</f>
        <v>11</v>
      </c>
      <c r="C14" s="7">
        <f>COUNTIFS(Dimensionamiento!$F$5:$F$119,A14,Dimensionamiento!$U$5:$U$119,"Puesto de trabajo")</f>
        <v>5</v>
      </c>
      <c r="D14" s="15">
        <f>SUMIF(Dimensionamiento!$F$5:$F$119,A14,Dimensionamiento!$V$5:$V$119)</f>
        <v>31</v>
      </c>
      <c r="E14" s="11">
        <f>SUMIF(Dimensionamiento!$F$5:$F$119,A14,Dimensionamiento!$W$5:$W$119)</f>
        <v>13.8</v>
      </c>
      <c r="F14" s="11">
        <f>SUMIF(Dimensionamiento!$F$5:$F$119,A14,Dimensionamiento!$X$5:$X$119)</f>
        <v>20.7</v>
      </c>
      <c r="G14" s="16">
        <f t="shared" si="1"/>
        <v>0.06247487424</v>
      </c>
      <c r="H14" s="13">
        <f>IFERROR(MINIFS(Dimensionamiento!$J$5:$J$119,Dimensionamiento!$F$5:$F$119,A14,Dimensionamiento!$U$5:$U$119,"Almacén",Dimensionamiento!$J$5:$J$119,"&gt;0"),0)</f>
        <v>31.42587204</v>
      </c>
      <c r="I14" s="23" t="str">
        <f t="array" ref="I14">IFERROR(INDEX(Dimensionamiento!$C$5:$C$119,MATCH(A14&amp;"|Almacén|"&amp;ROUND(H14,6),Dimensionamiento!$AA$5:$AA$119,0)),"—")</f>
        <v>Manguera con tobera ABC 5 kg</v>
      </c>
      <c r="J14" s="13">
        <f>IFERROR(AVERAGEIFS(Dimensionamiento!$J$5:$J$119,Dimensionamiento!$F$5:$F$119,A14,Dimensionamiento!$U$5:$U$119,"Almacén",Dimensionamiento!$J$5:$J$119,"&gt;0"),0)</f>
        <v>37.65516905</v>
      </c>
      <c r="K14" s="23" t="s">
        <v>522</v>
      </c>
      <c r="L14" s="23" t="s">
        <v>485</v>
      </c>
    </row>
    <row r="15" ht="31.5" customHeight="1">
      <c r="A15" s="23" t="s">
        <v>367</v>
      </c>
      <c r="B15" s="7">
        <f>COUNTIFS(Dimensionamiento!$F$5:$F$119,A15,Dimensionamiento!$U$5:$U$119,"Almacén")</f>
        <v>7</v>
      </c>
      <c r="C15" s="7">
        <f>COUNTIFS(Dimensionamiento!$F$5:$F$119,A15,Dimensionamiento!$U$5:$U$119,"Puesto de trabajo")</f>
        <v>7</v>
      </c>
      <c r="D15" s="15">
        <f>SUMIF(Dimensionamiento!$F$5:$F$119,A15,Dimensionamiento!$V$5:$V$119)</f>
        <v>10</v>
      </c>
      <c r="E15" s="11">
        <f>SUMIF(Dimensionamiento!$F$5:$F$119,A15,Dimensionamiento!$W$5:$W$119)</f>
        <v>9.6</v>
      </c>
      <c r="F15" s="11">
        <f>SUMIF(Dimensionamiento!$F$5:$F$119,A15,Dimensionamiento!$X$5:$X$119)</f>
        <v>14.4</v>
      </c>
      <c r="G15" s="16">
        <f t="shared" si="1"/>
        <v>0.04346078208</v>
      </c>
      <c r="H15" s="13">
        <f>IFERROR(MINIFS(Dimensionamiento!$J$5:$J$119,Dimensionamiento!$F$5:$F$119,A15,Dimensionamiento!$U$5:$U$119,"Almacén",Dimensionamiento!$J$5:$J$119,"&gt;0"),0)</f>
        <v>20.2187953</v>
      </c>
      <c r="I15" s="23" t="str">
        <f t="array" ref="I15">IFERROR(INDEX(Dimensionamiento!$C$5:$C$119,MATCH(A15&amp;"|Almacén|"&amp;ROUND(H15,6),Dimensionamiento!$AA$5:$AA$119,0)),"—")</f>
        <v>Acetato de potasio Gastro K (recargas)</v>
      </c>
      <c r="J15" s="13">
        <f>IFERROR(AVERAGEIFS(Dimensionamiento!$J$5:$J$119,Dimensionamiento!$F$5:$F$119,A15,Dimensionamiento!$U$5:$U$119,"Almacén",Dimensionamiento!$J$5:$J$119,"&gt;0"),0)</f>
        <v>708.138806</v>
      </c>
      <c r="K15" s="23" t="s">
        <v>543</v>
      </c>
      <c r="L15" s="23" t="s">
        <v>485</v>
      </c>
    </row>
    <row r="16" ht="31.5" customHeight="1">
      <c r="A16" s="23" t="s">
        <v>279</v>
      </c>
      <c r="B16" s="7">
        <f>COUNTIFS(Dimensionamiento!$F$5:$F$119,A16,Dimensionamiento!$U$5:$U$119,"Almacén")</f>
        <v>2</v>
      </c>
      <c r="C16" s="7">
        <f>COUNTIFS(Dimensionamiento!$F$5:$F$119,A16,Dimensionamiento!$U$5:$U$119,"Puesto de trabajo")</f>
        <v>5</v>
      </c>
      <c r="D16" s="15">
        <f>SUMIF(Dimensionamiento!$F$5:$F$119,A16,Dimensionamiento!$V$5:$V$119)</f>
        <v>12</v>
      </c>
      <c r="E16" s="11">
        <f>SUMIF(Dimensionamiento!$F$5:$F$119,A16,Dimensionamiento!$W$5:$W$119)</f>
        <v>4.8</v>
      </c>
      <c r="F16" s="11">
        <f>SUMIF(Dimensionamiento!$F$5:$F$119,A16,Dimensionamiento!$X$5:$X$119)</f>
        <v>7.2</v>
      </c>
      <c r="G16" s="16">
        <f t="shared" si="1"/>
        <v>0.02173039104</v>
      </c>
      <c r="H16" s="13">
        <f>IFERROR(MINIFS(Dimensionamiento!$J$5:$J$119,Dimensionamiento!$F$5:$F$119,A16,Dimensionamiento!$U$5:$U$119,"Almacén",Dimensionamiento!$J$5:$J$119,"&gt;0"),0)</f>
        <v>37.63812912</v>
      </c>
      <c r="I16" s="23" t="str">
        <f t="array" ref="I16">IFERROR(INDEX(Dimensionamiento!$C$5:$C$119,MATCH(A16&amp;"|Almacén|"&amp;ROUND(H16,6),Dimensionamiento!$AA$5:$AA$119,0)),"—")</f>
        <v>Alambre MAG ER70S-6 Ø0,9 mm (manuales)</v>
      </c>
      <c r="J16" s="13">
        <f>IFERROR(AVERAGEIFS(Dimensionamiento!$J$5:$J$119,Dimensionamiento!$F$5:$F$119,A16,Dimensionamiento!$U$5:$U$119,"Almacén",Dimensionamiento!$J$5:$J$119,"&gt;0"),0)</f>
        <v>67.45048011</v>
      </c>
      <c r="K16" s="23" t="s">
        <v>560</v>
      </c>
      <c r="L16" s="23" t="s">
        <v>304</v>
      </c>
    </row>
    <row r="17" ht="31.5" customHeight="1">
      <c r="A17" s="23" t="s">
        <v>290</v>
      </c>
      <c r="B17" s="7">
        <f>COUNTIFS(Dimensionamiento!$F$5:$F$119,A17,Dimensionamiento!$U$5:$U$119,"Almacén")</f>
        <v>3</v>
      </c>
      <c r="C17" s="7">
        <f>COUNTIFS(Dimensionamiento!$F$5:$F$119,A17,Dimensionamiento!$U$5:$U$119,"Puesto de trabajo")</f>
        <v>0</v>
      </c>
      <c r="D17" s="15">
        <f>SUMIF(Dimensionamiento!$F$5:$F$119,A17,Dimensionamiento!$V$5:$V$119)</f>
        <v>12</v>
      </c>
      <c r="E17" s="11">
        <f>SUMIF(Dimensionamiento!$F$5:$F$119,A17,Dimensionamiento!$W$5:$W$119)</f>
        <v>10.5</v>
      </c>
      <c r="F17" s="11">
        <f>SUMIF(Dimensionamiento!$F$5:$F$119,A17,Dimensionamiento!$X$5:$X$119)</f>
        <v>15.75</v>
      </c>
      <c r="G17" s="16">
        <f t="shared" si="1"/>
        <v>0.0475352304</v>
      </c>
      <c r="H17" s="13">
        <f>IFERROR(MINIFS(Dimensionamiento!$J$5:$J$119,Dimensionamiento!$F$5:$F$119,A17,Dimensionamiento!$U$5:$U$119,"Almacén",Dimensionamiento!$J$5:$J$119,"&gt;0"),0)</f>
        <v>7.267066485</v>
      </c>
      <c r="I17" s="23" t="str">
        <f t="array" ref="I17">IFERROR(INDEX(Dimensionamiento!$C$5:$C$119,MATCH(A17&amp;"|Almacén|"&amp;ROUND(H17,6),Dimensionamiento!$AA$5:$AA$119,0)),"—")</f>
        <v>Gas MAG Ar + 8 % CO₂ (Arcal 21)</v>
      </c>
      <c r="J17" s="13">
        <f>IFERROR(AVERAGEIFS(Dimensionamiento!$J$5:$J$119,Dimensionamiento!$F$5:$F$119,A17,Dimensionamiento!$U$5:$U$119,"Almacén",Dimensionamiento!$J$5:$J$119,"&gt;0"),0)</f>
        <v>10.19634839</v>
      </c>
      <c r="K17" s="23" t="s">
        <v>576</v>
      </c>
      <c r="L17" s="23" t="s">
        <v>577</v>
      </c>
    </row>
    <row r="18" ht="31.5" customHeight="1">
      <c r="A18" s="23" t="s">
        <v>191</v>
      </c>
      <c r="B18" s="7">
        <f>COUNTIFS(Dimensionamiento!$F$5:$F$119,A18,Dimensionamiento!$U$5:$U$119,"Almacén")</f>
        <v>5</v>
      </c>
      <c r="C18" s="7">
        <f>COUNTIFS(Dimensionamiento!$F$5:$F$119,A18,Dimensionamiento!$U$5:$U$119,"Puesto de trabajo")</f>
        <v>0</v>
      </c>
      <c r="D18" s="15">
        <f>SUMIF(Dimensionamiento!$F$5:$F$119,A18,Dimensionamiento!$V$5:$V$119)</f>
        <v>11</v>
      </c>
      <c r="E18" s="11">
        <f>SUMIF(Dimensionamiento!$F$5:$F$119,A18,Dimensionamiento!$W$5:$W$119)</f>
        <v>6</v>
      </c>
      <c r="F18" s="11">
        <f>SUMIF(Dimensionamiento!$F$5:$F$119,A18,Dimensionamiento!$X$5:$X$119)</f>
        <v>9</v>
      </c>
      <c r="G18" s="16">
        <f t="shared" si="1"/>
        <v>0.0271629888</v>
      </c>
      <c r="H18" s="13">
        <f>IFERROR(MINIFS(Dimensionamiento!$J$5:$J$119,Dimensionamiento!$F$5:$F$119,A18,Dimensionamiento!$U$5:$U$119,"Almacén",Dimensionamiento!$J$5:$J$119,"&gt;0"),0)</f>
        <v>50.78878859</v>
      </c>
      <c r="I18" s="23" t="str">
        <f t="array" ref="I18">IFERROR(INDEX(Dimensionamiento!$C$5:$C$119,MATCH(A18&amp;"|Almacén|"&amp;ROUND(H18,6),Dimensionamiento!$AA$5:$AA$119,0)),"—")</f>
        <v>Cupla 2½" BSP (carros 70 y 100 kg)</v>
      </c>
      <c r="J18" s="13">
        <f>IFERROR(AVERAGEIFS(Dimensionamiento!$J$5:$J$119,Dimensionamiento!$F$5:$F$119,A18,Dimensionamiento!$U$5:$U$119,"Almacén",Dimensionamiento!$J$5:$J$119,"&gt;0"),0)</f>
        <v>60.2301675</v>
      </c>
      <c r="K18" s="23" t="s">
        <v>593</v>
      </c>
      <c r="L18" s="23" t="s">
        <v>304</v>
      </c>
    </row>
    <row r="19" ht="31.5" customHeight="1">
      <c r="A19" s="23" t="s">
        <v>256</v>
      </c>
      <c r="B19" s="7">
        <f>COUNTIFS(Dimensionamiento!$F$5:$F$119,A19,Dimensionamiento!$U$5:$U$119,"Almacén")</f>
        <v>4</v>
      </c>
      <c r="C19" s="7">
        <f>COUNTIFS(Dimensionamiento!$F$5:$F$119,A19,Dimensionamiento!$U$5:$U$119,"Puesto de trabajo")</f>
        <v>9</v>
      </c>
      <c r="D19" s="15">
        <f>SUMIF(Dimensionamiento!$F$5:$F$119,A19,Dimensionamiento!$V$5:$V$119)</f>
        <v>7</v>
      </c>
      <c r="E19" s="11">
        <f>SUMIF(Dimensionamiento!$F$5:$F$119,A19,Dimensionamiento!$W$5:$W$119)</f>
        <v>4.8</v>
      </c>
      <c r="F19" s="11">
        <f>SUMIF(Dimensionamiento!$F$5:$F$119,A19,Dimensionamiento!$X$5:$X$119)</f>
        <v>7.2</v>
      </c>
      <c r="G19" s="16">
        <f t="shared" si="1"/>
        <v>0.02173039104</v>
      </c>
      <c r="H19" s="13">
        <f>IFERROR(MINIFS(Dimensionamiento!$J$5:$J$119,Dimensionamiento!$F$5:$F$119,A19,Dimensionamiento!$U$5:$U$119,"Almacén",Dimensionamiento!$J$5:$J$119,"&gt;0"),0)</f>
        <v>25.01671305</v>
      </c>
      <c r="I19" s="23" t="str">
        <f t="array" ref="I19">IFERROR(INDEX(Dimensionamiento!$C$5:$C$119,MATCH(A19&amp;"|Almacén|"&amp;ROUND(H19,6),Dimensionamiento!$AA$5:$AA$119,0)),"—")</f>
        <v>Rueda Ø400 × 60, buje 1" (carros 70 y 100 kg)</v>
      </c>
      <c r="J19" s="13">
        <f>IFERROR(AVERAGEIFS(Dimensionamiento!$J$5:$J$119,Dimensionamiento!$F$5:$F$119,A19,Dimensionamiento!$U$5:$U$119,"Almacén",Dimensionamiento!$J$5:$J$119,"&gt;0"),0)</f>
        <v>61.87120504</v>
      </c>
      <c r="K19" s="23" t="s">
        <v>609</v>
      </c>
      <c r="L19" s="23" t="s">
        <v>485</v>
      </c>
    </row>
    <row r="20" ht="43.5" customHeight="1">
      <c r="A20" s="23" t="s">
        <v>610</v>
      </c>
      <c r="B20" s="7" t="s">
        <v>611</v>
      </c>
      <c r="C20" s="7" t="s">
        <v>611</v>
      </c>
      <c r="D20" s="15">
        <f>Procesado!$N$29</f>
        <v>42</v>
      </c>
      <c r="E20" s="11">
        <f>Procesado!$P$29</f>
        <v>50.512</v>
      </c>
      <c r="F20" s="11">
        <f>Procesado!$Q$29</f>
        <v>75.768</v>
      </c>
      <c r="G20" s="16">
        <f t="shared" si="1"/>
        <v>0.2286761484</v>
      </c>
      <c r="H20" s="13">
        <f>DiasRodante</f>
        <v>5</v>
      </c>
      <c r="I20" s="7" t="s">
        <v>615</v>
      </c>
      <c r="J20" s="13">
        <f>DiasManual</f>
        <v>7</v>
      </c>
      <c r="K20" s="23" t="s">
        <v>616</v>
      </c>
      <c r="L20" s="23" t="s">
        <v>617</v>
      </c>
    </row>
    <row r="21" ht="15.75" customHeight="1">
      <c r="A21" s="24" t="s">
        <v>618</v>
      </c>
      <c r="B21" s="25">
        <f t="shared" ref="B21:C21" si="2">SUM(B7:B19)</f>
        <v>71</v>
      </c>
      <c r="C21" s="25">
        <f t="shared" si="2"/>
        <v>44</v>
      </c>
      <c r="D21" s="25">
        <f t="shared" ref="D21:G21" si="3">SUM(D7:D20)</f>
        <v>254</v>
      </c>
      <c r="E21" s="27">
        <f t="shared" si="3"/>
        <v>220.8888</v>
      </c>
      <c r="F21" s="27">
        <f t="shared" si="3"/>
        <v>331.3332</v>
      </c>
      <c r="G21" s="29">
        <f t="shared" si="3"/>
        <v>1</v>
      </c>
      <c r="H21" s="30">
        <f>MIN(H7:H19)</f>
        <v>7.267066485</v>
      </c>
    </row>
    <row r="22" ht="15.75" customHeight="1">
      <c r="A22" s="2" t="str">
        <f>"Puestos de trabajo (cajones): "&amp;COUNTIF(Dimensionamiento!$U$5:$U$119,"Puesto de trabajo")&amp;" ítems, unos "&amp;TEXT(SUMIF(Dimensionamiento!$U$5:$U$119,"Puesto de trabajo",Dimensionamiento!$S$5:$S$119),"0.0")&amp;" m² de estantería en total en toda la planta (no suman almacén)."</f>
        <v>Puestos de trabajo (cajones): 44 ítems, unos 1,5 m² de estantería en total en toda la planta (no suman almacén).</v>
      </c>
    </row>
    <row r="23" ht="15.75" customHeight="1">
      <c r="A23" s="2" t="s">
        <v>631</v>
      </c>
    </row>
    <row r="24" ht="15.75" customHeight="1"/>
    <row r="25" ht="15.75" customHeight="1">
      <c r="A25" s="8" t="s">
        <v>632</v>
      </c>
    </row>
    <row r="26" ht="25.5" customHeight="1">
      <c r="A26" s="3"/>
      <c r="B26" s="3" t="s">
        <v>633</v>
      </c>
      <c r="C26" s="3" t="s">
        <v>634</v>
      </c>
      <c r="D26" s="3" t="s">
        <v>635</v>
      </c>
    </row>
    <row r="27" ht="15.75" customHeight="1">
      <c r="A27" s="7" t="s">
        <v>636</v>
      </c>
      <c r="B27" s="7">
        <f>COUNTIFS(Dimensionamiento!$L$5:$L$119,"Alto",Dimensionamiento!$N$5:$N$119,"Alto")</f>
        <v>49</v>
      </c>
      <c r="C27" s="7">
        <f>COUNTIFS(Dimensionamiento!$L$5:$L$119,"Alto",Dimensionamiento!$N$5:$N$119,"Bajo")</f>
        <v>47</v>
      </c>
      <c r="D27" s="7">
        <f t="shared" ref="D27:D28" si="4">B27+C27</f>
        <v>96</v>
      </c>
    </row>
    <row r="28" ht="15.75" customHeight="1">
      <c r="A28" s="7" t="s">
        <v>637</v>
      </c>
      <c r="B28" s="7">
        <f>COUNTIFS(Dimensionamiento!$L$5:$L$119,"Bajo",Dimensionamiento!$N$5:$N$119,"Alto")</f>
        <v>6</v>
      </c>
      <c r="C28" s="7">
        <f>COUNTIFS(Dimensionamiento!$L$5:$L$119,"Bajo",Dimensionamiento!$N$5:$N$119,"Bajo")</f>
        <v>13</v>
      </c>
      <c r="D28" s="7">
        <f t="shared" si="4"/>
        <v>19</v>
      </c>
    </row>
    <row r="29" ht="15.75" customHeight="1">
      <c r="A29" s="24" t="s">
        <v>635</v>
      </c>
      <c r="B29" s="24">
        <f t="shared" ref="B29:D29" si="5">SUM(B27:B28)</f>
        <v>55</v>
      </c>
      <c r="C29" s="24">
        <f t="shared" si="5"/>
        <v>60</v>
      </c>
      <c r="D29" s="24">
        <f t="shared" si="5"/>
        <v>115</v>
      </c>
    </row>
    <row r="30" ht="15.75" customHeight="1">
      <c r="A30" s="2" t="s">
        <v>638</v>
      </c>
    </row>
    <row r="31" ht="15.75" customHeight="1"/>
    <row r="32" ht="15.75" customHeight="1">
      <c r="A32" s="8" t="s">
        <v>639</v>
      </c>
    </row>
    <row r="33" ht="39.75" customHeight="1">
      <c r="A33" s="3" t="s">
        <v>640</v>
      </c>
      <c r="B33" s="3" t="s">
        <v>641</v>
      </c>
      <c r="C33" s="3"/>
      <c r="D33" s="3" t="s">
        <v>211</v>
      </c>
      <c r="E33" s="3" t="s">
        <v>92</v>
      </c>
      <c r="F33" s="3" t="s">
        <v>64</v>
      </c>
      <c r="G33" s="3" t="s">
        <v>73</v>
      </c>
      <c r="H33" s="3" t="s">
        <v>642</v>
      </c>
    </row>
    <row r="34" ht="15.75" customHeight="1">
      <c r="A34" s="23" t="str">
        <f t="array" ref="A34">INDEX(Dimensionamiento!$C$5:$C$119,MATCH(LARGE(Dimensionamiento!$Z$5:$Z$119,1),Dimensionamiento!$Z$5:$Z$119,0))</f>
        <v>Caño c/costura Ø76,2 × 1,25 × 6 m (cuerpo 1 kg)</v>
      </c>
      <c r="B34" s="23" t="str">
        <f t="array" ref="B34">INDEX(Dimensionamiento!$F$5:$F$119,MATCH(LARGE(Dimensionamiento!$Z$5:$Z$119,1),Dimensionamiento!$Z$5:$Z$119,0))</f>
        <v>Cantilever de caños y barras</v>
      </c>
      <c r="C34" s="7"/>
      <c r="D34" s="15">
        <f t="array" ref="D34">INDEX(Dimensionamiento!$V$5:$V$119,MATCH(LARGE(Dimensionamiento!$Z$5:$Z$119,1),Dimensionamiento!$Z$5:$Z$119,0))</f>
        <v>5</v>
      </c>
      <c r="E34" s="11">
        <f t="array" ref="E34">INDEX(Dimensionamiento!$X$5:$X$119,MATCH(LARGE(Dimensionamiento!$Z$5:$Z$119,1),Dimensionamiento!$Z$5:$Z$119,0))</f>
        <v>15</v>
      </c>
      <c r="F34" s="14">
        <f t="array" ref="F34">INDEX(Dimensionamiento!$K$5:$K$119,MATCH(LARGE(Dimensionamiento!$Z$5:$Z$119,1),Dimensionamiento!$Z$5:$Z$119,0))</f>
        <v>1</v>
      </c>
      <c r="G34" s="7" t="str">
        <f t="array" ref="G34">INDEX(Dimensionamiento!$O$5:$O$119,MATCH(LARGE(Dimensionamiento!$Z$5:$Z$119,1),Dimensionamiento!$Z$5:$Z$119,0))</f>
        <v>Media</v>
      </c>
      <c r="H34" s="13">
        <f t="array" ref="H34">INDEX(Dimensionamiento!$J$5:$J$119,MATCH(LARGE(Dimensionamiento!$Z$5:$Z$119,1),Dimensionamiento!$Z$5:$Z$119,0))</f>
        <v>7.850104017</v>
      </c>
    </row>
    <row r="35" ht="15.75" customHeight="1">
      <c r="A35" s="23" t="str">
        <f t="array" ref="A35">INDEX(Dimensionamiento!$C$5:$C$119,MATCH(LARGE(Dimensionamiento!$Z$5:$Z$119,2),Dimensionamiento!$Z$5:$Z$119,0))</f>
        <v>Pallet de madera 1200 × 1000</v>
      </c>
      <c r="B35" s="23" t="str">
        <f t="array" ref="B35">INDEX(Dimensionamiento!$F$5:$F$119,MATCH(LARGE(Dimensionamiento!$Z$5:$Z$119,2),Dimensionamiento!$Z$5:$Z$119,0))</f>
        <v>Embalaje</v>
      </c>
      <c r="C35" s="7"/>
      <c r="D35" s="15">
        <f t="array" ref="D35">INDEX(Dimensionamiento!$V$5:$V$119,MATCH(LARGE(Dimensionamiento!$Z$5:$Z$119,2),Dimensionamiento!$Z$5:$Z$119,0))</f>
        <v>7</v>
      </c>
      <c r="E35" s="11">
        <f t="array" ref="E35">INDEX(Dimensionamiento!$X$5:$X$119,MATCH(LARGE(Dimensionamiento!$Z$5:$Z$119,2),Dimensionamiento!$Z$5:$Z$119,0))</f>
        <v>12.6</v>
      </c>
      <c r="F35" s="14">
        <f t="array" ref="F35">INDEX(Dimensionamiento!$K$5:$K$119,MATCH(LARGE(Dimensionamiento!$Z$5:$Z$119,2),Dimensionamiento!$Z$5:$Z$119,0))</f>
        <v>5</v>
      </c>
      <c r="G35" s="7" t="str">
        <f t="array" ref="G35">INDEX(Dimensionamiento!$O$5:$O$119,MATCH(LARGE(Dimensionamiento!$Z$5:$Z$119,2),Dimensionamiento!$Z$5:$Z$119,0))</f>
        <v>Baja</v>
      </c>
      <c r="H35" s="13">
        <f t="array" ref="H35">INDEX(Dimensionamiento!$J$5:$J$119,MATCH(LARGE(Dimensionamiento!$Z$5:$Z$119,2),Dimensionamiento!$Z$5:$Z$119,0))</f>
        <v>15.64076751</v>
      </c>
    </row>
    <row r="36" ht="15.75" customHeight="1">
      <c r="A36" s="23" t="str">
        <f t="array" ref="A36">INDEX(Dimensionamiento!$C$5:$C$119,MATCH(LARGE(Dimensionamiento!$Z$5:$Z$119,3),Dimensionamiento!$Z$5:$Z$119,0))</f>
        <v>Caja de cartón simple ABC 1 kg</v>
      </c>
      <c r="B36" s="23" t="str">
        <f t="array" ref="B36">INDEX(Dimensionamiento!$F$5:$F$119,MATCH(LARGE(Dimensionamiento!$Z$5:$Z$119,3),Dimensionamiento!$Z$5:$Z$119,0))</f>
        <v>Embalaje</v>
      </c>
      <c r="C36" s="7"/>
      <c r="D36" s="15">
        <f t="array" ref="D36">INDEX(Dimensionamiento!$V$5:$V$119,MATCH(LARGE(Dimensionamiento!$Z$5:$Z$119,3),Dimensionamiento!$Z$5:$Z$119,0))</f>
        <v>28</v>
      </c>
      <c r="E36" s="11">
        <f t="array" ref="E36">INDEX(Dimensionamiento!$X$5:$X$119,MATCH(LARGE(Dimensionamiento!$Z$5:$Z$119,3),Dimensionamiento!$Z$5:$Z$119,0))</f>
        <v>12.6</v>
      </c>
      <c r="F36" s="14">
        <f t="array" ref="F36">INDEX(Dimensionamiento!$K$5:$K$119,MATCH(LARGE(Dimensionamiento!$Z$5:$Z$119,3),Dimensionamiento!$Z$5:$Z$119,0))</f>
        <v>10</v>
      </c>
      <c r="G36" s="7" t="str">
        <f t="array" ref="G36">INDEX(Dimensionamiento!$O$5:$O$119,MATCH(LARGE(Dimensionamiento!$Z$5:$Z$119,3),Dimensionamiento!$Z$5:$Z$119,0))</f>
        <v>Alta</v>
      </c>
      <c r="H36" s="13">
        <f t="array" ref="H36">INDEX(Dimensionamiento!$J$5:$J$119,MATCH(LARGE(Dimensionamiento!$Z$5:$Z$119,3),Dimensionamiento!$Z$5:$Z$119,0))</f>
        <v>19.32444212</v>
      </c>
    </row>
    <row r="37" ht="15.75" customHeight="1">
      <c r="A37" s="23" t="str">
        <f t="array" ref="A37">INDEX(Dimensionamiento!$C$5:$C$119,MATCH(LARGE(Dimensionamiento!$Z$5:$Z$119,4),Dimensionamiento!$Z$5:$Z$119,0))</f>
        <v>Fleje LAF 1,6 × 250 mm (cúpula 5 kg)</v>
      </c>
      <c r="B37" s="23" t="str">
        <f t="array" ref="B37">INDEX(Dimensionamiento!$F$5:$F$119,MATCH(LARGE(Dimensionamiento!$Z$5:$Z$119,4),Dimensionamiento!$Z$5:$Z$119,0))</f>
        <v>Chapa y fleje (manuales)</v>
      </c>
      <c r="C37" s="7"/>
      <c r="D37" s="15">
        <f t="array" ref="D37">INDEX(Dimensionamiento!$V$5:$V$119,MATCH(LARGE(Dimensionamiento!$Z$5:$Z$119,4),Dimensionamiento!$Z$5:$Z$119,0))</f>
        <v>5</v>
      </c>
      <c r="E37" s="11">
        <f t="array" ref="E37">INDEX(Dimensionamiento!$X$5:$X$119,MATCH(LARGE(Dimensionamiento!$Z$5:$Z$119,4),Dimensionamiento!$Z$5:$Z$119,0))</f>
        <v>9</v>
      </c>
      <c r="F37" s="14">
        <f t="array" ref="F37">INDEX(Dimensionamiento!$K$5:$K$119,MATCH(LARGE(Dimensionamiento!$Z$5:$Z$119,4),Dimensionamiento!$Z$5:$Z$119,0))</f>
        <v>10</v>
      </c>
      <c r="G37" s="7" t="str">
        <f t="array" ref="G37">INDEX(Dimensionamiento!$O$5:$O$119,MATCH(LARGE(Dimensionamiento!$Z$5:$Z$119,4),Dimensionamiento!$Z$5:$Z$119,0))</f>
        <v>Alta</v>
      </c>
      <c r="H37" s="13">
        <f t="array" ref="H37">INDEX(Dimensionamiento!$J$5:$J$119,MATCH(LARGE(Dimensionamiento!$Z$5:$Z$119,4),Dimensionamiento!$Z$5:$Z$119,0))</f>
        <v>14.33134766</v>
      </c>
    </row>
    <row r="38" ht="15.75" customHeight="1">
      <c r="A38" s="23" t="str">
        <f t="array" ref="A38">INDEX(Dimensionamiento!$C$5:$C$119,MATCH(LARGE(Dimensionamiento!$Z$5:$Z$119,5),Dimensionamiento!$Z$5:$Z$119,0))</f>
        <v>Hoja LAF 1,6 × 1000 × 2000 mm</v>
      </c>
      <c r="B38" s="23" t="str">
        <f t="array" ref="B38">INDEX(Dimensionamiento!$F$5:$F$119,MATCH(LARGE(Dimensionamiento!$Z$5:$Z$119,5),Dimensionamiento!$Z$5:$Z$119,0))</f>
        <v>Chapa y fleje (manuales)</v>
      </c>
      <c r="C38" s="7"/>
      <c r="D38" s="15">
        <f t="array" ref="D38">INDEX(Dimensionamiento!$V$5:$V$119,MATCH(LARGE(Dimensionamiento!$Z$5:$Z$119,5),Dimensionamiento!$Z$5:$Z$119,0))</f>
        <v>5</v>
      </c>
      <c r="E38" s="11">
        <f t="array" ref="E38">INDEX(Dimensionamiento!$X$5:$X$119,MATCH(LARGE(Dimensionamiento!$Z$5:$Z$119,5),Dimensionamiento!$Z$5:$Z$119,0))</f>
        <v>9</v>
      </c>
      <c r="F38" s="14">
        <f t="array" ref="F38">INDEX(Dimensionamiento!$K$5:$K$119,MATCH(LARGE(Dimensionamiento!$Z$5:$Z$119,5),Dimensionamiento!$Z$5:$Z$119,0))</f>
        <v>10</v>
      </c>
      <c r="G38" s="7" t="str">
        <f t="array" ref="G38">INDEX(Dimensionamiento!$O$5:$O$119,MATCH(LARGE(Dimensionamiento!$Z$5:$Z$119,5),Dimensionamiento!$Z$5:$Z$119,0))</f>
        <v>Alta</v>
      </c>
      <c r="H38" s="13">
        <f t="array" ref="H38">INDEX(Dimensionamiento!$J$5:$J$119,MATCH(LARGE(Dimensionamiento!$Z$5:$Z$119,5),Dimensionamiento!$Z$5:$Z$119,0))</f>
        <v>32.89873275</v>
      </c>
    </row>
    <row r="39" ht="15.75" customHeight="1">
      <c r="A39" s="23" t="str">
        <f t="array" ref="A39">INDEX(Dimensionamiento!$C$5:$C$119,MATCH(LARGE(Dimensionamiento!$Z$5:$Z$119,6),Dimensionamiento!$Z$5:$Z$119,0))</f>
        <v>Barra trefilada SAE 1045 1" × 6 m (eje 50 a 100 kg)</v>
      </c>
      <c r="B39" s="23" t="str">
        <f t="array" ref="B39">INDEX(Dimensionamiento!$F$5:$F$119,MATCH(LARGE(Dimensionamiento!$Z$5:$Z$119,6),Dimensionamiento!$Z$5:$Z$119,0))</f>
        <v>Cantilever de caños y barras</v>
      </c>
      <c r="C39" s="7"/>
      <c r="D39" s="15">
        <f t="array" ref="D39">INDEX(Dimensionamiento!$V$5:$V$119,MATCH(LARGE(Dimensionamiento!$Z$5:$Z$119,6),Dimensionamiento!$Z$5:$Z$119,0))</f>
        <v>1</v>
      </c>
      <c r="E39" s="11">
        <f t="array" ref="E39">INDEX(Dimensionamiento!$X$5:$X$119,MATCH(LARGE(Dimensionamiento!$Z$5:$Z$119,6),Dimensionamiento!$Z$5:$Z$119,0))</f>
        <v>7.5</v>
      </c>
      <c r="F39" s="14">
        <f t="array" ref="F39">INDEX(Dimensionamiento!$K$5:$K$119,MATCH(LARGE(Dimensionamiento!$Z$5:$Z$119,6),Dimensionamiento!$Z$5:$Z$119,0))</f>
        <v>10</v>
      </c>
      <c r="G39" s="7" t="str">
        <f t="array" ref="G39">INDEX(Dimensionamiento!$O$5:$O$119,MATCH(LARGE(Dimensionamiento!$Z$5:$Z$119,6),Dimensionamiento!$Z$5:$Z$119,0))</f>
        <v>Media</v>
      </c>
      <c r="H39" s="13">
        <f t="array" ref="H39">INDEX(Dimensionamiento!$J$5:$J$119,MATCH(LARGE(Dimensionamiento!$Z$5:$Z$119,6),Dimensionamiento!$Z$5:$Z$119,0))</f>
        <v>66.91765915</v>
      </c>
    </row>
    <row r="40" ht="15.75" customHeight="1">
      <c r="A40" s="23" t="str">
        <f t="array" ref="A40">INDEX(Dimensionamiento!$C$5:$C$119,MATCH(LARGE(Dimensionamiento!$Z$5:$Z$119,7),Dimensionamiento!$Z$5:$Z$119,0))</f>
        <v>Barra trefilada SAE 1045 3/4" × 4 m (eje 25 kg)</v>
      </c>
      <c r="B40" s="23" t="str">
        <f t="array" ref="B40">INDEX(Dimensionamiento!$F$5:$F$119,MATCH(LARGE(Dimensionamiento!$Z$5:$Z$119,7),Dimensionamiento!$Z$5:$Z$119,0))</f>
        <v>Cantilever de caños y barras</v>
      </c>
      <c r="C40" s="7"/>
      <c r="D40" s="15">
        <f t="array" ref="D40">INDEX(Dimensionamiento!$V$5:$V$119,MATCH(LARGE(Dimensionamiento!$Z$5:$Z$119,7),Dimensionamiento!$Z$5:$Z$119,0))</f>
        <v>1</v>
      </c>
      <c r="E40" s="11">
        <f t="array" ref="E40">INDEX(Dimensionamiento!$X$5:$X$119,MATCH(LARGE(Dimensionamiento!$Z$5:$Z$119,7),Dimensionamiento!$Z$5:$Z$119,0))</f>
        <v>7.5</v>
      </c>
      <c r="F40" s="14">
        <f t="array" ref="F40">INDEX(Dimensionamiento!$K$5:$K$119,MATCH(LARGE(Dimensionamiento!$Z$5:$Z$119,7),Dimensionamiento!$Z$5:$Z$119,0))</f>
        <v>10</v>
      </c>
      <c r="G40" s="7" t="str">
        <f t="array" ref="G40">INDEX(Dimensionamiento!$O$5:$O$119,MATCH(LARGE(Dimensionamiento!$Z$5:$Z$119,7),Dimensionamiento!$Z$5:$Z$119,0))</f>
        <v>Media</v>
      </c>
      <c r="H40" s="13">
        <f t="array" ref="H40">INDEX(Dimensionamiento!$J$5:$J$119,MATCH(LARGE(Dimensionamiento!$Z$5:$Z$119,7),Dimensionamiento!$Z$5:$Z$119,0))</f>
        <v>68.57413147</v>
      </c>
    </row>
    <row r="41" ht="15.75" customHeight="1">
      <c r="A41" s="23" t="str">
        <f t="array" ref="A41">INDEX(Dimensionamiento!$C$5:$C$119,MATCH(LARGE(Dimensionamiento!$Z$5:$Z$119,8),Dimensionamiento!$Z$5:$Z$119,0))</f>
        <v>Caño SAE 1010 1¼" × 2,0 × 6 m (caño del eje 50 a 100 kg)</v>
      </c>
      <c r="B41" s="23" t="str">
        <f t="array" ref="B41">INDEX(Dimensionamiento!$F$5:$F$119,MATCH(LARGE(Dimensionamiento!$Z$5:$Z$119,8),Dimensionamiento!$Z$5:$Z$119,0))</f>
        <v>Cantilever de caños y barras</v>
      </c>
      <c r="C41" s="7"/>
      <c r="D41" s="15">
        <f t="array" ref="D41">INDEX(Dimensionamiento!$V$5:$V$119,MATCH(LARGE(Dimensionamiento!$Z$5:$Z$119,8),Dimensionamiento!$Z$5:$Z$119,0))</f>
        <v>1</v>
      </c>
      <c r="E41" s="11">
        <f t="array" ref="E41">INDEX(Dimensionamiento!$X$5:$X$119,MATCH(LARGE(Dimensionamiento!$Z$5:$Z$119,8),Dimensionamiento!$Z$5:$Z$119,0))</f>
        <v>7.5</v>
      </c>
      <c r="F41" s="14">
        <f t="array" ref="F41">INDEX(Dimensionamiento!$K$5:$K$119,MATCH(LARGE(Dimensionamiento!$Z$5:$Z$119,8),Dimensionamiento!$Z$5:$Z$119,0))</f>
        <v>10</v>
      </c>
      <c r="G41" s="7" t="str">
        <f t="array" ref="G41">INDEX(Dimensionamiento!$O$5:$O$119,MATCH(LARGE(Dimensionamiento!$Z$5:$Z$119,8),Dimensionamiento!$Z$5:$Z$119,0))</f>
        <v>Media</v>
      </c>
      <c r="H41" s="13">
        <f t="array" ref="H41">INDEX(Dimensionamiento!$J$5:$J$119,MATCH(LARGE(Dimensionamiento!$Z$5:$Z$119,8),Dimensionamiento!$Z$5:$Z$119,0))</f>
        <v>67.7409652</v>
      </c>
    </row>
    <row r="42" ht="15.75" customHeight="1">
      <c r="A42" s="23" t="str">
        <f t="array" ref="A42">INDEX(Dimensionamiento!$C$5:$C$119,MATCH(LARGE(Dimensionamiento!$Z$5:$Z$119,9),Dimensionamiento!$Z$5:$Z$119,0))</f>
        <v>Caño SAE 1010 1" × 2,0 × 6 m (manija; caño del eje 25 kg)</v>
      </c>
      <c r="B42" s="23" t="str">
        <f t="array" ref="B42">INDEX(Dimensionamiento!$F$5:$F$119,MATCH(LARGE(Dimensionamiento!$Z$5:$Z$119,9),Dimensionamiento!$Z$5:$Z$119,0))</f>
        <v>Cantilever de caños y barras</v>
      </c>
      <c r="C42" s="7"/>
      <c r="D42" s="15">
        <f t="array" ref="D42">INDEX(Dimensionamiento!$V$5:$V$119,MATCH(LARGE(Dimensionamiento!$Z$5:$Z$119,9),Dimensionamiento!$Z$5:$Z$119,0))</f>
        <v>3</v>
      </c>
      <c r="E42" s="11">
        <f t="array" ref="E42">INDEX(Dimensionamiento!$X$5:$X$119,MATCH(LARGE(Dimensionamiento!$Z$5:$Z$119,9),Dimensionamiento!$Z$5:$Z$119,0))</f>
        <v>7.5</v>
      </c>
      <c r="F42" s="14">
        <f t="array" ref="F42">INDEX(Dimensionamiento!$K$5:$K$119,MATCH(LARGE(Dimensionamiento!$Z$5:$Z$119,9),Dimensionamiento!$Z$5:$Z$119,0))</f>
        <v>10</v>
      </c>
      <c r="G42" s="7" t="str">
        <f t="array" ref="G42">INDEX(Dimensionamiento!$O$5:$O$119,MATCH(LARGE(Dimensionamiento!$Z$5:$Z$119,9),Dimensionamiento!$Z$5:$Z$119,0))</f>
        <v>Alta</v>
      </c>
      <c r="H42" s="13">
        <f t="array" ref="H42">INDEX(Dimensionamiento!$J$5:$J$119,MATCH(LARGE(Dimensionamiento!$Z$5:$Z$119,9),Dimensionamiento!$Z$5:$Z$119,0))</f>
        <v>65.72698826</v>
      </c>
    </row>
    <row r="43" ht="15.75" customHeight="1">
      <c r="A43" s="23" t="str">
        <f t="array" ref="A43">INDEX(Dimensionamiento!$C$5:$C$119,MATCH(LARGE(Dimensionamiento!$Z$5:$Z$119,10),Dimensionamiento!$Z$5:$Z$119,0))</f>
        <v>Fleje LAF 1,6 × 200 mm (fondo 5 kg)</v>
      </c>
      <c r="B43" s="23" t="str">
        <f t="array" ref="B43">INDEX(Dimensionamiento!$F$5:$F$119,MATCH(LARGE(Dimensionamiento!$Z$5:$Z$119,10),Dimensionamiento!$Z$5:$Z$119,0))</f>
        <v>Chapa y fleje (manuales)</v>
      </c>
      <c r="C43" s="7"/>
      <c r="D43" s="15">
        <f t="array" ref="D43">INDEX(Dimensionamiento!$V$5:$V$119,MATCH(LARGE(Dimensionamiento!$Z$5:$Z$119,10),Dimensionamiento!$Z$5:$Z$119,0))</f>
        <v>4</v>
      </c>
      <c r="E43" s="11">
        <f t="array" ref="E43">INDEX(Dimensionamiento!$X$5:$X$119,MATCH(LARGE(Dimensionamiento!$Z$5:$Z$119,10),Dimensionamiento!$Z$5:$Z$119,0))</f>
        <v>7.2</v>
      </c>
      <c r="F43" s="14">
        <f t="array" ref="F43">INDEX(Dimensionamiento!$K$5:$K$119,MATCH(LARGE(Dimensionamiento!$Z$5:$Z$119,10),Dimensionamiento!$Z$5:$Z$119,0))</f>
        <v>10</v>
      </c>
      <c r="G43" s="7" t="str">
        <f t="array" ref="G43">INDEX(Dimensionamiento!$O$5:$O$119,MATCH(LARGE(Dimensionamiento!$Z$5:$Z$119,10),Dimensionamiento!$Z$5:$Z$119,0))</f>
        <v>Alta</v>
      </c>
      <c r="H43" s="13">
        <f t="array" ref="H43">INDEX(Dimensionamiento!$J$5:$J$119,MATCH(LARGE(Dimensionamiento!$Z$5:$Z$119,10),Dimensionamiento!$Z$5:$Z$119,0))</f>
        <v>12.69045154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0.0"/>
    <col customWidth="1" min="2" max="3" width="14.0"/>
    <col customWidth="1" min="4" max="4" width="110.0"/>
    <col customWidth="1" min="5" max="26" width="8.71"/>
  </cols>
  <sheetData>
    <row r="1">
      <c r="A1" s="1" t="s">
        <v>0</v>
      </c>
    </row>
    <row r="2">
      <c r="A2" s="2" t="s">
        <v>1</v>
      </c>
    </row>
    <row r="3" ht="42.0" customHeight="1">
      <c r="A3" s="3" t="s">
        <v>2</v>
      </c>
      <c r="B3" s="3" t="s">
        <v>3</v>
      </c>
      <c r="C3" s="3" t="s">
        <v>4</v>
      </c>
      <c r="D3" s="3" t="s">
        <v>5</v>
      </c>
    </row>
    <row r="4">
      <c r="A4" s="4" t="s">
        <v>6</v>
      </c>
      <c r="B4" s="5">
        <v>240.0</v>
      </c>
      <c r="C4" s="4" t="s">
        <v>7</v>
      </c>
      <c r="D4" s="6" t="s">
        <v>8</v>
      </c>
    </row>
    <row r="5">
      <c r="A5" s="4" t="s">
        <v>10</v>
      </c>
      <c r="B5" s="5">
        <v>20.0</v>
      </c>
      <c r="C5" s="4" t="s">
        <v>7</v>
      </c>
      <c r="D5" s="6" t="s">
        <v>11</v>
      </c>
    </row>
    <row r="6">
      <c r="A6" s="4" t="s">
        <v>12</v>
      </c>
      <c r="B6" s="5">
        <v>1.5</v>
      </c>
      <c r="C6" s="4" t="s">
        <v>13</v>
      </c>
      <c r="D6" s="6" t="s">
        <v>14</v>
      </c>
    </row>
    <row r="7">
      <c r="A7" s="4" t="s">
        <v>15</v>
      </c>
      <c r="B7" s="5">
        <v>4.0</v>
      </c>
      <c r="C7" s="4" t="s">
        <v>16</v>
      </c>
      <c r="D7" s="6" t="s">
        <v>17</v>
      </c>
    </row>
    <row r="8">
      <c r="A8" s="4" t="s">
        <v>18</v>
      </c>
      <c r="B8" s="5">
        <v>1.2</v>
      </c>
      <c r="C8" s="4" t="s">
        <v>19</v>
      </c>
      <c r="D8" s="6" t="s">
        <v>20</v>
      </c>
    </row>
    <row r="9">
      <c r="A9" s="4" t="s">
        <v>21</v>
      </c>
      <c r="B9" s="5">
        <v>1.0</v>
      </c>
      <c r="C9" s="4" t="s">
        <v>19</v>
      </c>
      <c r="D9" s="6" t="s">
        <v>20</v>
      </c>
    </row>
    <row r="10">
      <c r="A10" s="4" t="s">
        <v>22</v>
      </c>
      <c r="B10" s="5">
        <v>0.1</v>
      </c>
      <c r="C10" s="4" t="s">
        <v>23</v>
      </c>
      <c r="D10" s="6" t="s">
        <v>24</v>
      </c>
    </row>
    <row r="11">
      <c r="A11" s="4" t="s">
        <v>25</v>
      </c>
      <c r="B11" s="5">
        <v>10.0</v>
      </c>
      <c r="C11" s="4" t="s">
        <v>26</v>
      </c>
      <c r="D11" s="6" t="s">
        <v>27</v>
      </c>
    </row>
    <row r="12">
      <c r="A12" s="4" t="s">
        <v>28</v>
      </c>
      <c r="B12" s="5">
        <v>0.5</v>
      </c>
      <c r="C12" s="4" t="s">
        <v>29</v>
      </c>
      <c r="D12" s="6" t="s">
        <v>30</v>
      </c>
    </row>
    <row r="13">
      <c r="A13" s="4" t="s">
        <v>31</v>
      </c>
      <c r="B13" s="5">
        <v>7.0</v>
      </c>
      <c r="C13" s="4" t="s">
        <v>7</v>
      </c>
      <c r="D13" s="6" t="s">
        <v>32</v>
      </c>
    </row>
    <row r="14">
      <c r="A14" s="4" t="s">
        <v>33</v>
      </c>
      <c r="B14" s="5">
        <v>5.0</v>
      </c>
      <c r="C14" s="4" t="s">
        <v>7</v>
      </c>
      <c r="D14" s="6" t="s">
        <v>34</v>
      </c>
    </row>
    <row r="15">
      <c r="A15" s="4" t="s">
        <v>35</v>
      </c>
      <c r="B15" s="5">
        <v>1000.0</v>
      </c>
      <c r="C15" s="4" t="s">
        <v>36</v>
      </c>
      <c r="D15" s="6" t="s">
        <v>37</v>
      </c>
    </row>
    <row r="16">
      <c r="A16" s="4" t="s">
        <v>38</v>
      </c>
      <c r="B16" s="5">
        <v>200.0</v>
      </c>
      <c r="C16" s="4" t="s">
        <v>39</v>
      </c>
      <c r="D16" s="6" t="s">
        <v>40</v>
      </c>
    </row>
    <row r="17">
      <c r="A17" s="4" t="s">
        <v>41</v>
      </c>
      <c r="B17" s="5">
        <v>1000.0</v>
      </c>
      <c r="C17" s="4" t="s">
        <v>39</v>
      </c>
      <c r="D17" s="6" t="s">
        <v>42</v>
      </c>
    </row>
    <row r="18">
      <c r="A18" s="4" t="s">
        <v>43</v>
      </c>
      <c r="B18" s="5">
        <v>20.0</v>
      </c>
      <c r="C18" s="4" t="s">
        <v>44</v>
      </c>
      <c r="D18" s="6" t="s">
        <v>45</v>
      </c>
    </row>
    <row r="19">
      <c r="A19" s="4" t="s">
        <v>46</v>
      </c>
      <c r="B19" s="5">
        <v>1.0</v>
      </c>
      <c r="C19" s="4" t="s">
        <v>16</v>
      </c>
      <c r="D19" s="6" t="s">
        <v>48</v>
      </c>
    </row>
    <row r="20">
      <c r="A20" s="4" t="s">
        <v>49</v>
      </c>
      <c r="B20" s="7">
        <f>PalL*PalA</f>
        <v>1.2</v>
      </c>
      <c r="C20" s="4" t="s">
        <v>23</v>
      </c>
      <c r="D20" s="4" t="s">
        <v>75</v>
      </c>
    </row>
    <row r="21" ht="15.75" customHeight="1"/>
    <row r="22" ht="15.75" customHeight="1">
      <c r="A22" s="8" t="s">
        <v>79</v>
      </c>
    </row>
    <row r="23" ht="43.5" customHeight="1">
      <c r="A23" s="6" t="s">
        <v>85</v>
      </c>
    </row>
    <row r="24" ht="43.5" customHeight="1">
      <c r="A24" s="6" t="s">
        <v>98</v>
      </c>
    </row>
    <row r="25" ht="43.5" customHeight="1">
      <c r="A25" s="6" t="s">
        <v>101</v>
      </c>
    </row>
    <row r="26" ht="43.5" customHeight="1">
      <c r="A26" s="6" t="s">
        <v>102</v>
      </c>
    </row>
    <row r="27" ht="43.5" customHeight="1">
      <c r="A27" s="6" t="s">
        <v>103</v>
      </c>
    </row>
    <row r="28" ht="43.5" customHeight="1">
      <c r="A28" s="6" t="s">
        <v>104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3:D23"/>
    <mergeCell ref="A24:D24"/>
    <mergeCell ref="A25:D25"/>
    <mergeCell ref="A26:D26"/>
    <mergeCell ref="A27:D27"/>
    <mergeCell ref="A28:D28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B705"/>
    <pageSetUpPr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7.0"/>
    <col customWidth="1" min="2" max="2" width="12.0"/>
    <col customWidth="1" min="3" max="3" width="56.0"/>
    <col customWidth="1" min="4" max="4" width="7.0"/>
    <col customWidth="1" min="5" max="5" width="24.0"/>
    <col customWidth="1" min="6" max="6" width="13.0"/>
    <col customWidth="1" min="7" max="9" width="12.0"/>
    <col customWidth="1" min="10" max="11" width="9.0"/>
    <col customWidth="1" min="12" max="12" width="40.0"/>
    <col customWidth="1" min="13" max="13" width="13.0"/>
    <col customWidth="1" min="14" max="15" width="12.0"/>
    <col customWidth="1" min="16" max="16" width="22.0"/>
    <col customWidth="1" min="17" max="17" width="12.0"/>
    <col customWidth="1" min="18" max="18" width="11.0"/>
    <col customWidth="1" min="19" max="19" width="13.0"/>
    <col customWidth="1" min="20" max="20" width="9.0"/>
    <col customWidth="1" min="21" max="21" width="13.0"/>
    <col customWidth="1" min="22" max="22" width="32.0"/>
    <col customWidth="1" min="23" max="24" width="12.0"/>
    <col customWidth="1" min="25" max="26" width="8.71"/>
  </cols>
  <sheetData>
    <row r="1">
      <c r="A1" s="1" t="s">
        <v>47</v>
      </c>
    </row>
    <row r="2">
      <c r="A2" s="2" t="s">
        <v>50</v>
      </c>
    </row>
    <row r="4" ht="61.5" customHeight="1">
      <c r="A4" s="3" t="s">
        <v>51</v>
      </c>
      <c r="B4" s="3" t="s">
        <v>52</v>
      </c>
      <c r="C4" s="3" t="s">
        <v>53</v>
      </c>
      <c r="D4" s="3" t="s">
        <v>54</v>
      </c>
      <c r="E4" s="3" t="s">
        <v>55</v>
      </c>
      <c r="F4" s="3" t="s">
        <v>56</v>
      </c>
      <c r="G4" s="3" t="s">
        <v>58</v>
      </c>
      <c r="H4" s="3" t="s">
        <v>59</v>
      </c>
      <c r="I4" s="3" t="s">
        <v>60</v>
      </c>
      <c r="J4" s="3" t="s">
        <v>62</v>
      </c>
      <c r="K4" s="3" t="s">
        <v>64</v>
      </c>
      <c r="L4" s="3" t="s">
        <v>66</v>
      </c>
      <c r="M4" s="3" t="s">
        <v>67</v>
      </c>
      <c r="N4" s="3" t="s">
        <v>61</v>
      </c>
      <c r="O4" s="3" t="s">
        <v>70</v>
      </c>
      <c r="P4" s="3" t="s">
        <v>72</v>
      </c>
      <c r="Q4" s="3" t="s">
        <v>74</v>
      </c>
      <c r="R4" s="3" t="s">
        <v>76</v>
      </c>
      <c r="S4" s="3" t="s">
        <v>78</v>
      </c>
      <c r="T4" s="3" t="s">
        <v>81</v>
      </c>
      <c r="U4" s="3" t="s">
        <v>63</v>
      </c>
      <c r="V4" s="3" t="s">
        <v>84</v>
      </c>
      <c r="W4" s="3" t="s">
        <v>87</v>
      </c>
      <c r="X4" s="3" t="s">
        <v>77</v>
      </c>
    </row>
    <row r="5">
      <c r="A5" s="7" t="s">
        <v>91</v>
      </c>
      <c r="B5" s="7" t="s">
        <v>94</v>
      </c>
      <c r="C5" s="7" t="s">
        <v>96</v>
      </c>
      <c r="D5" s="7" t="s">
        <v>99</v>
      </c>
      <c r="E5" s="7" t="s">
        <v>100</v>
      </c>
      <c r="F5" s="9">
        <v>8809.593</v>
      </c>
      <c r="G5" s="10">
        <f>F5/DiasAnio</f>
        <v>36.7066375</v>
      </c>
      <c r="H5" s="9">
        <v>1057.1512</v>
      </c>
      <c r="I5" s="10">
        <f>H5/DiasMes</f>
        <v>52.85756</v>
      </c>
      <c r="J5" s="12">
        <v>1.0</v>
      </c>
      <c r="K5" s="12">
        <v>1.0</v>
      </c>
      <c r="L5" s="7" t="s">
        <v>105</v>
      </c>
      <c r="M5" s="11">
        <f t="shared" ref="M5:M119" si="1">G5*(J5+K5)/2</f>
        <v>36.7066375</v>
      </c>
      <c r="N5" s="11">
        <f t="shared" ref="N5:N119" si="2">MAX(0,I5*K5-M5)</f>
        <v>16.1509225</v>
      </c>
      <c r="O5" s="11">
        <f t="shared" ref="O5:O119" si="3">M5+N5</f>
        <v>52.85756</v>
      </c>
      <c r="P5" s="7" t="s">
        <v>106</v>
      </c>
      <c r="Q5" s="9">
        <v>16.0</v>
      </c>
      <c r="R5" s="12">
        <v>5.0</v>
      </c>
      <c r="S5" s="15">
        <f t="shared" ref="S5:S119" si="4">MAX(1,CEILING(I5*R5/Q5,1))</f>
        <v>17</v>
      </c>
      <c r="T5" s="11">
        <f t="shared" ref="T5:T119" si="5">F5/(S5*Q5)</f>
        <v>32.38820956</v>
      </c>
      <c r="U5" s="11">
        <f t="shared" ref="U5:U119" si="6">N5+S5*Q5</f>
        <v>288.1509225</v>
      </c>
      <c r="V5" s="5" t="s">
        <v>107</v>
      </c>
      <c r="W5" s="9">
        <v>61.0</v>
      </c>
      <c r="X5" s="10">
        <f t="shared" ref="X5:X119" si="7">U5/W5</f>
        <v>4.723785615</v>
      </c>
    </row>
    <row r="6">
      <c r="A6" s="7" t="s">
        <v>108</v>
      </c>
      <c r="B6" s="7" t="s">
        <v>109</v>
      </c>
      <c r="C6" s="7" t="s">
        <v>110</v>
      </c>
      <c r="D6" s="7" t="s">
        <v>111</v>
      </c>
      <c r="E6" s="7" t="s">
        <v>112</v>
      </c>
      <c r="F6" s="9">
        <v>521.9948</v>
      </c>
      <c r="G6" s="10">
        <f>F6/DiasAnio</f>
        <v>2.174978333</v>
      </c>
      <c r="H6" s="9">
        <v>57.4194</v>
      </c>
      <c r="I6" s="10">
        <f>H6/DiasMes</f>
        <v>2.87097</v>
      </c>
      <c r="J6" s="12">
        <v>7.0</v>
      </c>
      <c r="K6" s="12">
        <v>10.0</v>
      </c>
      <c r="L6" s="7" t="s">
        <v>113</v>
      </c>
      <c r="M6" s="11">
        <f t="shared" si="1"/>
        <v>18.48731583</v>
      </c>
      <c r="N6" s="11">
        <f t="shared" si="2"/>
        <v>10.22238417</v>
      </c>
      <c r="O6" s="11">
        <f t="shared" si="3"/>
        <v>28.7097</v>
      </c>
      <c r="P6" s="7" t="s">
        <v>114</v>
      </c>
      <c r="Q6" s="9">
        <v>50.0</v>
      </c>
      <c r="R6" s="12">
        <v>20.0</v>
      </c>
      <c r="S6" s="15">
        <f t="shared" si="4"/>
        <v>2</v>
      </c>
      <c r="T6" s="11">
        <f t="shared" si="5"/>
        <v>5.219948</v>
      </c>
      <c r="U6" s="11">
        <f t="shared" si="6"/>
        <v>110.2223842</v>
      </c>
      <c r="V6" s="5" t="s">
        <v>115</v>
      </c>
      <c r="W6" s="9">
        <v>136.0</v>
      </c>
      <c r="X6" s="10">
        <f t="shared" si="7"/>
        <v>0.8104587071</v>
      </c>
    </row>
    <row r="7">
      <c r="A7" s="7" t="s">
        <v>116</v>
      </c>
      <c r="B7" s="7" t="s">
        <v>117</v>
      </c>
      <c r="C7" s="7" t="s">
        <v>118</v>
      </c>
      <c r="D7" s="7" t="s">
        <v>111</v>
      </c>
      <c r="E7" s="7" t="s">
        <v>112</v>
      </c>
      <c r="F7" s="9">
        <v>5447.0534</v>
      </c>
      <c r="G7" s="10">
        <f>F7/DiasAnio</f>
        <v>22.69605583</v>
      </c>
      <c r="H7" s="9">
        <v>599.1759</v>
      </c>
      <c r="I7" s="10">
        <f>H7/DiasMes</f>
        <v>29.958795</v>
      </c>
      <c r="J7" s="12">
        <v>7.0</v>
      </c>
      <c r="K7" s="12">
        <v>10.0</v>
      </c>
      <c r="L7" s="7" t="s">
        <v>113</v>
      </c>
      <c r="M7" s="11">
        <f t="shared" si="1"/>
        <v>192.9164746</v>
      </c>
      <c r="N7" s="11">
        <f t="shared" si="2"/>
        <v>106.6714754</v>
      </c>
      <c r="O7" s="11">
        <f t="shared" si="3"/>
        <v>299.58795</v>
      </c>
      <c r="P7" s="7" t="s">
        <v>119</v>
      </c>
      <c r="Q7" s="9">
        <v>80.0</v>
      </c>
      <c r="R7" s="12">
        <v>20.0</v>
      </c>
      <c r="S7" s="15">
        <f t="shared" si="4"/>
        <v>8</v>
      </c>
      <c r="T7" s="11">
        <f t="shared" si="5"/>
        <v>8.511020938</v>
      </c>
      <c r="U7" s="11">
        <f t="shared" si="6"/>
        <v>746.6714754</v>
      </c>
      <c r="V7" s="5" t="s">
        <v>115</v>
      </c>
      <c r="W7" s="9">
        <v>158.0</v>
      </c>
      <c r="X7" s="10">
        <f t="shared" si="7"/>
        <v>4.725768832</v>
      </c>
    </row>
    <row r="8">
      <c r="A8" s="7" t="s">
        <v>121</v>
      </c>
      <c r="B8" s="7" t="s">
        <v>122</v>
      </c>
      <c r="C8" s="7" t="s">
        <v>123</v>
      </c>
      <c r="D8" s="7" t="s">
        <v>111</v>
      </c>
      <c r="E8" s="7" t="s">
        <v>112</v>
      </c>
      <c r="F8" s="9">
        <v>256.9508</v>
      </c>
      <c r="G8" s="10">
        <f>F8/DiasAnio</f>
        <v>1.070628333</v>
      </c>
      <c r="H8" s="9">
        <v>28.2646</v>
      </c>
      <c r="I8" s="10">
        <f>H8/DiasMes</f>
        <v>1.41323</v>
      </c>
      <c r="J8" s="12">
        <v>7.0</v>
      </c>
      <c r="K8" s="12">
        <v>10.0</v>
      </c>
      <c r="L8" s="7" t="s">
        <v>113</v>
      </c>
      <c r="M8" s="11">
        <f t="shared" si="1"/>
        <v>9.100340833</v>
      </c>
      <c r="N8" s="11">
        <f t="shared" si="2"/>
        <v>5.031959167</v>
      </c>
      <c r="O8" s="11">
        <f t="shared" si="3"/>
        <v>14.1323</v>
      </c>
      <c r="P8" s="7" t="s">
        <v>132</v>
      </c>
      <c r="Q8" s="9">
        <v>20.0</v>
      </c>
      <c r="R8" s="12">
        <v>20.0</v>
      </c>
      <c r="S8" s="15">
        <f t="shared" si="4"/>
        <v>2</v>
      </c>
      <c r="T8" s="11">
        <f t="shared" si="5"/>
        <v>6.42377</v>
      </c>
      <c r="U8" s="11">
        <f t="shared" si="6"/>
        <v>45.03195917</v>
      </c>
      <c r="V8" s="5" t="s">
        <v>115</v>
      </c>
      <c r="W8" s="9">
        <v>56.0</v>
      </c>
      <c r="X8" s="10">
        <f t="shared" si="7"/>
        <v>0.804142128</v>
      </c>
    </row>
    <row r="9">
      <c r="A9" s="7" t="s">
        <v>137</v>
      </c>
      <c r="B9" s="7" t="s">
        <v>138</v>
      </c>
      <c r="C9" s="7" t="s">
        <v>140</v>
      </c>
      <c r="D9" s="7" t="s">
        <v>36</v>
      </c>
      <c r="E9" s="7" t="s">
        <v>112</v>
      </c>
      <c r="F9" s="9">
        <v>15992.8835</v>
      </c>
      <c r="G9" s="10">
        <f>F9/DiasAnio</f>
        <v>66.63701458</v>
      </c>
      <c r="H9" s="9">
        <v>1919.146</v>
      </c>
      <c r="I9" s="10">
        <f>H9/DiasMes</f>
        <v>95.9573</v>
      </c>
      <c r="J9" s="12">
        <v>7.0</v>
      </c>
      <c r="K9" s="12">
        <v>10.0</v>
      </c>
      <c r="L9" s="7" t="s">
        <v>146</v>
      </c>
      <c r="M9" s="11">
        <f t="shared" si="1"/>
        <v>566.414624</v>
      </c>
      <c r="N9" s="11">
        <f t="shared" si="2"/>
        <v>393.158376</v>
      </c>
      <c r="O9" s="11">
        <f t="shared" si="3"/>
        <v>959.573</v>
      </c>
      <c r="P9" s="7" t="s">
        <v>148</v>
      </c>
      <c r="Q9" s="9">
        <v>1900.0</v>
      </c>
      <c r="R9" s="12">
        <v>5.0</v>
      </c>
      <c r="S9" s="15">
        <f t="shared" si="4"/>
        <v>1</v>
      </c>
      <c r="T9" s="11">
        <f t="shared" si="5"/>
        <v>8.417307105</v>
      </c>
      <c r="U9" s="11">
        <f t="shared" si="6"/>
        <v>2293.158376</v>
      </c>
      <c r="V9" s="5" t="s">
        <v>115</v>
      </c>
      <c r="W9" s="9">
        <v>1000.0</v>
      </c>
      <c r="X9" s="10">
        <f t="shared" si="7"/>
        <v>2.293158376</v>
      </c>
    </row>
    <row r="10">
      <c r="A10" s="7" t="s">
        <v>151</v>
      </c>
      <c r="B10" s="7" t="s">
        <v>152</v>
      </c>
      <c r="C10" s="7" t="s">
        <v>153</v>
      </c>
      <c r="D10" s="7" t="s">
        <v>36</v>
      </c>
      <c r="E10" s="7" t="s">
        <v>112</v>
      </c>
      <c r="F10" s="9">
        <v>30867.0382</v>
      </c>
      <c r="G10" s="10">
        <f>F10/DiasAnio</f>
        <v>128.6126592</v>
      </c>
      <c r="H10" s="9">
        <v>3704.0446</v>
      </c>
      <c r="I10" s="10">
        <f>H10/DiasMes</f>
        <v>185.20223</v>
      </c>
      <c r="J10" s="12">
        <v>7.0</v>
      </c>
      <c r="K10" s="12">
        <v>10.0</v>
      </c>
      <c r="L10" s="7" t="s">
        <v>146</v>
      </c>
      <c r="M10" s="11">
        <f t="shared" si="1"/>
        <v>1093.207603</v>
      </c>
      <c r="N10" s="11">
        <f t="shared" si="2"/>
        <v>758.8146971</v>
      </c>
      <c r="O10" s="11">
        <f t="shared" si="3"/>
        <v>1852.0223</v>
      </c>
      <c r="P10" s="7" t="s">
        <v>148</v>
      </c>
      <c r="Q10" s="9">
        <v>1900.0</v>
      </c>
      <c r="R10" s="12">
        <v>5.0</v>
      </c>
      <c r="S10" s="15">
        <f t="shared" si="4"/>
        <v>1</v>
      </c>
      <c r="T10" s="11">
        <f t="shared" si="5"/>
        <v>16.24580958</v>
      </c>
      <c r="U10" s="11">
        <f t="shared" si="6"/>
        <v>2658.814697</v>
      </c>
      <c r="V10" s="5" t="s">
        <v>115</v>
      </c>
      <c r="W10" s="9">
        <v>1000.0</v>
      </c>
      <c r="X10" s="10">
        <f t="shared" si="7"/>
        <v>2.658814697</v>
      </c>
    </row>
    <row r="11">
      <c r="A11" s="7" t="s">
        <v>154</v>
      </c>
      <c r="B11" s="7" t="s">
        <v>155</v>
      </c>
      <c r="C11" s="7" t="s">
        <v>156</v>
      </c>
      <c r="D11" s="7" t="s">
        <v>36</v>
      </c>
      <c r="E11" s="7" t="s">
        <v>157</v>
      </c>
      <c r="F11" s="9">
        <v>9210.5127</v>
      </c>
      <c r="G11" s="10">
        <f>F11/DiasAnio</f>
        <v>38.37713625</v>
      </c>
      <c r="H11" s="9">
        <v>1013.1564</v>
      </c>
      <c r="I11" s="10">
        <f>H11/DiasMes</f>
        <v>50.65782</v>
      </c>
      <c r="J11" s="12">
        <v>7.0</v>
      </c>
      <c r="K11" s="12">
        <v>10.0</v>
      </c>
      <c r="L11" s="7" t="s">
        <v>158</v>
      </c>
      <c r="M11" s="11">
        <f t="shared" si="1"/>
        <v>326.2056581</v>
      </c>
      <c r="N11" s="11">
        <f t="shared" si="2"/>
        <v>180.3725419</v>
      </c>
      <c r="O11" s="11">
        <f t="shared" si="3"/>
        <v>506.5782</v>
      </c>
      <c r="P11" s="7" t="s">
        <v>159</v>
      </c>
      <c r="Q11" s="9">
        <v>492.0</v>
      </c>
      <c r="R11" s="12">
        <v>10.0</v>
      </c>
      <c r="S11" s="15">
        <f t="shared" si="4"/>
        <v>2</v>
      </c>
      <c r="T11" s="11">
        <f t="shared" si="5"/>
        <v>9.360277134</v>
      </c>
      <c r="U11" s="11">
        <f t="shared" si="6"/>
        <v>1164.372542</v>
      </c>
      <c r="V11" s="5" t="s">
        <v>115</v>
      </c>
      <c r="W11" s="9">
        <v>492.0</v>
      </c>
      <c r="X11" s="10">
        <f t="shared" si="7"/>
        <v>2.366610857</v>
      </c>
    </row>
    <row r="12">
      <c r="A12" s="7" t="s">
        <v>160</v>
      </c>
      <c r="B12" s="7" t="s">
        <v>161</v>
      </c>
      <c r="C12" s="7" t="s">
        <v>162</v>
      </c>
      <c r="D12" s="7" t="s">
        <v>36</v>
      </c>
      <c r="E12" s="7" t="s">
        <v>157</v>
      </c>
      <c r="F12" s="9">
        <v>45974.874</v>
      </c>
      <c r="G12" s="10">
        <f>F12/DiasAnio</f>
        <v>191.561975</v>
      </c>
      <c r="H12" s="9">
        <v>5057.2361</v>
      </c>
      <c r="I12" s="10">
        <f>H12/DiasMes</f>
        <v>252.861805</v>
      </c>
      <c r="J12" s="12">
        <v>7.0</v>
      </c>
      <c r="K12" s="12">
        <v>10.0</v>
      </c>
      <c r="L12" s="7" t="s">
        <v>158</v>
      </c>
      <c r="M12" s="11">
        <f t="shared" si="1"/>
        <v>1628.276788</v>
      </c>
      <c r="N12" s="11">
        <f t="shared" si="2"/>
        <v>900.3412625</v>
      </c>
      <c r="O12" s="11">
        <f t="shared" si="3"/>
        <v>2528.61805</v>
      </c>
      <c r="P12" s="7" t="s">
        <v>163</v>
      </c>
      <c r="Q12" s="9">
        <v>615.0</v>
      </c>
      <c r="R12" s="12">
        <v>5.0</v>
      </c>
      <c r="S12" s="15">
        <f t="shared" si="4"/>
        <v>3</v>
      </c>
      <c r="T12" s="11">
        <f t="shared" si="5"/>
        <v>24.91863089</v>
      </c>
      <c r="U12" s="11">
        <f t="shared" si="6"/>
        <v>2745.341263</v>
      </c>
      <c r="V12" s="5" t="s">
        <v>115</v>
      </c>
      <c r="W12" s="9">
        <v>615.0</v>
      </c>
      <c r="X12" s="10">
        <f t="shared" si="7"/>
        <v>4.463969533</v>
      </c>
    </row>
    <row r="13">
      <c r="A13" s="7" t="s">
        <v>164</v>
      </c>
      <c r="B13" s="7" t="s">
        <v>165</v>
      </c>
      <c r="C13" s="7" t="s">
        <v>166</v>
      </c>
      <c r="D13" s="7" t="s">
        <v>36</v>
      </c>
      <c r="E13" s="7" t="s">
        <v>157</v>
      </c>
      <c r="F13" s="9">
        <v>29555.2762</v>
      </c>
      <c r="G13" s="10">
        <f>F13/DiasAnio</f>
        <v>123.1469842</v>
      </c>
      <c r="H13" s="9">
        <v>3251.0804</v>
      </c>
      <c r="I13" s="10">
        <f>H13/DiasMes</f>
        <v>162.55402</v>
      </c>
      <c r="J13" s="12">
        <v>7.0</v>
      </c>
      <c r="K13" s="12">
        <v>10.0</v>
      </c>
      <c r="L13" s="7" t="s">
        <v>158</v>
      </c>
      <c r="M13" s="11">
        <f t="shared" si="1"/>
        <v>1046.749365</v>
      </c>
      <c r="N13" s="11">
        <f t="shared" si="2"/>
        <v>578.7908346</v>
      </c>
      <c r="O13" s="11">
        <f t="shared" si="3"/>
        <v>1625.5402</v>
      </c>
      <c r="P13" s="7" t="s">
        <v>159</v>
      </c>
      <c r="Q13" s="9">
        <v>492.0</v>
      </c>
      <c r="R13" s="12">
        <v>5.0</v>
      </c>
      <c r="S13" s="15">
        <f t="shared" si="4"/>
        <v>2</v>
      </c>
      <c r="T13" s="11">
        <f t="shared" si="5"/>
        <v>30.0358498</v>
      </c>
      <c r="U13" s="11">
        <f t="shared" si="6"/>
        <v>1562.790835</v>
      </c>
      <c r="V13" s="5" t="s">
        <v>115</v>
      </c>
      <c r="W13" s="9">
        <v>492.0</v>
      </c>
      <c r="X13" s="10">
        <f t="shared" si="7"/>
        <v>3.176404135</v>
      </c>
    </row>
    <row r="14">
      <c r="A14" s="7" t="s">
        <v>167</v>
      </c>
      <c r="B14" s="7" t="s">
        <v>168</v>
      </c>
      <c r="C14" s="7" t="s">
        <v>169</v>
      </c>
      <c r="D14" s="7" t="s">
        <v>36</v>
      </c>
      <c r="E14" s="7" t="s">
        <v>157</v>
      </c>
      <c r="F14" s="9">
        <v>3790.4662</v>
      </c>
      <c r="G14" s="10">
        <f>F14/DiasAnio</f>
        <v>15.79360917</v>
      </c>
      <c r="H14" s="9">
        <v>416.9513</v>
      </c>
      <c r="I14" s="10">
        <f>H14/DiasMes</f>
        <v>20.847565</v>
      </c>
      <c r="J14" s="12">
        <v>7.0</v>
      </c>
      <c r="K14" s="12">
        <v>10.0</v>
      </c>
      <c r="L14" s="7" t="s">
        <v>158</v>
      </c>
      <c r="M14" s="11">
        <f t="shared" si="1"/>
        <v>134.2456779</v>
      </c>
      <c r="N14" s="11">
        <f t="shared" si="2"/>
        <v>74.22997208</v>
      </c>
      <c r="O14" s="11">
        <f t="shared" si="3"/>
        <v>208.47565</v>
      </c>
      <c r="P14" s="7" t="s">
        <v>170</v>
      </c>
      <c r="Q14" s="9">
        <v>590.0</v>
      </c>
      <c r="R14" s="12">
        <v>20.0</v>
      </c>
      <c r="S14" s="15">
        <f t="shared" si="4"/>
        <v>1</v>
      </c>
      <c r="T14" s="11">
        <f t="shared" si="5"/>
        <v>6.424518983</v>
      </c>
      <c r="U14" s="11">
        <f t="shared" si="6"/>
        <v>664.2299721</v>
      </c>
      <c r="V14" s="5" t="s">
        <v>115</v>
      </c>
      <c r="W14" s="9">
        <v>738.0</v>
      </c>
      <c r="X14" s="10">
        <f t="shared" si="7"/>
        <v>0.9000406126</v>
      </c>
    </row>
    <row r="15">
      <c r="A15" s="7" t="s">
        <v>171</v>
      </c>
      <c r="B15" s="7" t="s">
        <v>172</v>
      </c>
      <c r="C15" s="7" t="s">
        <v>173</v>
      </c>
      <c r="D15" s="7" t="s">
        <v>36</v>
      </c>
      <c r="E15" s="7" t="s">
        <v>157</v>
      </c>
      <c r="F15" s="9">
        <v>3134.033</v>
      </c>
      <c r="G15" s="10">
        <f>F15/DiasAnio</f>
        <v>13.05847083</v>
      </c>
      <c r="H15" s="9">
        <v>344.7436</v>
      </c>
      <c r="I15" s="10">
        <f>H15/DiasMes</f>
        <v>17.23718</v>
      </c>
      <c r="J15" s="12">
        <v>7.0</v>
      </c>
      <c r="K15" s="12">
        <v>10.0</v>
      </c>
      <c r="L15" s="7" t="s">
        <v>158</v>
      </c>
      <c r="M15" s="11">
        <f t="shared" si="1"/>
        <v>110.9970021</v>
      </c>
      <c r="N15" s="11">
        <f t="shared" si="2"/>
        <v>61.37479792</v>
      </c>
      <c r="O15" s="11">
        <f t="shared" si="3"/>
        <v>172.3718</v>
      </c>
      <c r="P15" s="7" t="s">
        <v>174</v>
      </c>
      <c r="Q15" s="9">
        <v>498.0</v>
      </c>
      <c r="R15" s="12">
        <v>20.0</v>
      </c>
      <c r="S15" s="15">
        <f t="shared" si="4"/>
        <v>1</v>
      </c>
      <c r="T15" s="11">
        <f t="shared" si="5"/>
        <v>6.293238956</v>
      </c>
      <c r="U15" s="11">
        <f t="shared" si="6"/>
        <v>559.3747979</v>
      </c>
      <c r="V15" s="5" t="s">
        <v>115</v>
      </c>
      <c r="W15" s="9">
        <v>498.0</v>
      </c>
      <c r="X15" s="10">
        <f t="shared" si="7"/>
        <v>1.123242566</v>
      </c>
    </row>
    <row r="16">
      <c r="A16" s="7" t="s">
        <v>175</v>
      </c>
      <c r="B16" s="7" t="s">
        <v>176</v>
      </c>
      <c r="C16" s="7" t="s">
        <v>177</v>
      </c>
      <c r="D16" s="7" t="s">
        <v>111</v>
      </c>
      <c r="E16" s="7" t="s">
        <v>112</v>
      </c>
      <c r="F16" s="9">
        <v>370.5515</v>
      </c>
      <c r="G16" s="10">
        <f>F16/DiasAnio</f>
        <v>1.543964583</v>
      </c>
      <c r="H16" s="9">
        <v>33.3496</v>
      </c>
      <c r="I16" s="10">
        <f>H16/DiasMes</f>
        <v>1.66748</v>
      </c>
      <c r="J16" s="12">
        <v>7.0</v>
      </c>
      <c r="K16" s="12">
        <v>10.0</v>
      </c>
      <c r="L16" s="7" t="s">
        <v>113</v>
      </c>
      <c r="M16" s="11">
        <f t="shared" si="1"/>
        <v>13.12369896</v>
      </c>
      <c r="N16" s="11">
        <f t="shared" si="2"/>
        <v>3.551101042</v>
      </c>
      <c r="O16" s="11">
        <f t="shared" si="3"/>
        <v>16.6748</v>
      </c>
      <c r="P16" s="7" t="s">
        <v>132</v>
      </c>
      <c r="Q16" s="9">
        <v>20.0</v>
      </c>
      <c r="R16" s="12">
        <v>20.0</v>
      </c>
      <c r="S16" s="15">
        <f t="shared" si="4"/>
        <v>2</v>
      </c>
      <c r="T16" s="11">
        <f t="shared" si="5"/>
        <v>9.2637875</v>
      </c>
      <c r="U16" s="11">
        <f t="shared" si="6"/>
        <v>43.55110104</v>
      </c>
      <c r="V16" s="5" t="s">
        <v>178</v>
      </c>
      <c r="W16" s="9">
        <v>40.0</v>
      </c>
      <c r="X16" s="10">
        <f t="shared" si="7"/>
        <v>1.088777526</v>
      </c>
    </row>
    <row r="17">
      <c r="A17" s="7" t="s">
        <v>179</v>
      </c>
      <c r="B17" s="7" t="s">
        <v>180</v>
      </c>
      <c r="C17" s="7" t="s">
        <v>181</v>
      </c>
      <c r="D17" s="7" t="s">
        <v>111</v>
      </c>
      <c r="E17" s="7" t="s">
        <v>112</v>
      </c>
      <c r="F17" s="9">
        <v>165.1935</v>
      </c>
      <c r="G17" s="10">
        <f>F17/DiasAnio</f>
        <v>0.68830625</v>
      </c>
      <c r="H17" s="9">
        <v>14.8674</v>
      </c>
      <c r="I17" s="10">
        <f>H17/DiasMes</f>
        <v>0.74337</v>
      </c>
      <c r="J17" s="12">
        <v>7.0</v>
      </c>
      <c r="K17" s="12">
        <v>10.0</v>
      </c>
      <c r="L17" s="7" t="s">
        <v>113</v>
      </c>
      <c r="M17" s="11">
        <f t="shared" si="1"/>
        <v>5.850603125</v>
      </c>
      <c r="N17" s="11">
        <f t="shared" si="2"/>
        <v>1.583096875</v>
      </c>
      <c r="O17" s="11">
        <f t="shared" si="3"/>
        <v>7.4337</v>
      </c>
      <c r="P17" s="7" t="s">
        <v>182</v>
      </c>
      <c r="Q17" s="9">
        <v>15.0</v>
      </c>
      <c r="R17" s="12">
        <v>20.0</v>
      </c>
      <c r="S17" s="15">
        <f t="shared" si="4"/>
        <v>1</v>
      </c>
      <c r="T17" s="11">
        <f t="shared" si="5"/>
        <v>11.0129</v>
      </c>
      <c r="U17" s="11">
        <f t="shared" si="6"/>
        <v>16.58309688</v>
      </c>
      <c r="V17" s="5" t="s">
        <v>178</v>
      </c>
      <c r="W17" s="9">
        <v>30.0</v>
      </c>
      <c r="X17" s="10">
        <f t="shared" si="7"/>
        <v>0.5527698958</v>
      </c>
    </row>
    <row r="18">
      <c r="A18" s="7" t="s">
        <v>183</v>
      </c>
      <c r="B18" s="7" t="s">
        <v>184</v>
      </c>
      <c r="C18" s="7" t="s">
        <v>185</v>
      </c>
      <c r="D18" s="7" t="s">
        <v>186</v>
      </c>
      <c r="E18" s="7" t="s">
        <v>188</v>
      </c>
      <c r="F18" s="9">
        <v>1550.5411</v>
      </c>
      <c r="G18" s="10">
        <f>F18/DiasAnio</f>
        <v>6.460587917</v>
      </c>
      <c r="H18" s="9">
        <v>139.5487</v>
      </c>
      <c r="I18" s="10">
        <f>H18/DiasMes</f>
        <v>6.977435</v>
      </c>
      <c r="J18" s="12">
        <v>60.0</v>
      </c>
      <c r="K18" s="12">
        <v>60.0</v>
      </c>
      <c r="L18" s="7" t="s">
        <v>189</v>
      </c>
      <c r="M18" s="11">
        <f t="shared" si="1"/>
        <v>387.635275</v>
      </c>
      <c r="N18" s="11">
        <f t="shared" si="2"/>
        <v>31.010825</v>
      </c>
      <c r="O18" s="11">
        <f t="shared" si="3"/>
        <v>418.6461</v>
      </c>
      <c r="P18" s="7" t="s">
        <v>190</v>
      </c>
      <c r="Q18" s="9">
        <v>400.0</v>
      </c>
      <c r="R18" s="12">
        <v>40.0</v>
      </c>
      <c r="S18" s="15">
        <f t="shared" si="4"/>
        <v>1</v>
      </c>
      <c r="T18" s="11">
        <f t="shared" si="5"/>
        <v>3.87635275</v>
      </c>
      <c r="U18" s="11">
        <f t="shared" si="6"/>
        <v>431.010825</v>
      </c>
      <c r="V18" s="5" t="s">
        <v>191</v>
      </c>
      <c r="W18" s="9">
        <v>400.0</v>
      </c>
      <c r="X18" s="10">
        <f t="shared" si="7"/>
        <v>1.077527063</v>
      </c>
    </row>
    <row r="19">
      <c r="A19" s="7" t="s">
        <v>192</v>
      </c>
      <c r="B19" s="7" t="s">
        <v>193</v>
      </c>
      <c r="C19" s="7" t="s">
        <v>194</v>
      </c>
      <c r="D19" s="7" t="s">
        <v>186</v>
      </c>
      <c r="E19" s="7" t="s">
        <v>188</v>
      </c>
      <c r="F19" s="9">
        <v>3412.9241</v>
      </c>
      <c r="G19" s="10">
        <f>F19/DiasAnio</f>
        <v>14.22051708</v>
      </c>
      <c r="H19" s="9">
        <v>307.1632</v>
      </c>
      <c r="I19" s="10">
        <f>H19/DiasMes</f>
        <v>15.35816</v>
      </c>
      <c r="J19" s="12">
        <v>60.0</v>
      </c>
      <c r="K19" s="12">
        <v>60.0</v>
      </c>
      <c r="L19" s="7" t="s">
        <v>189</v>
      </c>
      <c r="M19" s="11">
        <f t="shared" si="1"/>
        <v>853.231025</v>
      </c>
      <c r="N19" s="11">
        <f t="shared" si="2"/>
        <v>68.258575</v>
      </c>
      <c r="O19" s="11">
        <f t="shared" si="3"/>
        <v>921.4896</v>
      </c>
      <c r="P19" s="7" t="s">
        <v>196</v>
      </c>
      <c r="Q19" s="9">
        <v>300.0</v>
      </c>
      <c r="R19" s="12">
        <v>40.0</v>
      </c>
      <c r="S19" s="15">
        <f t="shared" si="4"/>
        <v>3</v>
      </c>
      <c r="T19" s="11">
        <f t="shared" si="5"/>
        <v>3.792137889</v>
      </c>
      <c r="U19" s="11">
        <f t="shared" si="6"/>
        <v>968.258575</v>
      </c>
      <c r="V19" s="5" t="s">
        <v>191</v>
      </c>
      <c r="W19" s="9">
        <v>300.0</v>
      </c>
      <c r="X19" s="10">
        <f t="shared" si="7"/>
        <v>3.227528583</v>
      </c>
    </row>
    <row r="20">
      <c r="A20" s="7" t="s">
        <v>197</v>
      </c>
      <c r="B20" s="7" t="s">
        <v>198</v>
      </c>
      <c r="C20" s="7" t="s">
        <v>199</v>
      </c>
      <c r="D20" s="7" t="s">
        <v>186</v>
      </c>
      <c r="E20" s="7" t="s">
        <v>188</v>
      </c>
      <c r="F20" s="9">
        <v>1239.541</v>
      </c>
      <c r="G20" s="10">
        <f>F20/DiasAnio</f>
        <v>5.164754167</v>
      </c>
      <c r="H20" s="9">
        <v>111.5587</v>
      </c>
      <c r="I20" s="10">
        <f>H20/DiasMes</f>
        <v>5.577935</v>
      </c>
      <c r="J20" s="12">
        <v>60.0</v>
      </c>
      <c r="K20" s="12">
        <v>60.0</v>
      </c>
      <c r="L20" s="7" t="s">
        <v>189</v>
      </c>
      <c r="M20" s="11">
        <f t="shared" si="1"/>
        <v>309.88525</v>
      </c>
      <c r="N20" s="11">
        <f t="shared" si="2"/>
        <v>24.79085</v>
      </c>
      <c r="O20" s="11">
        <f t="shared" si="3"/>
        <v>334.6761</v>
      </c>
      <c r="P20" s="7" t="s">
        <v>200</v>
      </c>
      <c r="Q20" s="9">
        <v>150.0</v>
      </c>
      <c r="R20" s="12">
        <v>40.0</v>
      </c>
      <c r="S20" s="15">
        <f t="shared" si="4"/>
        <v>2</v>
      </c>
      <c r="T20" s="11">
        <f t="shared" si="5"/>
        <v>4.131803333</v>
      </c>
      <c r="U20" s="11">
        <f t="shared" si="6"/>
        <v>324.79085</v>
      </c>
      <c r="V20" s="5" t="s">
        <v>191</v>
      </c>
      <c r="W20" s="9">
        <v>150.0</v>
      </c>
      <c r="X20" s="10">
        <f t="shared" si="7"/>
        <v>2.165272333</v>
      </c>
    </row>
    <row r="21" ht="15.75" customHeight="1">
      <c r="A21" s="7" t="s">
        <v>201</v>
      </c>
      <c r="B21" s="7" t="s">
        <v>202</v>
      </c>
      <c r="C21" s="7" t="s">
        <v>203</v>
      </c>
      <c r="D21" s="7" t="s">
        <v>186</v>
      </c>
      <c r="E21" s="7" t="s">
        <v>204</v>
      </c>
      <c r="F21" s="9">
        <v>202620.6391</v>
      </c>
      <c r="G21" s="10">
        <f>F21/DiasAnio</f>
        <v>844.2526629</v>
      </c>
      <c r="H21" s="9">
        <v>24314.4767</v>
      </c>
      <c r="I21" s="10">
        <f>H21/DiasMes</f>
        <v>1215.723835</v>
      </c>
      <c r="J21" s="12">
        <v>25.0</v>
      </c>
      <c r="K21" s="12">
        <v>29.0</v>
      </c>
      <c r="L21" s="7" t="s">
        <v>206</v>
      </c>
      <c r="M21" s="11">
        <f t="shared" si="1"/>
        <v>22794.8219</v>
      </c>
      <c r="N21" s="11">
        <f t="shared" si="2"/>
        <v>12461.16932</v>
      </c>
      <c r="O21" s="11">
        <f t="shared" si="3"/>
        <v>35255.99122</v>
      </c>
      <c r="P21" s="7" t="s">
        <v>209</v>
      </c>
      <c r="Q21" s="9">
        <v>1000.0</v>
      </c>
      <c r="R21" s="12">
        <v>20.0</v>
      </c>
      <c r="S21" s="15">
        <f t="shared" si="4"/>
        <v>25</v>
      </c>
      <c r="T21" s="11">
        <f t="shared" si="5"/>
        <v>8.104825564</v>
      </c>
      <c r="U21" s="11">
        <f t="shared" si="6"/>
        <v>37461.16932</v>
      </c>
      <c r="V21" s="5" t="s">
        <v>212</v>
      </c>
      <c r="W21" s="9">
        <v>12000.0</v>
      </c>
      <c r="X21" s="10">
        <f t="shared" si="7"/>
        <v>3.12176411</v>
      </c>
    </row>
    <row r="22" ht="15.75" customHeight="1">
      <c r="A22" s="7" t="s">
        <v>213</v>
      </c>
      <c r="B22" s="7" t="s">
        <v>214</v>
      </c>
      <c r="C22" s="7" t="s">
        <v>216</v>
      </c>
      <c r="D22" s="7" t="s">
        <v>186</v>
      </c>
      <c r="E22" s="7" t="s">
        <v>204</v>
      </c>
      <c r="F22" s="9">
        <v>83312.7615</v>
      </c>
      <c r="G22" s="10">
        <f>F22/DiasAnio</f>
        <v>347.1365063</v>
      </c>
      <c r="H22" s="9">
        <v>9164.4038</v>
      </c>
      <c r="I22" s="10">
        <f>H22/DiasMes</f>
        <v>458.22019</v>
      </c>
      <c r="J22" s="12">
        <v>25.0</v>
      </c>
      <c r="K22" s="12">
        <v>29.0</v>
      </c>
      <c r="L22" s="7" t="s">
        <v>206</v>
      </c>
      <c r="M22" s="11">
        <f t="shared" si="1"/>
        <v>9372.685669</v>
      </c>
      <c r="N22" s="11">
        <f t="shared" si="2"/>
        <v>3915.699841</v>
      </c>
      <c r="O22" s="11">
        <f t="shared" si="3"/>
        <v>13288.38551</v>
      </c>
      <c r="P22" s="7" t="s">
        <v>209</v>
      </c>
      <c r="Q22" s="9">
        <v>1000.0</v>
      </c>
      <c r="R22" s="12">
        <v>20.0</v>
      </c>
      <c r="S22" s="15">
        <f t="shared" si="4"/>
        <v>10</v>
      </c>
      <c r="T22" s="11">
        <f t="shared" si="5"/>
        <v>8.33127615</v>
      </c>
      <c r="U22" s="11">
        <f t="shared" si="6"/>
        <v>13915.69984</v>
      </c>
      <c r="V22" s="5" t="s">
        <v>212</v>
      </c>
      <c r="W22" s="9">
        <v>8000.0</v>
      </c>
      <c r="X22" s="10">
        <f t="shared" si="7"/>
        <v>1.73946248</v>
      </c>
    </row>
    <row r="23" ht="15.75" customHeight="1">
      <c r="A23" s="7" t="s">
        <v>223</v>
      </c>
      <c r="B23" s="7" t="s">
        <v>224</v>
      </c>
      <c r="C23" s="7" t="s">
        <v>225</v>
      </c>
      <c r="D23" s="7" t="s">
        <v>186</v>
      </c>
      <c r="E23" s="7" t="s">
        <v>204</v>
      </c>
      <c r="F23" s="9">
        <v>2481.7326</v>
      </c>
      <c r="G23" s="10">
        <f>F23/DiasAnio</f>
        <v>10.3405525</v>
      </c>
      <c r="H23" s="9">
        <v>223.3559</v>
      </c>
      <c r="I23" s="10">
        <f>H23/DiasMes</f>
        <v>11.167795</v>
      </c>
      <c r="J23" s="12">
        <v>25.0</v>
      </c>
      <c r="K23" s="12">
        <v>29.0</v>
      </c>
      <c r="L23" s="7" t="s">
        <v>206</v>
      </c>
      <c r="M23" s="11">
        <f t="shared" si="1"/>
        <v>279.1949175</v>
      </c>
      <c r="N23" s="11">
        <f t="shared" si="2"/>
        <v>44.6711375</v>
      </c>
      <c r="O23" s="11">
        <f t="shared" si="3"/>
        <v>323.866055</v>
      </c>
      <c r="P23" s="7" t="s">
        <v>226</v>
      </c>
      <c r="Q23" s="9">
        <v>100.0</v>
      </c>
      <c r="R23" s="12">
        <v>40.0</v>
      </c>
      <c r="S23" s="15">
        <f t="shared" si="4"/>
        <v>5</v>
      </c>
      <c r="T23" s="11">
        <f t="shared" si="5"/>
        <v>4.9634652</v>
      </c>
      <c r="U23" s="11">
        <f t="shared" si="6"/>
        <v>544.6711375</v>
      </c>
      <c r="V23" s="5" t="s">
        <v>191</v>
      </c>
      <c r="W23" s="9">
        <v>600.0</v>
      </c>
      <c r="X23" s="10">
        <f t="shared" si="7"/>
        <v>0.9077852292</v>
      </c>
    </row>
    <row r="24" ht="15.75" customHeight="1">
      <c r="A24" s="7" t="s">
        <v>227</v>
      </c>
      <c r="B24" s="7" t="s">
        <v>228</v>
      </c>
      <c r="C24" s="7" t="s">
        <v>229</v>
      </c>
      <c r="D24" s="7" t="s">
        <v>186</v>
      </c>
      <c r="E24" s="7" t="s">
        <v>204</v>
      </c>
      <c r="F24" s="9">
        <v>619.7705</v>
      </c>
      <c r="G24" s="10">
        <f>F24/DiasAnio</f>
        <v>2.582377083</v>
      </c>
      <c r="H24" s="9">
        <v>55.7793</v>
      </c>
      <c r="I24" s="10">
        <f>H24/DiasMes</f>
        <v>2.788965</v>
      </c>
      <c r="J24" s="12">
        <v>25.0</v>
      </c>
      <c r="K24" s="12">
        <v>29.0</v>
      </c>
      <c r="L24" s="7" t="s">
        <v>206</v>
      </c>
      <c r="M24" s="11">
        <f t="shared" si="1"/>
        <v>69.72418125</v>
      </c>
      <c r="N24" s="11">
        <f t="shared" si="2"/>
        <v>11.15580375</v>
      </c>
      <c r="O24" s="11">
        <f t="shared" si="3"/>
        <v>80.879985</v>
      </c>
      <c r="P24" s="7" t="s">
        <v>230</v>
      </c>
      <c r="Q24" s="9">
        <v>40.0</v>
      </c>
      <c r="R24" s="12">
        <v>40.0</v>
      </c>
      <c r="S24" s="15">
        <f t="shared" si="4"/>
        <v>3</v>
      </c>
      <c r="T24" s="11">
        <f t="shared" si="5"/>
        <v>5.164754167</v>
      </c>
      <c r="U24" s="11">
        <f t="shared" si="6"/>
        <v>131.1558038</v>
      </c>
      <c r="V24" s="5" t="s">
        <v>191</v>
      </c>
      <c r="W24" s="9">
        <v>160.0</v>
      </c>
      <c r="X24" s="10">
        <f t="shared" si="7"/>
        <v>0.8197237734</v>
      </c>
    </row>
    <row r="25" ht="15.75" customHeight="1">
      <c r="A25" s="7" t="s">
        <v>231</v>
      </c>
      <c r="B25" s="7" t="s">
        <v>232</v>
      </c>
      <c r="C25" s="7" t="s">
        <v>233</v>
      </c>
      <c r="D25" s="7" t="s">
        <v>99</v>
      </c>
      <c r="E25" s="7" t="s">
        <v>234</v>
      </c>
      <c r="F25" s="9">
        <v>510.1114</v>
      </c>
      <c r="G25" s="10">
        <f>F25/DiasAnio</f>
        <v>2.125464167</v>
      </c>
      <c r="H25" s="9">
        <v>45.91</v>
      </c>
      <c r="I25" s="10">
        <f>H25/DiasMes</f>
        <v>2.2955</v>
      </c>
      <c r="J25" s="12">
        <v>10.0</v>
      </c>
      <c r="K25" s="12">
        <v>10.0</v>
      </c>
      <c r="L25" s="7" t="s">
        <v>236</v>
      </c>
      <c r="M25" s="11">
        <f t="shared" si="1"/>
        <v>21.25464167</v>
      </c>
      <c r="N25" s="11">
        <f t="shared" si="2"/>
        <v>1.700358333</v>
      </c>
      <c r="O25" s="11">
        <f t="shared" si="3"/>
        <v>22.955</v>
      </c>
      <c r="P25" s="7" t="s">
        <v>237</v>
      </c>
      <c r="Q25" s="9">
        <v>1.0</v>
      </c>
      <c r="R25" s="12">
        <v>60.0</v>
      </c>
      <c r="S25" s="15">
        <f t="shared" si="4"/>
        <v>138</v>
      </c>
      <c r="T25" s="11">
        <f t="shared" si="5"/>
        <v>3.69645942</v>
      </c>
      <c r="U25" s="11">
        <f t="shared" si="6"/>
        <v>139.7003583</v>
      </c>
      <c r="V25" s="5" t="s">
        <v>107</v>
      </c>
      <c r="W25" s="9">
        <v>60.0</v>
      </c>
      <c r="X25" s="10">
        <f t="shared" si="7"/>
        <v>2.328339306</v>
      </c>
    </row>
    <row r="26" ht="15.75" customHeight="1">
      <c r="A26" s="7" t="s">
        <v>238</v>
      </c>
      <c r="B26" s="7" t="s">
        <v>239</v>
      </c>
      <c r="C26" s="7" t="s">
        <v>240</v>
      </c>
      <c r="D26" s="7" t="s">
        <v>99</v>
      </c>
      <c r="E26" s="7" t="s">
        <v>234</v>
      </c>
      <c r="F26" s="9">
        <v>89.6312</v>
      </c>
      <c r="G26" s="10">
        <f>F26/DiasAnio</f>
        <v>0.3734633333</v>
      </c>
      <c r="H26" s="9">
        <v>8.0668</v>
      </c>
      <c r="I26" s="10">
        <f>H26/DiasMes</f>
        <v>0.40334</v>
      </c>
      <c r="J26" s="12">
        <v>10.0</v>
      </c>
      <c r="K26" s="12">
        <v>10.0</v>
      </c>
      <c r="L26" s="7" t="s">
        <v>236</v>
      </c>
      <c r="M26" s="11">
        <f t="shared" si="1"/>
        <v>3.734633333</v>
      </c>
      <c r="N26" s="11">
        <f t="shared" si="2"/>
        <v>0.2987666667</v>
      </c>
      <c r="O26" s="11">
        <f t="shared" si="3"/>
        <v>4.0334</v>
      </c>
      <c r="P26" s="7" t="s">
        <v>237</v>
      </c>
      <c r="Q26" s="9">
        <v>1.0</v>
      </c>
      <c r="R26" s="12">
        <v>60.0</v>
      </c>
      <c r="S26" s="15">
        <f t="shared" si="4"/>
        <v>25</v>
      </c>
      <c r="T26" s="11">
        <f t="shared" si="5"/>
        <v>3.585248</v>
      </c>
      <c r="U26" s="11">
        <f t="shared" si="6"/>
        <v>25.29876667</v>
      </c>
      <c r="V26" s="5" t="s">
        <v>107</v>
      </c>
      <c r="W26" s="9">
        <v>60.0</v>
      </c>
      <c r="X26" s="10">
        <f t="shared" si="7"/>
        <v>0.4216461111</v>
      </c>
    </row>
    <row r="27" ht="15.75" customHeight="1">
      <c r="A27" s="7" t="s">
        <v>241</v>
      </c>
      <c r="B27" s="7" t="s">
        <v>242</v>
      </c>
      <c r="C27" s="7" t="s">
        <v>243</v>
      </c>
      <c r="D27" s="7" t="s">
        <v>99</v>
      </c>
      <c r="E27" s="7" t="s">
        <v>244</v>
      </c>
      <c r="F27" s="9">
        <v>56.6588</v>
      </c>
      <c r="G27" s="10">
        <f>F27/DiasAnio</f>
        <v>0.2360783333</v>
      </c>
      <c r="H27" s="9">
        <v>5.0993</v>
      </c>
      <c r="I27" s="10">
        <f>H27/DiasMes</f>
        <v>0.254965</v>
      </c>
      <c r="J27" s="12">
        <v>10.0</v>
      </c>
      <c r="K27" s="12">
        <v>10.0</v>
      </c>
      <c r="L27" s="7" t="s">
        <v>236</v>
      </c>
      <c r="M27" s="11">
        <f t="shared" si="1"/>
        <v>2.360783333</v>
      </c>
      <c r="N27" s="11">
        <f t="shared" si="2"/>
        <v>0.1888666667</v>
      </c>
      <c r="O27" s="11">
        <f t="shared" si="3"/>
        <v>2.54965</v>
      </c>
      <c r="P27" s="7" t="s">
        <v>245</v>
      </c>
      <c r="Q27" s="9">
        <v>1.0</v>
      </c>
      <c r="R27" s="12">
        <v>60.0</v>
      </c>
      <c r="S27" s="15">
        <f t="shared" si="4"/>
        <v>16</v>
      </c>
      <c r="T27" s="11">
        <f t="shared" si="5"/>
        <v>3.541175</v>
      </c>
      <c r="U27" s="11">
        <f t="shared" si="6"/>
        <v>16.18886667</v>
      </c>
      <c r="V27" s="5" t="s">
        <v>107</v>
      </c>
      <c r="W27" s="9">
        <v>60.0</v>
      </c>
      <c r="X27" s="10">
        <f t="shared" si="7"/>
        <v>0.2698144444</v>
      </c>
    </row>
    <row r="28" ht="15.75" customHeight="1">
      <c r="A28" s="7" t="s">
        <v>246</v>
      </c>
      <c r="B28" s="7" t="s">
        <v>247</v>
      </c>
      <c r="C28" s="7" t="s">
        <v>248</v>
      </c>
      <c r="D28" s="7" t="s">
        <v>99</v>
      </c>
      <c r="E28" s="7" t="s">
        <v>244</v>
      </c>
      <c r="F28" s="9">
        <v>127.0463</v>
      </c>
      <c r="G28" s="10">
        <f>F28/DiasAnio</f>
        <v>0.5293595833</v>
      </c>
      <c r="H28" s="9">
        <v>11.4342</v>
      </c>
      <c r="I28" s="10">
        <f>H28/DiasMes</f>
        <v>0.57171</v>
      </c>
      <c r="J28" s="12">
        <v>10.0</v>
      </c>
      <c r="K28" s="12">
        <v>10.0</v>
      </c>
      <c r="L28" s="7" t="s">
        <v>236</v>
      </c>
      <c r="M28" s="11">
        <f t="shared" si="1"/>
        <v>5.293595833</v>
      </c>
      <c r="N28" s="11">
        <f t="shared" si="2"/>
        <v>0.4235041667</v>
      </c>
      <c r="O28" s="11">
        <f t="shared" si="3"/>
        <v>5.7171</v>
      </c>
      <c r="P28" s="7" t="s">
        <v>237</v>
      </c>
      <c r="Q28" s="9">
        <v>1.0</v>
      </c>
      <c r="R28" s="12">
        <v>60.0</v>
      </c>
      <c r="S28" s="15">
        <f t="shared" si="4"/>
        <v>35</v>
      </c>
      <c r="T28" s="11">
        <f t="shared" si="5"/>
        <v>3.629894286</v>
      </c>
      <c r="U28" s="11">
        <f t="shared" si="6"/>
        <v>35.42350417</v>
      </c>
      <c r="V28" s="5" t="s">
        <v>107</v>
      </c>
      <c r="W28" s="9">
        <v>60.0</v>
      </c>
      <c r="X28" s="10">
        <f t="shared" si="7"/>
        <v>0.5903917361</v>
      </c>
    </row>
    <row r="29" ht="15.75" customHeight="1">
      <c r="A29" s="7" t="s">
        <v>251</v>
      </c>
      <c r="B29" s="7" t="s">
        <v>252</v>
      </c>
      <c r="C29" s="7" t="s">
        <v>253</v>
      </c>
      <c r="D29" s="7" t="s">
        <v>186</v>
      </c>
      <c r="E29" s="7" t="s">
        <v>254</v>
      </c>
      <c r="F29" s="9">
        <v>7258.0122</v>
      </c>
      <c r="G29" s="10">
        <f>F29/DiasAnio</f>
        <v>30.2417175</v>
      </c>
      <c r="H29" s="9">
        <v>653.2211</v>
      </c>
      <c r="I29" s="10">
        <f>H29/DiasMes</f>
        <v>32.661055</v>
      </c>
      <c r="J29" s="12">
        <v>10.0</v>
      </c>
      <c r="K29" s="12">
        <v>10.0</v>
      </c>
      <c r="L29" s="7" t="s">
        <v>236</v>
      </c>
      <c r="M29" s="11">
        <f t="shared" si="1"/>
        <v>302.417175</v>
      </c>
      <c r="N29" s="11">
        <f t="shared" si="2"/>
        <v>24.193375</v>
      </c>
      <c r="O29" s="11">
        <f t="shared" si="3"/>
        <v>326.61055</v>
      </c>
      <c r="P29" s="7" t="s">
        <v>255</v>
      </c>
      <c r="Q29" s="9">
        <v>1000.0</v>
      </c>
      <c r="R29" s="12">
        <v>20.0</v>
      </c>
      <c r="S29" s="15">
        <f t="shared" si="4"/>
        <v>1</v>
      </c>
      <c r="T29" s="11">
        <f t="shared" si="5"/>
        <v>7.2580122</v>
      </c>
      <c r="U29" s="11">
        <f t="shared" si="6"/>
        <v>1024.193375</v>
      </c>
      <c r="V29" s="5" t="s">
        <v>256</v>
      </c>
      <c r="W29" s="9">
        <v>20000.0</v>
      </c>
      <c r="X29" s="10">
        <f t="shared" si="7"/>
        <v>0.05120966875</v>
      </c>
    </row>
    <row r="30" ht="15.75" customHeight="1">
      <c r="A30" s="7" t="s">
        <v>257</v>
      </c>
      <c r="B30" s="7" t="s">
        <v>258</v>
      </c>
      <c r="C30" s="7" t="s">
        <v>259</v>
      </c>
      <c r="D30" s="7" t="s">
        <v>186</v>
      </c>
      <c r="E30" s="7" t="s">
        <v>254</v>
      </c>
      <c r="F30" s="9">
        <v>3629.0061</v>
      </c>
      <c r="G30" s="10">
        <f>F30/DiasAnio</f>
        <v>15.12085875</v>
      </c>
      <c r="H30" s="9">
        <v>326.6106</v>
      </c>
      <c r="I30" s="10">
        <f>H30/DiasMes</f>
        <v>16.33053</v>
      </c>
      <c r="J30" s="12">
        <v>10.0</v>
      </c>
      <c r="K30" s="12">
        <v>10.0</v>
      </c>
      <c r="L30" s="7" t="s">
        <v>236</v>
      </c>
      <c r="M30" s="11">
        <f t="shared" si="1"/>
        <v>151.2085875</v>
      </c>
      <c r="N30" s="11">
        <f t="shared" si="2"/>
        <v>12.0967125</v>
      </c>
      <c r="O30" s="11">
        <f t="shared" si="3"/>
        <v>163.3053</v>
      </c>
      <c r="P30" s="7" t="s">
        <v>255</v>
      </c>
      <c r="Q30" s="9">
        <v>1000.0</v>
      </c>
      <c r="R30" s="12">
        <v>20.0</v>
      </c>
      <c r="S30" s="15">
        <f t="shared" si="4"/>
        <v>1</v>
      </c>
      <c r="T30" s="11">
        <f t="shared" si="5"/>
        <v>3.6290061</v>
      </c>
      <c r="U30" s="11">
        <f t="shared" si="6"/>
        <v>1012.096713</v>
      </c>
      <c r="V30" s="5" t="s">
        <v>256</v>
      </c>
      <c r="W30" s="9">
        <v>20000.0</v>
      </c>
      <c r="X30" s="10">
        <f t="shared" si="7"/>
        <v>0.05060483563</v>
      </c>
    </row>
    <row r="31" ht="15.75" customHeight="1">
      <c r="A31" s="7" t="s">
        <v>260</v>
      </c>
      <c r="B31" s="7" t="s">
        <v>261</v>
      </c>
      <c r="C31" s="7" t="s">
        <v>262</v>
      </c>
      <c r="D31" s="7" t="s">
        <v>186</v>
      </c>
      <c r="E31" s="7" t="s">
        <v>263</v>
      </c>
      <c r="F31" s="9">
        <v>906.5411</v>
      </c>
      <c r="G31" s="10">
        <f>F31/DiasAnio</f>
        <v>3.777254583</v>
      </c>
      <c r="H31" s="9">
        <v>81.5887</v>
      </c>
      <c r="I31" s="10">
        <f>H31/DiasMes</f>
        <v>4.079435</v>
      </c>
      <c r="J31" s="12">
        <v>15.0</v>
      </c>
      <c r="K31" s="12">
        <v>15.0</v>
      </c>
      <c r="L31" s="7" t="s">
        <v>189</v>
      </c>
      <c r="M31" s="11">
        <f t="shared" si="1"/>
        <v>56.65881875</v>
      </c>
      <c r="N31" s="11">
        <f t="shared" si="2"/>
        <v>4.53270625</v>
      </c>
      <c r="O31" s="11">
        <f t="shared" si="3"/>
        <v>61.191525</v>
      </c>
      <c r="P31" s="7" t="s">
        <v>265</v>
      </c>
      <c r="Q31" s="9">
        <v>72.0</v>
      </c>
      <c r="R31" s="12">
        <v>20.0</v>
      </c>
      <c r="S31" s="15">
        <f t="shared" si="4"/>
        <v>2</v>
      </c>
      <c r="T31" s="11">
        <f t="shared" si="5"/>
        <v>6.295424306</v>
      </c>
      <c r="U31" s="11">
        <f t="shared" si="6"/>
        <v>148.5327063</v>
      </c>
      <c r="V31" s="5" t="s">
        <v>256</v>
      </c>
      <c r="W31" s="9">
        <v>144.0</v>
      </c>
      <c r="X31" s="10">
        <f t="shared" si="7"/>
        <v>1.031477127</v>
      </c>
    </row>
    <row r="32" ht="15.75" customHeight="1">
      <c r="A32" s="7" t="s">
        <v>266</v>
      </c>
      <c r="B32" s="7" t="s">
        <v>267</v>
      </c>
      <c r="C32" s="7" t="s">
        <v>268</v>
      </c>
      <c r="D32" s="7" t="s">
        <v>186</v>
      </c>
      <c r="E32" s="7" t="s">
        <v>263</v>
      </c>
      <c r="F32" s="9">
        <v>1996.9241</v>
      </c>
      <c r="G32" s="10">
        <f>F32/DiasAnio</f>
        <v>8.320517083</v>
      </c>
      <c r="H32" s="9">
        <v>179.7232</v>
      </c>
      <c r="I32" s="10">
        <f>H32/DiasMes</f>
        <v>8.98616</v>
      </c>
      <c r="J32" s="12">
        <v>15.0</v>
      </c>
      <c r="K32" s="12">
        <v>15.0</v>
      </c>
      <c r="L32" s="7" t="s">
        <v>189</v>
      </c>
      <c r="M32" s="11">
        <f t="shared" si="1"/>
        <v>124.8077563</v>
      </c>
      <c r="N32" s="11">
        <f t="shared" si="2"/>
        <v>9.98464375</v>
      </c>
      <c r="O32" s="11">
        <f t="shared" si="3"/>
        <v>134.7924</v>
      </c>
      <c r="P32" s="7" t="s">
        <v>265</v>
      </c>
      <c r="Q32" s="9">
        <v>72.0</v>
      </c>
      <c r="R32" s="12">
        <v>20.0</v>
      </c>
      <c r="S32" s="15">
        <f t="shared" si="4"/>
        <v>3</v>
      </c>
      <c r="T32" s="11">
        <f t="shared" si="5"/>
        <v>9.245018981</v>
      </c>
      <c r="U32" s="11">
        <f t="shared" si="6"/>
        <v>225.9846438</v>
      </c>
      <c r="V32" s="5" t="s">
        <v>256</v>
      </c>
      <c r="W32" s="9">
        <v>144.0</v>
      </c>
      <c r="X32" s="10">
        <f t="shared" si="7"/>
        <v>1.569337804</v>
      </c>
    </row>
    <row r="33" ht="15.75" customHeight="1">
      <c r="A33" s="7" t="s">
        <v>269</v>
      </c>
      <c r="B33" s="7" t="s">
        <v>270</v>
      </c>
      <c r="C33" s="7" t="s">
        <v>271</v>
      </c>
      <c r="D33" s="7" t="s">
        <v>186</v>
      </c>
      <c r="E33" s="7" t="s">
        <v>272</v>
      </c>
      <c r="F33" s="9">
        <v>725.541</v>
      </c>
      <c r="G33" s="10">
        <f>F33/DiasAnio</f>
        <v>3.0230875</v>
      </c>
      <c r="H33" s="9">
        <v>65.2987</v>
      </c>
      <c r="I33" s="10">
        <f>H33/DiasMes</f>
        <v>3.264935</v>
      </c>
      <c r="J33" s="12">
        <v>15.0</v>
      </c>
      <c r="K33" s="12">
        <v>15.0</v>
      </c>
      <c r="L33" s="7" t="s">
        <v>189</v>
      </c>
      <c r="M33" s="11">
        <f t="shared" si="1"/>
        <v>45.3463125</v>
      </c>
      <c r="N33" s="11">
        <f t="shared" si="2"/>
        <v>3.6277125</v>
      </c>
      <c r="O33" s="11">
        <f t="shared" si="3"/>
        <v>48.974025</v>
      </c>
      <c r="P33" s="7" t="s">
        <v>265</v>
      </c>
      <c r="Q33" s="9">
        <v>72.0</v>
      </c>
      <c r="R33" s="12">
        <v>20.0</v>
      </c>
      <c r="S33" s="15">
        <f t="shared" si="4"/>
        <v>1</v>
      </c>
      <c r="T33" s="11">
        <f t="shared" si="5"/>
        <v>10.07695833</v>
      </c>
      <c r="U33" s="11">
        <f t="shared" si="6"/>
        <v>75.6277125</v>
      </c>
      <c r="V33" s="5" t="s">
        <v>256</v>
      </c>
      <c r="W33" s="9">
        <v>144.0</v>
      </c>
      <c r="X33" s="10">
        <f t="shared" si="7"/>
        <v>0.5251924479</v>
      </c>
    </row>
    <row r="34" ht="15.75" customHeight="1">
      <c r="A34" s="7" t="s">
        <v>273</v>
      </c>
      <c r="B34" s="7" t="s">
        <v>274</v>
      </c>
      <c r="C34" s="7" t="s">
        <v>275</v>
      </c>
      <c r="D34" s="7" t="s">
        <v>36</v>
      </c>
      <c r="E34" s="7" t="s">
        <v>276</v>
      </c>
      <c r="F34" s="9">
        <v>6044.2197</v>
      </c>
      <c r="G34" s="10">
        <f>F34/DiasAnio</f>
        <v>25.18424875</v>
      </c>
      <c r="H34" s="9">
        <v>695.237</v>
      </c>
      <c r="I34" s="10">
        <f>H34/DiasMes</f>
        <v>34.76185</v>
      </c>
      <c r="J34" s="12">
        <v>5.0</v>
      </c>
      <c r="K34" s="12">
        <v>5.0</v>
      </c>
      <c r="L34" s="7" t="s">
        <v>236</v>
      </c>
      <c r="M34" s="11">
        <f t="shared" si="1"/>
        <v>125.9212438</v>
      </c>
      <c r="N34" s="11">
        <f t="shared" si="2"/>
        <v>47.88800625</v>
      </c>
      <c r="O34" s="11">
        <f t="shared" si="3"/>
        <v>173.80925</v>
      </c>
      <c r="P34" s="7" t="s">
        <v>278</v>
      </c>
      <c r="Q34" s="9">
        <v>900.0</v>
      </c>
      <c r="R34" s="12">
        <v>20.0</v>
      </c>
      <c r="S34" s="15">
        <f t="shared" si="4"/>
        <v>1</v>
      </c>
      <c r="T34" s="11">
        <f t="shared" si="5"/>
        <v>6.715799667</v>
      </c>
      <c r="U34" s="11">
        <f t="shared" si="6"/>
        <v>947.8880063</v>
      </c>
      <c r="V34" s="5" t="s">
        <v>279</v>
      </c>
      <c r="W34" s="9">
        <v>900.0</v>
      </c>
      <c r="X34" s="10">
        <f t="shared" si="7"/>
        <v>1.053208896</v>
      </c>
    </row>
    <row r="35" ht="15.75" customHeight="1">
      <c r="A35" s="7" t="s">
        <v>280</v>
      </c>
      <c r="B35" s="7" t="s">
        <v>281</v>
      </c>
      <c r="C35" s="7" t="s">
        <v>282</v>
      </c>
      <c r="D35" s="7" t="s">
        <v>36</v>
      </c>
      <c r="E35" s="7" t="s">
        <v>276</v>
      </c>
      <c r="F35" s="9">
        <v>1388.3064</v>
      </c>
      <c r="G35" s="10">
        <f>F35/DiasAnio</f>
        <v>5.78461</v>
      </c>
      <c r="H35" s="9">
        <v>124.9476</v>
      </c>
      <c r="I35" s="10">
        <f>H35/DiasMes</f>
        <v>6.24738</v>
      </c>
      <c r="J35" s="12">
        <v>5.0</v>
      </c>
      <c r="K35" s="12">
        <v>5.0</v>
      </c>
      <c r="L35" s="7" t="s">
        <v>189</v>
      </c>
      <c r="M35" s="11">
        <f t="shared" si="1"/>
        <v>28.92305</v>
      </c>
      <c r="N35" s="11">
        <f t="shared" si="2"/>
        <v>2.31385</v>
      </c>
      <c r="O35" s="11">
        <f t="shared" si="3"/>
        <v>31.2369</v>
      </c>
      <c r="P35" s="7" t="s">
        <v>278</v>
      </c>
      <c r="Q35" s="9">
        <v>900.0</v>
      </c>
      <c r="R35" s="12">
        <v>40.0</v>
      </c>
      <c r="S35" s="15">
        <f t="shared" si="4"/>
        <v>1</v>
      </c>
      <c r="T35" s="11">
        <f t="shared" si="5"/>
        <v>1.542562667</v>
      </c>
      <c r="U35" s="11">
        <f t="shared" si="6"/>
        <v>902.31385</v>
      </c>
      <c r="V35" s="5" t="s">
        <v>256</v>
      </c>
      <c r="W35" s="9">
        <v>900.0</v>
      </c>
      <c r="X35" s="10">
        <f t="shared" si="7"/>
        <v>1.002570944</v>
      </c>
    </row>
    <row r="36" ht="15.75" customHeight="1">
      <c r="A36" s="7" t="s">
        <v>283</v>
      </c>
      <c r="B36" s="7" t="s">
        <v>284</v>
      </c>
      <c r="C36" s="7" t="s">
        <v>285</v>
      </c>
      <c r="D36" s="7" t="s">
        <v>286</v>
      </c>
      <c r="E36" s="7" t="s">
        <v>287</v>
      </c>
      <c r="F36" s="9">
        <v>8025.7873</v>
      </c>
      <c r="G36" s="10">
        <f>F36/DiasAnio</f>
        <v>33.44078042</v>
      </c>
      <c r="H36" s="9">
        <v>909.1431</v>
      </c>
      <c r="I36" s="10">
        <f>H36/DiasMes</f>
        <v>45.457155</v>
      </c>
      <c r="J36" s="12">
        <v>1.0</v>
      </c>
      <c r="K36" s="12">
        <v>1.0</v>
      </c>
      <c r="L36" s="7" t="s">
        <v>288</v>
      </c>
      <c r="M36" s="11">
        <f t="shared" si="1"/>
        <v>33.44078042</v>
      </c>
      <c r="N36" s="11">
        <f t="shared" si="2"/>
        <v>12.01637458</v>
      </c>
      <c r="O36" s="11">
        <f t="shared" si="3"/>
        <v>45.457155</v>
      </c>
      <c r="P36" s="7" t="s">
        <v>289</v>
      </c>
      <c r="Q36" s="9">
        <v>115.5</v>
      </c>
      <c r="R36" s="12">
        <v>5.0</v>
      </c>
      <c r="S36" s="15">
        <f t="shared" si="4"/>
        <v>2</v>
      </c>
      <c r="T36" s="11">
        <f t="shared" si="5"/>
        <v>34.74366797</v>
      </c>
      <c r="U36" s="11">
        <f t="shared" si="6"/>
        <v>243.0163746</v>
      </c>
      <c r="V36" s="5" t="s">
        <v>290</v>
      </c>
      <c r="W36" s="9">
        <v>115.5</v>
      </c>
      <c r="X36" s="10">
        <f t="shared" si="7"/>
        <v>2.104037875</v>
      </c>
    </row>
    <row r="37" ht="15.75" customHeight="1">
      <c r="A37" s="7" t="s">
        <v>291</v>
      </c>
      <c r="B37" s="7" t="s">
        <v>292</v>
      </c>
      <c r="C37" s="7" t="s">
        <v>293</v>
      </c>
      <c r="D37" s="7" t="s">
        <v>186</v>
      </c>
      <c r="E37" s="7" t="s">
        <v>294</v>
      </c>
      <c r="F37" s="9">
        <v>27.2175</v>
      </c>
      <c r="G37" s="10">
        <f>F37/DiasAnio</f>
        <v>0.11340625</v>
      </c>
      <c r="H37" s="9">
        <v>2.4496</v>
      </c>
      <c r="I37" s="10">
        <f>H37/DiasMes</f>
        <v>0.12248</v>
      </c>
      <c r="J37" s="12">
        <v>5.0</v>
      </c>
      <c r="K37" s="12">
        <v>5.0</v>
      </c>
      <c r="L37" s="7" t="s">
        <v>236</v>
      </c>
      <c r="M37" s="11">
        <f t="shared" si="1"/>
        <v>0.56703125</v>
      </c>
      <c r="N37" s="11">
        <f t="shared" si="2"/>
        <v>0.04536875</v>
      </c>
      <c r="O37" s="11">
        <f t="shared" si="3"/>
        <v>0.6124</v>
      </c>
      <c r="P37" s="7" t="s">
        <v>295</v>
      </c>
      <c r="Q37" s="9">
        <v>25.0</v>
      </c>
      <c r="R37" s="12">
        <v>20.0</v>
      </c>
      <c r="S37" s="15">
        <f t="shared" si="4"/>
        <v>1</v>
      </c>
      <c r="T37" s="11">
        <f t="shared" si="5"/>
        <v>1.0887</v>
      </c>
      <c r="U37" s="11">
        <f t="shared" si="6"/>
        <v>25.04536875</v>
      </c>
      <c r="V37" s="5" t="s">
        <v>279</v>
      </c>
      <c r="W37" s="9">
        <v>250.0</v>
      </c>
      <c r="X37" s="10">
        <f t="shared" si="7"/>
        <v>0.100181475</v>
      </c>
    </row>
    <row r="38" ht="15.75" customHeight="1">
      <c r="A38" s="7" t="s">
        <v>296</v>
      </c>
      <c r="B38" s="7" t="s">
        <v>297</v>
      </c>
      <c r="C38" s="7" t="s">
        <v>298</v>
      </c>
      <c r="D38" s="7" t="s">
        <v>186</v>
      </c>
      <c r="E38" s="7" t="s">
        <v>294</v>
      </c>
      <c r="F38" s="9">
        <v>99.5925</v>
      </c>
      <c r="G38" s="10">
        <f>F38/DiasAnio</f>
        <v>0.41496875</v>
      </c>
      <c r="H38" s="9">
        <v>8.9633</v>
      </c>
      <c r="I38" s="10">
        <f>H38/DiasMes</f>
        <v>0.448165</v>
      </c>
      <c r="J38" s="12">
        <v>5.0</v>
      </c>
      <c r="K38" s="12">
        <v>5.0</v>
      </c>
      <c r="L38" s="7" t="s">
        <v>236</v>
      </c>
      <c r="M38" s="11">
        <f t="shared" si="1"/>
        <v>2.07484375</v>
      </c>
      <c r="N38" s="11">
        <f t="shared" si="2"/>
        <v>0.16598125</v>
      </c>
      <c r="O38" s="11">
        <f t="shared" si="3"/>
        <v>2.240825</v>
      </c>
      <c r="P38" s="7" t="s">
        <v>295</v>
      </c>
      <c r="Q38" s="9">
        <v>25.0</v>
      </c>
      <c r="R38" s="12">
        <v>20.0</v>
      </c>
      <c r="S38" s="15">
        <f t="shared" si="4"/>
        <v>1</v>
      </c>
      <c r="T38" s="11">
        <f t="shared" si="5"/>
        <v>3.9837</v>
      </c>
      <c r="U38" s="11">
        <f t="shared" si="6"/>
        <v>25.16598125</v>
      </c>
      <c r="V38" s="5" t="s">
        <v>279</v>
      </c>
      <c r="W38" s="9">
        <v>250.0</v>
      </c>
      <c r="X38" s="10">
        <f t="shared" si="7"/>
        <v>0.100663925</v>
      </c>
    </row>
    <row r="39" ht="15.75" customHeight="1">
      <c r="A39" s="7" t="s">
        <v>300</v>
      </c>
      <c r="B39" s="7" t="s">
        <v>301</v>
      </c>
      <c r="C39" s="7" t="s">
        <v>302</v>
      </c>
      <c r="D39" s="7" t="s">
        <v>186</v>
      </c>
      <c r="E39" s="7" t="s">
        <v>294</v>
      </c>
      <c r="F39" s="9">
        <v>22.63</v>
      </c>
      <c r="G39" s="10">
        <f>F39/DiasAnio</f>
        <v>0.09429166667</v>
      </c>
      <c r="H39" s="9">
        <v>2.0367</v>
      </c>
      <c r="I39" s="10">
        <f>H39/DiasMes</f>
        <v>0.101835</v>
      </c>
      <c r="J39" s="12">
        <v>5.0</v>
      </c>
      <c r="K39" s="12">
        <v>5.0</v>
      </c>
      <c r="L39" s="7" t="s">
        <v>236</v>
      </c>
      <c r="M39" s="11">
        <f t="shared" si="1"/>
        <v>0.4714583333</v>
      </c>
      <c r="N39" s="11">
        <f t="shared" si="2"/>
        <v>0.03771666667</v>
      </c>
      <c r="O39" s="11">
        <f t="shared" si="3"/>
        <v>0.509175</v>
      </c>
      <c r="P39" s="7" t="s">
        <v>295</v>
      </c>
      <c r="Q39" s="9">
        <v>25.0</v>
      </c>
      <c r="R39" s="12">
        <v>20.0</v>
      </c>
      <c r="S39" s="15">
        <f t="shared" si="4"/>
        <v>1</v>
      </c>
      <c r="T39" s="11">
        <f t="shared" si="5"/>
        <v>0.9052</v>
      </c>
      <c r="U39" s="11">
        <f t="shared" si="6"/>
        <v>25.03771667</v>
      </c>
      <c r="V39" s="5" t="s">
        <v>279</v>
      </c>
      <c r="W39" s="9">
        <v>250.0</v>
      </c>
      <c r="X39" s="10">
        <f t="shared" si="7"/>
        <v>0.1001508667</v>
      </c>
    </row>
    <row r="40" ht="15.75" customHeight="1">
      <c r="A40" s="7" t="s">
        <v>305</v>
      </c>
      <c r="B40" s="7" t="s">
        <v>306</v>
      </c>
      <c r="C40" s="7" t="s">
        <v>307</v>
      </c>
      <c r="D40" s="7" t="s">
        <v>186</v>
      </c>
      <c r="E40" s="7" t="s">
        <v>308</v>
      </c>
      <c r="F40" s="9">
        <v>18.145</v>
      </c>
      <c r="G40" s="10">
        <f>F40/DiasAnio</f>
        <v>0.07560416667</v>
      </c>
      <c r="H40" s="9">
        <v>1.6331</v>
      </c>
      <c r="I40" s="10">
        <f>H40/DiasMes</f>
        <v>0.081655</v>
      </c>
      <c r="J40" s="12">
        <v>5.0</v>
      </c>
      <c r="K40" s="12">
        <v>5.0</v>
      </c>
      <c r="L40" s="7" t="s">
        <v>236</v>
      </c>
      <c r="M40" s="11">
        <f t="shared" si="1"/>
        <v>0.3780208333</v>
      </c>
      <c r="N40" s="11">
        <f t="shared" si="2"/>
        <v>0.03025416667</v>
      </c>
      <c r="O40" s="11">
        <f t="shared" si="3"/>
        <v>0.408275</v>
      </c>
      <c r="P40" s="7" t="s">
        <v>295</v>
      </c>
      <c r="Q40" s="9">
        <v>25.0</v>
      </c>
      <c r="R40" s="12">
        <v>20.0</v>
      </c>
      <c r="S40" s="15">
        <f t="shared" si="4"/>
        <v>1</v>
      </c>
      <c r="T40" s="11">
        <f t="shared" si="5"/>
        <v>0.7258</v>
      </c>
      <c r="U40" s="11">
        <f t="shared" si="6"/>
        <v>25.03025417</v>
      </c>
      <c r="V40" s="5" t="s">
        <v>279</v>
      </c>
      <c r="W40" s="9">
        <v>250.0</v>
      </c>
      <c r="X40" s="10">
        <f t="shared" si="7"/>
        <v>0.1001210167</v>
      </c>
    </row>
    <row r="41" ht="15.75" customHeight="1">
      <c r="A41" s="7" t="s">
        <v>309</v>
      </c>
      <c r="B41" s="7" t="s">
        <v>310</v>
      </c>
      <c r="C41" s="7" t="s">
        <v>311</v>
      </c>
      <c r="D41" s="7" t="s">
        <v>186</v>
      </c>
      <c r="E41" s="7" t="s">
        <v>312</v>
      </c>
      <c r="F41" s="9">
        <v>7.7538</v>
      </c>
      <c r="G41" s="10">
        <f>F41/DiasAnio</f>
        <v>0.0323075</v>
      </c>
      <c r="H41" s="9">
        <v>0.6978</v>
      </c>
      <c r="I41" s="10">
        <f>H41/DiasMes</f>
        <v>0.03489</v>
      </c>
      <c r="J41" s="12">
        <v>5.0</v>
      </c>
      <c r="K41" s="12">
        <v>5.0</v>
      </c>
      <c r="L41" s="7" t="s">
        <v>236</v>
      </c>
      <c r="M41" s="11">
        <f t="shared" si="1"/>
        <v>0.1615375</v>
      </c>
      <c r="N41" s="11">
        <f t="shared" si="2"/>
        <v>0.0129125</v>
      </c>
      <c r="O41" s="11">
        <f t="shared" si="3"/>
        <v>0.17445</v>
      </c>
      <c r="P41" s="7" t="s">
        <v>295</v>
      </c>
      <c r="Q41" s="9">
        <v>25.0</v>
      </c>
      <c r="R41" s="12">
        <v>20.0</v>
      </c>
      <c r="S41" s="15">
        <f t="shared" si="4"/>
        <v>1</v>
      </c>
      <c r="T41" s="11">
        <f t="shared" si="5"/>
        <v>0.310152</v>
      </c>
      <c r="U41" s="11">
        <f t="shared" si="6"/>
        <v>25.0129125</v>
      </c>
      <c r="V41" s="5" t="s">
        <v>279</v>
      </c>
      <c r="W41" s="9">
        <v>250.0</v>
      </c>
      <c r="X41" s="10">
        <f t="shared" si="7"/>
        <v>0.10005165</v>
      </c>
    </row>
    <row r="42" ht="15.75" customHeight="1">
      <c r="A42" s="7" t="s">
        <v>313</v>
      </c>
      <c r="B42" s="7" t="s">
        <v>314</v>
      </c>
      <c r="C42" s="7" t="s">
        <v>315</v>
      </c>
      <c r="D42" s="7" t="s">
        <v>36</v>
      </c>
      <c r="E42" s="7" t="s">
        <v>316</v>
      </c>
      <c r="F42" s="9">
        <v>22874.6721</v>
      </c>
      <c r="G42" s="10">
        <f>F42/DiasAnio</f>
        <v>95.31113375</v>
      </c>
      <c r="H42" s="9">
        <v>2678.3104</v>
      </c>
      <c r="I42" s="10">
        <f>H42/DiasMes</f>
        <v>133.91552</v>
      </c>
      <c r="J42" s="12">
        <v>7.0</v>
      </c>
      <c r="K42" s="12">
        <v>7.0</v>
      </c>
      <c r="L42" s="7" t="s">
        <v>236</v>
      </c>
      <c r="M42" s="11">
        <f t="shared" si="1"/>
        <v>667.1779363</v>
      </c>
      <c r="N42" s="11">
        <f t="shared" si="2"/>
        <v>270.2307038</v>
      </c>
      <c r="O42" s="11">
        <f t="shared" si="3"/>
        <v>937.40864</v>
      </c>
      <c r="P42" s="7" t="s">
        <v>317</v>
      </c>
      <c r="Q42" s="9">
        <v>1000.0</v>
      </c>
      <c r="R42" s="12">
        <v>60.0</v>
      </c>
      <c r="S42" s="15">
        <f t="shared" si="4"/>
        <v>9</v>
      </c>
      <c r="T42" s="11">
        <f t="shared" si="5"/>
        <v>2.541630233</v>
      </c>
      <c r="U42" s="11">
        <f t="shared" si="6"/>
        <v>9270.230704</v>
      </c>
      <c r="V42" s="5" t="s">
        <v>279</v>
      </c>
      <c r="W42" s="9">
        <v>1000.0</v>
      </c>
      <c r="X42" s="10">
        <f t="shared" si="7"/>
        <v>9.270230704</v>
      </c>
    </row>
    <row r="43" ht="15.75" customHeight="1">
      <c r="A43" s="7" t="s">
        <v>318</v>
      </c>
      <c r="B43" s="7" t="s">
        <v>319</v>
      </c>
      <c r="C43" s="7" t="s">
        <v>320</v>
      </c>
      <c r="D43" s="7" t="s">
        <v>36</v>
      </c>
      <c r="E43" s="7" t="s">
        <v>321</v>
      </c>
      <c r="F43" s="9">
        <v>3609.5154</v>
      </c>
      <c r="G43" s="10">
        <f>F43/DiasAnio</f>
        <v>15.0396475</v>
      </c>
      <c r="H43" s="9">
        <v>414.2718</v>
      </c>
      <c r="I43" s="10">
        <f>H43/DiasMes</f>
        <v>20.71359</v>
      </c>
      <c r="J43" s="12">
        <v>10.0</v>
      </c>
      <c r="K43" s="12">
        <v>10.0</v>
      </c>
      <c r="L43" s="7" t="s">
        <v>236</v>
      </c>
      <c r="M43" s="11">
        <f t="shared" si="1"/>
        <v>150.396475</v>
      </c>
      <c r="N43" s="11">
        <f t="shared" si="2"/>
        <v>56.739425</v>
      </c>
      <c r="O43" s="11">
        <f t="shared" si="3"/>
        <v>207.1359</v>
      </c>
      <c r="P43" s="7" t="s">
        <v>322</v>
      </c>
      <c r="Q43" s="9">
        <v>600.0</v>
      </c>
      <c r="R43" s="12">
        <v>20.0</v>
      </c>
      <c r="S43" s="15">
        <f t="shared" si="4"/>
        <v>1</v>
      </c>
      <c r="T43" s="11">
        <f t="shared" si="5"/>
        <v>6.015859</v>
      </c>
      <c r="U43" s="11">
        <f t="shared" si="6"/>
        <v>656.739425</v>
      </c>
      <c r="V43" s="5" t="s">
        <v>323</v>
      </c>
      <c r="W43" s="9">
        <v>600.0</v>
      </c>
      <c r="X43" s="10">
        <f t="shared" si="7"/>
        <v>1.094565708</v>
      </c>
    </row>
    <row r="44" ht="15.75" customHeight="1">
      <c r="A44" s="7" t="s">
        <v>324</v>
      </c>
      <c r="B44" s="7" t="s">
        <v>325</v>
      </c>
      <c r="C44" s="7" t="s">
        <v>326</v>
      </c>
      <c r="D44" s="7" t="s">
        <v>36</v>
      </c>
      <c r="E44" s="7" t="s">
        <v>327</v>
      </c>
      <c r="F44" s="9">
        <v>289244.2974</v>
      </c>
      <c r="G44" s="10">
        <f>F44/DiasAnio</f>
        <v>1205.184573</v>
      </c>
      <c r="H44" s="9">
        <v>30798.7054</v>
      </c>
      <c r="I44" s="10">
        <f>H44/DiasMes</f>
        <v>1539.93527</v>
      </c>
      <c r="J44" s="12">
        <v>7.0</v>
      </c>
      <c r="K44" s="12">
        <v>7.0</v>
      </c>
      <c r="L44" s="7" t="s">
        <v>189</v>
      </c>
      <c r="M44" s="11">
        <f t="shared" si="1"/>
        <v>8436.292008</v>
      </c>
      <c r="N44" s="11">
        <f t="shared" si="2"/>
        <v>2343.254883</v>
      </c>
      <c r="O44" s="11">
        <f t="shared" si="3"/>
        <v>10779.54689</v>
      </c>
      <c r="P44" s="7" t="s">
        <v>328</v>
      </c>
      <c r="Q44" s="9">
        <v>1000.0</v>
      </c>
      <c r="R44" s="12">
        <v>5.0</v>
      </c>
      <c r="S44" s="15">
        <f t="shared" si="4"/>
        <v>8</v>
      </c>
      <c r="T44" s="11">
        <f t="shared" si="5"/>
        <v>36.15553718</v>
      </c>
      <c r="U44" s="11">
        <f t="shared" si="6"/>
        <v>10343.25488</v>
      </c>
      <c r="V44" s="5" t="s">
        <v>323</v>
      </c>
      <c r="W44" s="9">
        <v>2000.0</v>
      </c>
      <c r="X44" s="10">
        <f t="shared" si="7"/>
        <v>5.171627441</v>
      </c>
    </row>
    <row r="45" ht="15.75" customHeight="1">
      <c r="A45" s="7" t="s">
        <v>330</v>
      </c>
      <c r="B45" s="7" t="s">
        <v>331</v>
      </c>
      <c r="C45" s="7" t="s">
        <v>332</v>
      </c>
      <c r="D45" s="7" t="s">
        <v>36</v>
      </c>
      <c r="E45" s="7" t="s">
        <v>327</v>
      </c>
      <c r="F45" s="9">
        <v>104470.252</v>
      </c>
      <c r="G45" s="10">
        <f>F45/DiasAnio</f>
        <v>435.2927167</v>
      </c>
      <c r="H45" s="9">
        <v>9318.6201</v>
      </c>
      <c r="I45" s="10">
        <f>H45/DiasMes</f>
        <v>465.931005</v>
      </c>
      <c r="J45" s="12">
        <v>7.0</v>
      </c>
      <c r="K45" s="12">
        <v>7.0</v>
      </c>
      <c r="L45" s="7" t="s">
        <v>189</v>
      </c>
      <c r="M45" s="11">
        <f t="shared" si="1"/>
        <v>3047.049017</v>
      </c>
      <c r="N45" s="11">
        <f t="shared" si="2"/>
        <v>214.4680183</v>
      </c>
      <c r="O45" s="11">
        <f t="shared" si="3"/>
        <v>3261.517035</v>
      </c>
      <c r="P45" s="7" t="s">
        <v>328</v>
      </c>
      <c r="Q45" s="9">
        <v>1000.0</v>
      </c>
      <c r="R45" s="12">
        <v>5.0</v>
      </c>
      <c r="S45" s="15">
        <f t="shared" si="4"/>
        <v>3</v>
      </c>
      <c r="T45" s="11">
        <f t="shared" si="5"/>
        <v>34.82341733</v>
      </c>
      <c r="U45" s="11">
        <f t="shared" si="6"/>
        <v>3214.468018</v>
      </c>
      <c r="V45" s="5" t="s">
        <v>323</v>
      </c>
      <c r="W45" s="9">
        <v>2000.0</v>
      </c>
      <c r="X45" s="10">
        <f t="shared" si="7"/>
        <v>1.607234009</v>
      </c>
    </row>
    <row r="46" ht="15.75" customHeight="1">
      <c r="A46" s="7" t="s">
        <v>333</v>
      </c>
      <c r="B46" s="7" t="s">
        <v>334</v>
      </c>
      <c r="C46" s="7" t="s">
        <v>335</v>
      </c>
      <c r="D46" s="7" t="s">
        <v>286</v>
      </c>
      <c r="E46" s="7" t="s">
        <v>287</v>
      </c>
      <c r="F46" s="9">
        <v>4058.3073</v>
      </c>
      <c r="G46" s="10">
        <f>F46/DiasAnio</f>
        <v>16.90961375</v>
      </c>
      <c r="H46" s="9">
        <v>378.5996</v>
      </c>
      <c r="I46" s="10">
        <f>H46/DiasMes</f>
        <v>18.92998</v>
      </c>
      <c r="J46" s="12">
        <v>1.0</v>
      </c>
      <c r="K46" s="12">
        <v>1.0</v>
      </c>
      <c r="L46" s="7" t="s">
        <v>288</v>
      </c>
      <c r="M46" s="11">
        <f t="shared" si="1"/>
        <v>16.90961375</v>
      </c>
      <c r="N46" s="11">
        <f t="shared" si="2"/>
        <v>2.02036625</v>
      </c>
      <c r="O46" s="11">
        <f t="shared" si="3"/>
        <v>18.92998</v>
      </c>
      <c r="P46" s="7" t="s">
        <v>336</v>
      </c>
      <c r="Q46" s="9">
        <v>110.0</v>
      </c>
      <c r="R46" s="12">
        <v>10.0</v>
      </c>
      <c r="S46" s="15">
        <f t="shared" si="4"/>
        <v>2</v>
      </c>
      <c r="T46" s="11">
        <f t="shared" si="5"/>
        <v>18.44685136</v>
      </c>
      <c r="U46" s="11">
        <f t="shared" si="6"/>
        <v>222.0203663</v>
      </c>
      <c r="V46" s="5" t="s">
        <v>290</v>
      </c>
      <c r="W46" s="9">
        <v>103.0</v>
      </c>
      <c r="X46" s="10">
        <f t="shared" si="7"/>
        <v>2.155537536</v>
      </c>
    </row>
    <row r="47" ht="15.75" customHeight="1">
      <c r="A47" s="7" t="s">
        <v>337</v>
      </c>
      <c r="B47" s="7" t="s">
        <v>338</v>
      </c>
      <c r="C47" s="7" t="s">
        <v>339</v>
      </c>
      <c r="D47" s="7" t="s">
        <v>36</v>
      </c>
      <c r="E47" s="7" t="s">
        <v>340</v>
      </c>
      <c r="F47" s="9">
        <v>863.1093</v>
      </c>
      <c r="G47" s="10">
        <f>F47/DiasAnio</f>
        <v>3.59628875</v>
      </c>
      <c r="H47" s="9">
        <v>71.9258</v>
      </c>
      <c r="I47" s="10">
        <f>H47/DiasMes</f>
        <v>3.59629</v>
      </c>
      <c r="J47" s="12">
        <v>7.0</v>
      </c>
      <c r="K47" s="12">
        <v>7.0</v>
      </c>
      <c r="L47" s="7" t="s">
        <v>236</v>
      </c>
      <c r="M47" s="11">
        <f t="shared" si="1"/>
        <v>25.17402125</v>
      </c>
      <c r="N47" s="11">
        <f t="shared" si="2"/>
        <v>0.000008749999999</v>
      </c>
      <c r="O47" s="11">
        <f t="shared" si="3"/>
        <v>25.17403</v>
      </c>
      <c r="P47" s="7" t="s">
        <v>343</v>
      </c>
      <c r="Q47" s="9">
        <v>25.0</v>
      </c>
      <c r="R47" s="12">
        <v>60.0</v>
      </c>
      <c r="S47" s="15">
        <f t="shared" si="4"/>
        <v>9</v>
      </c>
      <c r="T47" s="11">
        <f t="shared" si="5"/>
        <v>3.836041333</v>
      </c>
      <c r="U47" s="11">
        <f t="shared" si="6"/>
        <v>225.0000088</v>
      </c>
      <c r="V47" s="5" t="s">
        <v>323</v>
      </c>
      <c r="W47" s="9">
        <v>1000.0</v>
      </c>
      <c r="X47" s="10">
        <f t="shared" si="7"/>
        <v>0.2250000088</v>
      </c>
    </row>
    <row r="48" ht="15.75" customHeight="1">
      <c r="A48" s="7" t="s">
        <v>347</v>
      </c>
      <c r="B48" s="7" t="s">
        <v>348</v>
      </c>
      <c r="C48" s="7" t="s">
        <v>349</v>
      </c>
      <c r="D48" s="7" t="s">
        <v>36</v>
      </c>
      <c r="E48" s="7" t="s">
        <v>327</v>
      </c>
      <c r="F48" s="9">
        <v>1383.757</v>
      </c>
      <c r="G48" s="10">
        <f>F48/DiasAnio</f>
        <v>5.765654167</v>
      </c>
      <c r="H48" s="9">
        <v>115.3131</v>
      </c>
      <c r="I48" s="10">
        <f>H48/DiasMes</f>
        <v>5.765655</v>
      </c>
      <c r="J48" s="12">
        <v>15.0</v>
      </c>
      <c r="K48" s="12">
        <v>15.0</v>
      </c>
      <c r="L48" s="7" t="s">
        <v>236</v>
      </c>
      <c r="M48" s="11">
        <f t="shared" si="1"/>
        <v>86.4848125</v>
      </c>
      <c r="N48" s="11">
        <f t="shared" si="2"/>
        <v>0.00001250000001</v>
      </c>
      <c r="O48" s="11">
        <f t="shared" si="3"/>
        <v>86.484825</v>
      </c>
      <c r="P48" s="7" t="s">
        <v>343</v>
      </c>
      <c r="Q48" s="9">
        <v>25.0</v>
      </c>
      <c r="R48" s="12">
        <v>120.0</v>
      </c>
      <c r="S48" s="15">
        <f t="shared" si="4"/>
        <v>28</v>
      </c>
      <c r="T48" s="11">
        <f t="shared" si="5"/>
        <v>1.976795714</v>
      </c>
      <c r="U48" s="11">
        <f t="shared" si="6"/>
        <v>700.0000125</v>
      </c>
      <c r="V48" s="5" t="s">
        <v>323</v>
      </c>
      <c r="W48" s="9">
        <v>1000.0</v>
      </c>
      <c r="X48" s="10">
        <f t="shared" si="7"/>
        <v>0.7000000125</v>
      </c>
    </row>
    <row r="49" ht="15.75" customHeight="1">
      <c r="A49" s="7" t="s">
        <v>358</v>
      </c>
      <c r="B49" s="7" t="s">
        <v>359</v>
      </c>
      <c r="C49" s="7" t="s">
        <v>360</v>
      </c>
      <c r="D49" s="7" t="s">
        <v>36</v>
      </c>
      <c r="E49" s="7" t="s">
        <v>287</v>
      </c>
      <c r="F49" s="9">
        <v>2943.4424</v>
      </c>
      <c r="G49" s="10">
        <f>F49/DiasAnio</f>
        <v>12.26434333</v>
      </c>
      <c r="H49" s="9">
        <v>245.2869</v>
      </c>
      <c r="I49" s="10">
        <f>H49/DiasMes</f>
        <v>12.264345</v>
      </c>
      <c r="J49" s="12">
        <v>1.0</v>
      </c>
      <c r="K49" s="12">
        <v>1.0</v>
      </c>
      <c r="L49" s="7" t="s">
        <v>288</v>
      </c>
      <c r="M49" s="11">
        <f t="shared" si="1"/>
        <v>12.26434333</v>
      </c>
      <c r="N49" s="11">
        <f t="shared" si="2"/>
        <v>0.000001666666668</v>
      </c>
      <c r="O49" s="11">
        <f t="shared" si="3"/>
        <v>12.264345</v>
      </c>
      <c r="P49" s="7" t="s">
        <v>361</v>
      </c>
      <c r="Q49" s="9">
        <v>25.0</v>
      </c>
      <c r="R49" s="12">
        <v>10.0</v>
      </c>
      <c r="S49" s="15">
        <f t="shared" si="4"/>
        <v>5</v>
      </c>
      <c r="T49" s="11">
        <f t="shared" si="5"/>
        <v>23.5475392</v>
      </c>
      <c r="U49" s="11">
        <f t="shared" si="6"/>
        <v>125.0000017</v>
      </c>
      <c r="V49" s="5" t="s">
        <v>290</v>
      </c>
      <c r="W49" s="9">
        <v>25.0</v>
      </c>
      <c r="X49" s="10">
        <f t="shared" si="7"/>
        <v>5.000000067</v>
      </c>
    </row>
    <row r="50" ht="15.75" customHeight="1">
      <c r="A50" s="7" t="s">
        <v>362</v>
      </c>
      <c r="B50" s="7" t="s">
        <v>363</v>
      </c>
      <c r="C50" s="7" t="s">
        <v>364</v>
      </c>
      <c r="D50" s="7" t="s">
        <v>36</v>
      </c>
      <c r="E50" s="7" t="s">
        <v>365</v>
      </c>
      <c r="F50" s="9">
        <v>220.1483</v>
      </c>
      <c r="G50" s="10">
        <f>F50/DiasAnio</f>
        <v>0.9172845833</v>
      </c>
      <c r="H50" s="9">
        <v>18.3457</v>
      </c>
      <c r="I50" s="10">
        <f>H50/DiasMes</f>
        <v>0.917285</v>
      </c>
      <c r="J50" s="12">
        <v>30.0</v>
      </c>
      <c r="K50" s="12">
        <v>30.0</v>
      </c>
      <c r="L50" s="7" t="s">
        <v>236</v>
      </c>
      <c r="M50" s="11">
        <f t="shared" si="1"/>
        <v>27.5185375</v>
      </c>
      <c r="N50" s="11">
        <f t="shared" si="2"/>
        <v>0.0000125</v>
      </c>
      <c r="O50" s="11">
        <f t="shared" si="3"/>
        <v>27.51855</v>
      </c>
      <c r="P50" s="7" t="s">
        <v>366</v>
      </c>
      <c r="Q50" s="9">
        <v>50.0</v>
      </c>
      <c r="R50" s="12">
        <v>60.0</v>
      </c>
      <c r="S50" s="15">
        <f t="shared" si="4"/>
        <v>2</v>
      </c>
      <c r="T50" s="11">
        <f t="shared" si="5"/>
        <v>2.201483</v>
      </c>
      <c r="U50" s="11">
        <f t="shared" si="6"/>
        <v>100.0000125</v>
      </c>
      <c r="V50" s="5" t="s">
        <v>367</v>
      </c>
      <c r="W50" s="9">
        <v>50.0</v>
      </c>
      <c r="X50" s="10">
        <f t="shared" si="7"/>
        <v>2.00000025</v>
      </c>
    </row>
    <row r="51" ht="15.75" customHeight="1">
      <c r="A51" s="7" t="s">
        <v>368</v>
      </c>
      <c r="B51" s="7" t="s">
        <v>369</v>
      </c>
      <c r="C51" s="7" t="s">
        <v>370</v>
      </c>
      <c r="D51" s="7" t="s">
        <v>371</v>
      </c>
      <c r="E51" s="7" t="s">
        <v>340</v>
      </c>
      <c r="F51" s="9">
        <v>601.3299</v>
      </c>
      <c r="G51" s="10">
        <f>F51/DiasAnio</f>
        <v>2.50554125</v>
      </c>
      <c r="H51" s="9">
        <v>50.1108</v>
      </c>
      <c r="I51" s="10">
        <f>H51/DiasMes</f>
        <v>2.50554</v>
      </c>
      <c r="J51" s="12">
        <v>7.0</v>
      </c>
      <c r="K51" s="12">
        <v>7.0</v>
      </c>
      <c r="L51" s="7" t="s">
        <v>236</v>
      </c>
      <c r="M51" s="11">
        <f t="shared" si="1"/>
        <v>17.53878875</v>
      </c>
      <c r="N51" s="11">
        <f t="shared" si="2"/>
        <v>0</v>
      </c>
      <c r="O51" s="11">
        <f t="shared" si="3"/>
        <v>17.53878875</v>
      </c>
      <c r="P51" s="7" t="s">
        <v>372</v>
      </c>
      <c r="Q51" s="9">
        <v>20.0</v>
      </c>
      <c r="R51" s="12">
        <v>60.0</v>
      </c>
      <c r="S51" s="15">
        <f t="shared" si="4"/>
        <v>8</v>
      </c>
      <c r="T51" s="11">
        <f t="shared" si="5"/>
        <v>3.758311875</v>
      </c>
      <c r="U51" s="11">
        <f t="shared" si="6"/>
        <v>160</v>
      </c>
      <c r="V51" s="5" t="s">
        <v>367</v>
      </c>
      <c r="W51" s="9">
        <v>480.0</v>
      </c>
      <c r="X51" s="10">
        <f t="shared" si="7"/>
        <v>0.3333333333</v>
      </c>
    </row>
    <row r="52" ht="15.75" customHeight="1">
      <c r="A52" s="7" t="s">
        <v>373</v>
      </c>
      <c r="B52" s="7" t="s">
        <v>374</v>
      </c>
      <c r="C52" s="7" t="s">
        <v>375</v>
      </c>
      <c r="D52" s="7" t="s">
        <v>371</v>
      </c>
      <c r="E52" s="7" t="s">
        <v>340</v>
      </c>
      <c r="F52" s="9">
        <v>8783.9062</v>
      </c>
      <c r="G52" s="10">
        <f>F52/DiasAnio</f>
        <v>36.59960917</v>
      </c>
      <c r="H52" s="9">
        <v>731.9922</v>
      </c>
      <c r="I52" s="10">
        <f>H52/DiasMes</f>
        <v>36.59961</v>
      </c>
      <c r="J52" s="12">
        <v>7.0</v>
      </c>
      <c r="K52" s="12">
        <v>7.0</v>
      </c>
      <c r="L52" s="7" t="s">
        <v>236</v>
      </c>
      <c r="M52" s="11">
        <f t="shared" si="1"/>
        <v>256.1972642</v>
      </c>
      <c r="N52" s="11">
        <f t="shared" si="2"/>
        <v>0.000005833333319</v>
      </c>
      <c r="O52" s="11">
        <f t="shared" si="3"/>
        <v>256.19727</v>
      </c>
      <c r="P52" s="7" t="s">
        <v>372</v>
      </c>
      <c r="Q52" s="9">
        <v>20.0</v>
      </c>
      <c r="R52" s="12">
        <v>20.0</v>
      </c>
      <c r="S52" s="15">
        <f t="shared" si="4"/>
        <v>37</v>
      </c>
      <c r="T52" s="11">
        <f t="shared" si="5"/>
        <v>11.87014351</v>
      </c>
      <c r="U52" s="11">
        <f t="shared" si="6"/>
        <v>740.0000058</v>
      </c>
      <c r="V52" s="5" t="s">
        <v>367</v>
      </c>
      <c r="W52" s="9">
        <v>480.0</v>
      </c>
      <c r="X52" s="10">
        <f t="shared" si="7"/>
        <v>1.541666679</v>
      </c>
    </row>
    <row r="53" ht="15.75" customHeight="1">
      <c r="A53" s="7" t="s">
        <v>376</v>
      </c>
      <c r="B53" s="7" t="s">
        <v>377</v>
      </c>
      <c r="C53" s="7" t="s">
        <v>378</v>
      </c>
      <c r="D53" s="7" t="s">
        <v>186</v>
      </c>
      <c r="E53" s="7" t="s">
        <v>379</v>
      </c>
      <c r="F53" s="9">
        <v>32072.6391</v>
      </c>
      <c r="G53" s="10">
        <f>F53/DiasAnio</f>
        <v>133.6359963</v>
      </c>
      <c r="H53" s="9">
        <v>3848.7167</v>
      </c>
      <c r="I53" s="10">
        <f>H53/DiasMes</f>
        <v>192.435835</v>
      </c>
      <c r="J53" s="12">
        <v>20.0</v>
      </c>
      <c r="K53" s="12">
        <v>20.0</v>
      </c>
      <c r="L53" s="7" t="s">
        <v>236</v>
      </c>
      <c r="M53" s="11">
        <f t="shared" si="1"/>
        <v>2672.719925</v>
      </c>
      <c r="N53" s="11">
        <f t="shared" si="2"/>
        <v>1175.996775</v>
      </c>
      <c r="O53" s="11">
        <f t="shared" si="3"/>
        <v>3848.7167</v>
      </c>
      <c r="P53" s="7" t="s">
        <v>382</v>
      </c>
      <c r="Q53" s="9">
        <v>3000.0</v>
      </c>
      <c r="R53" s="12">
        <v>20.0</v>
      </c>
      <c r="S53" s="15">
        <f t="shared" si="4"/>
        <v>2</v>
      </c>
      <c r="T53" s="11">
        <f t="shared" si="5"/>
        <v>5.34543985</v>
      </c>
      <c r="U53" s="11">
        <f t="shared" si="6"/>
        <v>7175.996775</v>
      </c>
      <c r="V53" s="5" t="s">
        <v>212</v>
      </c>
      <c r="W53" s="9">
        <v>3000.0</v>
      </c>
      <c r="X53" s="10">
        <f t="shared" si="7"/>
        <v>2.391998925</v>
      </c>
    </row>
    <row r="54" ht="15.75" customHeight="1">
      <c r="A54" s="7" t="s">
        <v>383</v>
      </c>
      <c r="B54" s="7" t="s">
        <v>384</v>
      </c>
      <c r="C54" s="7" t="s">
        <v>385</v>
      </c>
      <c r="D54" s="7" t="s">
        <v>186</v>
      </c>
      <c r="E54" s="7" t="s">
        <v>379</v>
      </c>
      <c r="F54" s="9">
        <v>41717.7616</v>
      </c>
      <c r="G54" s="10">
        <f>F54/DiasAnio</f>
        <v>173.8240067</v>
      </c>
      <c r="H54" s="9">
        <v>4588.9538</v>
      </c>
      <c r="I54" s="10">
        <f>H54/DiasMes</f>
        <v>229.44769</v>
      </c>
      <c r="J54" s="12">
        <v>20.0</v>
      </c>
      <c r="K54" s="12">
        <v>20.0</v>
      </c>
      <c r="L54" s="7" t="s">
        <v>236</v>
      </c>
      <c r="M54" s="11">
        <f t="shared" si="1"/>
        <v>3476.480133</v>
      </c>
      <c r="N54" s="11">
        <f t="shared" si="2"/>
        <v>1112.473667</v>
      </c>
      <c r="O54" s="11">
        <f t="shared" si="3"/>
        <v>4588.9538</v>
      </c>
      <c r="P54" s="7" t="s">
        <v>386</v>
      </c>
      <c r="Q54" s="9">
        <v>1500.0</v>
      </c>
      <c r="R54" s="12">
        <v>20.0</v>
      </c>
      <c r="S54" s="15">
        <f t="shared" si="4"/>
        <v>4</v>
      </c>
      <c r="T54" s="11">
        <f t="shared" si="5"/>
        <v>6.952960267</v>
      </c>
      <c r="U54" s="11">
        <f t="shared" si="6"/>
        <v>7112.473667</v>
      </c>
      <c r="V54" s="5" t="s">
        <v>212</v>
      </c>
      <c r="W54" s="9">
        <v>1500.0</v>
      </c>
      <c r="X54" s="10">
        <f t="shared" si="7"/>
        <v>4.741649111</v>
      </c>
    </row>
    <row r="55" ht="15.75" customHeight="1">
      <c r="A55" s="7" t="s">
        <v>387</v>
      </c>
      <c r="B55" s="7" t="s">
        <v>388</v>
      </c>
      <c r="C55" s="7" t="s">
        <v>389</v>
      </c>
      <c r="D55" s="7" t="s">
        <v>186</v>
      </c>
      <c r="E55" s="7" t="s">
        <v>379</v>
      </c>
      <c r="F55" s="9">
        <v>453.2705</v>
      </c>
      <c r="G55" s="10">
        <f>F55/DiasAnio</f>
        <v>1.888627083</v>
      </c>
      <c r="H55" s="9">
        <v>40.7943</v>
      </c>
      <c r="I55" s="10">
        <f>H55/DiasMes</f>
        <v>2.039715</v>
      </c>
      <c r="J55" s="12">
        <v>20.0</v>
      </c>
      <c r="K55" s="12">
        <v>20.0</v>
      </c>
      <c r="L55" s="7" t="s">
        <v>189</v>
      </c>
      <c r="M55" s="11">
        <f t="shared" si="1"/>
        <v>37.77254167</v>
      </c>
      <c r="N55" s="11">
        <f t="shared" si="2"/>
        <v>3.021758333</v>
      </c>
      <c r="O55" s="11">
        <f t="shared" si="3"/>
        <v>40.7943</v>
      </c>
      <c r="P55" s="7" t="s">
        <v>390</v>
      </c>
      <c r="Q55" s="9">
        <v>10.0</v>
      </c>
      <c r="R55" s="12">
        <v>20.0</v>
      </c>
      <c r="S55" s="15">
        <f t="shared" si="4"/>
        <v>5</v>
      </c>
      <c r="T55" s="11">
        <f t="shared" si="5"/>
        <v>9.06541</v>
      </c>
      <c r="U55" s="11">
        <f t="shared" si="6"/>
        <v>53.02175833</v>
      </c>
      <c r="V55" s="5" t="s">
        <v>256</v>
      </c>
      <c r="W55" s="9">
        <v>200.0</v>
      </c>
      <c r="X55" s="10">
        <f t="shared" si="7"/>
        <v>0.2651087917</v>
      </c>
    </row>
    <row r="56" ht="15.75" customHeight="1">
      <c r="A56" s="7" t="s">
        <v>391</v>
      </c>
      <c r="B56" s="7" t="s">
        <v>392</v>
      </c>
      <c r="C56" s="7" t="s">
        <v>393</v>
      </c>
      <c r="D56" s="7" t="s">
        <v>186</v>
      </c>
      <c r="E56" s="7" t="s">
        <v>379</v>
      </c>
      <c r="F56" s="9">
        <v>1361.2325</v>
      </c>
      <c r="G56" s="10">
        <f>F56/DiasAnio</f>
        <v>5.671802083</v>
      </c>
      <c r="H56" s="9">
        <v>122.5109</v>
      </c>
      <c r="I56" s="10">
        <f>H56/DiasMes</f>
        <v>6.125545</v>
      </c>
      <c r="J56" s="12">
        <v>20.0</v>
      </c>
      <c r="K56" s="12">
        <v>20.0</v>
      </c>
      <c r="L56" s="7" t="s">
        <v>189</v>
      </c>
      <c r="M56" s="11">
        <f t="shared" si="1"/>
        <v>113.4360417</v>
      </c>
      <c r="N56" s="11">
        <f t="shared" si="2"/>
        <v>9.074858333</v>
      </c>
      <c r="O56" s="11">
        <f t="shared" si="3"/>
        <v>122.5109</v>
      </c>
      <c r="P56" s="7" t="s">
        <v>390</v>
      </c>
      <c r="Q56" s="9">
        <v>10.0</v>
      </c>
      <c r="R56" s="12">
        <v>20.0</v>
      </c>
      <c r="S56" s="15">
        <f t="shared" si="4"/>
        <v>13</v>
      </c>
      <c r="T56" s="11">
        <f t="shared" si="5"/>
        <v>10.47101923</v>
      </c>
      <c r="U56" s="11">
        <f t="shared" si="6"/>
        <v>139.0748583</v>
      </c>
      <c r="V56" s="5" t="s">
        <v>256</v>
      </c>
      <c r="W56" s="9">
        <v>200.0</v>
      </c>
      <c r="X56" s="10">
        <f t="shared" si="7"/>
        <v>0.6953742917</v>
      </c>
    </row>
    <row r="57" ht="15.75" customHeight="1">
      <c r="A57" s="7" t="s">
        <v>394</v>
      </c>
      <c r="B57" s="7" t="s">
        <v>395</v>
      </c>
      <c r="C57" s="7" t="s">
        <v>396</v>
      </c>
      <c r="D57" s="7" t="s">
        <v>186</v>
      </c>
      <c r="E57" s="7" t="s">
        <v>397</v>
      </c>
      <c r="F57" s="9">
        <v>75604.9037</v>
      </c>
      <c r="G57" s="10">
        <f>F57/DiasAnio</f>
        <v>315.0204321</v>
      </c>
      <c r="H57" s="9">
        <v>8600.9757</v>
      </c>
      <c r="I57" s="10">
        <f>H57/DiasMes</f>
        <v>430.048785</v>
      </c>
      <c r="J57" s="12">
        <v>20.0</v>
      </c>
      <c r="K57" s="12">
        <v>20.0</v>
      </c>
      <c r="L57" s="7" t="s">
        <v>189</v>
      </c>
      <c r="M57" s="11">
        <f t="shared" si="1"/>
        <v>6300.408642</v>
      </c>
      <c r="N57" s="11">
        <f t="shared" si="2"/>
        <v>2300.567058</v>
      </c>
      <c r="O57" s="11">
        <f t="shared" si="3"/>
        <v>8600.9757</v>
      </c>
      <c r="P57" s="7" t="s">
        <v>226</v>
      </c>
      <c r="Q57" s="9">
        <v>100.0</v>
      </c>
      <c r="R57" s="12">
        <v>20.0</v>
      </c>
      <c r="S57" s="15">
        <f t="shared" si="4"/>
        <v>87</v>
      </c>
      <c r="T57" s="11">
        <f t="shared" si="5"/>
        <v>8.690218816</v>
      </c>
      <c r="U57" s="11">
        <f t="shared" si="6"/>
        <v>11000.56706</v>
      </c>
      <c r="V57" s="5" t="s">
        <v>212</v>
      </c>
      <c r="W57" s="9">
        <v>3000.0</v>
      </c>
      <c r="X57" s="10">
        <f t="shared" si="7"/>
        <v>3.666855686</v>
      </c>
    </row>
    <row r="58" ht="15.75" customHeight="1">
      <c r="A58" s="7" t="s">
        <v>398</v>
      </c>
      <c r="B58" s="7" t="s">
        <v>399</v>
      </c>
      <c r="C58" s="7" t="s">
        <v>400</v>
      </c>
      <c r="D58" s="7" t="s">
        <v>186</v>
      </c>
      <c r="E58" s="7" t="s">
        <v>397</v>
      </c>
      <c r="F58" s="9">
        <v>32072.6391</v>
      </c>
      <c r="G58" s="10">
        <f>F58/DiasAnio</f>
        <v>133.6359963</v>
      </c>
      <c r="H58" s="9">
        <v>3848.7167</v>
      </c>
      <c r="I58" s="10">
        <f>H58/DiasMes</f>
        <v>192.435835</v>
      </c>
      <c r="J58" s="12">
        <v>15.0</v>
      </c>
      <c r="K58" s="12">
        <v>15.0</v>
      </c>
      <c r="L58" s="7" t="s">
        <v>236</v>
      </c>
      <c r="M58" s="11">
        <f t="shared" si="1"/>
        <v>2004.539944</v>
      </c>
      <c r="N58" s="11">
        <f t="shared" si="2"/>
        <v>881.9975813</v>
      </c>
      <c r="O58" s="11">
        <f t="shared" si="3"/>
        <v>2886.537525</v>
      </c>
      <c r="P58" s="7" t="s">
        <v>401</v>
      </c>
      <c r="Q58" s="9">
        <v>50.0</v>
      </c>
      <c r="R58" s="12">
        <v>20.0</v>
      </c>
      <c r="S58" s="15">
        <f t="shared" si="4"/>
        <v>77</v>
      </c>
      <c r="T58" s="11">
        <f t="shared" si="5"/>
        <v>8.33055561</v>
      </c>
      <c r="U58" s="11">
        <f t="shared" si="6"/>
        <v>4731.997581</v>
      </c>
      <c r="V58" s="5" t="s">
        <v>212</v>
      </c>
      <c r="W58" s="9">
        <v>1500.0</v>
      </c>
      <c r="X58" s="10">
        <f t="shared" si="7"/>
        <v>3.154665054</v>
      </c>
    </row>
    <row r="59" ht="15.75" customHeight="1">
      <c r="A59" s="7" t="s">
        <v>402</v>
      </c>
      <c r="B59" s="7" t="s">
        <v>403</v>
      </c>
      <c r="C59" s="7" t="s">
        <v>404</v>
      </c>
      <c r="D59" s="7" t="s">
        <v>186</v>
      </c>
      <c r="E59" s="7" t="s">
        <v>397</v>
      </c>
      <c r="F59" s="9">
        <v>7424.8584</v>
      </c>
      <c r="G59" s="10">
        <f>F59/DiasAnio</f>
        <v>30.93691</v>
      </c>
      <c r="H59" s="9">
        <v>816.7344</v>
      </c>
      <c r="I59" s="10">
        <f>H59/DiasMes</f>
        <v>40.83672</v>
      </c>
      <c r="J59" s="12">
        <v>15.0</v>
      </c>
      <c r="K59" s="12">
        <v>15.0</v>
      </c>
      <c r="L59" s="7" t="s">
        <v>236</v>
      </c>
      <c r="M59" s="11">
        <f t="shared" si="1"/>
        <v>464.05365</v>
      </c>
      <c r="N59" s="11">
        <f t="shared" si="2"/>
        <v>148.49715</v>
      </c>
      <c r="O59" s="11">
        <f t="shared" si="3"/>
        <v>612.5508</v>
      </c>
      <c r="P59" s="7" t="s">
        <v>401</v>
      </c>
      <c r="Q59" s="9">
        <v>50.0</v>
      </c>
      <c r="R59" s="12">
        <v>20.0</v>
      </c>
      <c r="S59" s="15">
        <f t="shared" si="4"/>
        <v>17</v>
      </c>
      <c r="T59" s="11">
        <f t="shared" si="5"/>
        <v>8.735127529</v>
      </c>
      <c r="U59" s="11">
        <f t="shared" si="6"/>
        <v>998.49715</v>
      </c>
      <c r="V59" s="5" t="s">
        <v>212</v>
      </c>
      <c r="W59" s="9">
        <v>1500.0</v>
      </c>
      <c r="X59" s="10">
        <f t="shared" si="7"/>
        <v>0.6656647667</v>
      </c>
    </row>
    <row r="60" ht="15.75" customHeight="1">
      <c r="A60" s="7" t="s">
        <v>405</v>
      </c>
      <c r="B60" s="7" t="s">
        <v>406</v>
      </c>
      <c r="C60" s="7" t="s">
        <v>407</v>
      </c>
      <c r="D60" s="7" t="s">
        <v>186</v>
      </c>
      <c r="E60" s="7" t="s">
        <v>397</v>
      </c>
      <c r="F60" s="9">
        <v>32449.6412</v>
      </c>
      <c r="G60" s="10">
        <f>F60/DiasAnio</f>
        <v>135.2068383</v>
      </c>
      <c r="H60" s="9">
        <v>3569.4605</v>
      </c>
      <c r="I60" s="10">
        <f>H60/DiasMes</f>
        <v>178.473025</v>
      </c>
      <c r="J60" s="12">
        <v>15.0</v>
      </c>
      <c r="K60" s="12">
        <v>15.0</v>
      </c>
      <c r="L60" s="7" t="s">
        <v>236</v>
      </c>
      <c r="M60" s="11">
        <f t="shared" si="1"/>
        <v>2028.102575</v>
      </c>
      <c r="N60" s="11">
        <f t="shared" si="2"/>
        <v>648.9928</v>
      </c>
      <c r="O60" s="11">
        <f t="shared" si="3"/>
        <v>2677.095375</v>
      </c>
      <c r="P60" s="7" t="s">
        <v>401</v>
      </c>
      <c r="Q60" s="9">
        <v>50.0</v>
      </c>
      <c r="R60" s="12">
        <v>20.0</v>
      </c>
      <c r="S60" s="15">
        <f t="shared" si="4"/>
        <v>72</v>
      </c>
      <c r="T60" s="11">
        <f t="shared" si="5"/>
        <v>9.013789222</v>
      </c>
      <c r="U60" s="11">
        <f t="shared" si="6"/>
        <v>4248.9928</v>
      </c>
      <c r="V60" s="5" t="s">
        <v>212</v>
      </c>
      <c r="W60" s="9">
        <v>1500.0</v>
      </c>
      <c r="X60" s="10">
        <f t="shared" si="7"/>
        <v>2.832661867</v>
      </c>
    </row>
    <row r="61" ht="15.75" customHeight="1">
      <c r="A61" s="7" t="s">
        <v>408</v>
      </c>
      <c r="B61" s="7" t="s">
        <v>409</v>
      </c>
      <c r="C61" s="7" t="s">
        <v>410</v>
      </c>
      <c r="D61" s="7" t="s">
        <v>186</v>
      </c>
      <c r="E61" s="7" t="s">
        <v>397</v>
      </c>
      <c r="F61" s="9">
        <v>1843.2619</v>
      </c>
      <c r="G61" s="10">
        <f>F61/DiasAnio</f>
        <v>7.680257917</v>
      </c>
      <c r="H61" s="9">
        <v>202.7588</v>
      </c>
      <c r="I61" s="10">
        <f>H61/DiasMes</f>
        <v>10.13794</v>
      </c>
      <c r="J61" s="12">
        <v>15.0</v>
      </c>
      <c r="K61" s="12">
        <v>15.0</v>
      </c>
      <c r="L61" s="7" t="s">
        <v>236</v>
      </c>
      <c r="M61" s="11">
        <f t="shared" si="1"/>
        <v>115.2038688</v>
      </c>
      <c r="N61" s="11">
        <f t="shared" si="2"/>
        <v>36.86523125</v>
      </c>
      <c r="O61" s="11">
        <f t="shared" si="3"/>
        <v>152.0691</v>
      </c>
      <c r="P61" s="7" t="s">
        <v>401</v>
      </c>
      <c r="Q61" s="9">
        <v>50.0</v>
      </c>
      <c r="R61" s="12">
        <v>20.0</v>
      </c>
      <c r="S61" s="15">
        <f t="shared" si="4"/>
        <v>5</v>
      </c>
      <c r="T61" s="11">
        <f t="shared" si="5"/>
        <v>7.3730476</v>
      </c>
      <c r="U61" s="11">
        <f t="shared" si="6"/>
        <v>286.8652313</v>
      </c>
      <c r="V61" s="5" t="s">
        <v>212</v>
      </c>
      <c r="W61" s="9">
        <v>1500.0</v>
      </c>
      <c r="X61" s="10">
        <f t="shared" si="7"/>
        <v>0.1912434875</v>
      </c>
    </row>
    <row r="62" ht="15.75" customHeight="1">
      <c r="A62" s="7" t="s">
        <v>411</v>
      </c>
      <c r="B62" s="7" t="s">
        <v>412</v>
      </c>
      <c r="C62" s="7" t="s">
        <v>413</v>
      </c>
      <c r="D62" s="7" t="s">
        <v>186</v>
      </c>
      <c r="E62" s="7" t="s">
        <v>397</v>
      </c>
      <c r="F62" s="9">
        <v>453.2705</v>
      </c>
      <c r="G62" s="10">
        <f>F62/DiasAnio</f>
        <v>1.888627083</v>
      </c>
      <c r="H62" s="9">
        <v>40.7943</v>
      </c>
      <c r="I62" s="10">
        <f>H62/DiasMes</f>
        <v>2.039715</v>
      </c>
      <c r="J62" s="12">
        <v>15.0</v>
      </c>
      <c r="K62" s="12">
        <v>15.0</v>
      </c>
      <c r="L62" s="7" t="s">
        <v>189</v>
      </c>
      <c r="M62" s="11">
        <f t="shared" si="1"/>
        <v>28.32940625</v>
      </c>
      <c r="N62" s="11">
        <f t="shared" si="2"/>
        <v>2.26631875</v>
      </c>
      <c r="O62" s="11">
        <f t="shared" si="3"/>
        <v>30.595725</v>
      </c>
      <c r="P62" s="7" t="s">
        <v>390</v>
      </c>
      <c r="Q62" s="9">
        <v>10.0</v>
      </c>
      <c r="R62" s="12">
        <v>20.0</v>
      </c>
      <c r="S62" s="15">
        <f t="shared" si="4"/>
        <v>5</v>
      </c>
      <c r="T62" s="11">
        <f t="shared" si="5"/>
        <v>9.06541</v>
      </c>
      <c r="U62" s="11">
        <f t="shared" si="6"/>
        <v>52.26631875</v>
      </c>
      <c r="V62" s="5" t="s">
        <v>256</v>
      </c>
      <c r="W62" s="9">
        <v>120.0</v>
      </c>
      <c r="X62" s="10">
        <f t="shared" si="7"/>
        <v>0.4355526563</v>
      </c>
    </row>
    <row r="63" ht="15.75" customHeight="1">
      <c r="A63" s="7" t="s">
        <v>414</v>
      </c>
      <c r="B63" s="7" t="s">
        <v>415</v>
      </c>
      <c r="C63" s="7" t="s">
        <v>416</v>
      </c>
      <c r="D63" s="7" t="s">
        <v>186</v>
      </c>
      <c r="E63" s="7" t="s">
        <v>397</v>
      </c>
      <c r="F63" s="9">
        <v>998.462</v>
      </c>
      <c r="G63" s="10">
        <f>F63/DiasAnio</f>
        <v>4.160258333</v>
      </c>
      <c r="H63" s="9">
        <v>89.8616</v>
      </c>
      <c r="I63" s="10">
        <f>H63/DiasMes</f>
        <v>4.49308</v>
      </c>
      <c r="J63" s="12">
        <v>15.0</v>
      </c>
      <c r="K63" s="12">
        <v>15.0</v>
      </c>
      <c r="L63" s="7" t="s">
        <v>189</v>
      </c>
      <c r="M63" s="11">
        <f t="shared" si="1"/>
        <v>62.403875</v>
      </c>
      <c r="N63" s="11">
        <f t="shared" si="2"/>
        <v>4.992325</v>
      </c>
      <c r="O63" s="11">
        <f t="shared" si="3"/>
        <v>67.3962</v>
      </c>
      <c r="P63" s="7" t="s">
        <v>390</v>
      </c>
      <c r="Q63" s="9">
        <v>10.0</v>
      </c>
      <c r="R63" s="12">
        <v>20.0</v>
      </c>
      <c r="S63" s="15">
        <f t="shared" si="4"/>
        <v>9</v>
      </c>
      <c r="T63" s="11">
        <f t="shared" si="5"/>
        <v>11.09402222</v>
      </c>
      <c r="U63" s="11">
        <f t="shared" si="6"/>
        <v>94.992325</v>
      </c>
      <c r="V63" s="5" t="s">
        <v>256</v>
      </c>
      <c r="W63" s="9">
        <v>120.0</v>
      </c>
      <c r="X63" s="10">
        <f t="shared" si="7"/>
        <v>0.7916027083</v>
      </c>
    </row>
    <row r="64" ht="15.75" customHeight="1">
      <c r="A64" s="7" t="s">
        <v>417</v>
      </c>
      <c r="B64" s="7" t="s">
        <v>418</v>
      </c>
      <c r="C64" s="7" t="s">
        <v>419</v>
      </c>
      <c r="D64" s="7" t="s">
        <v>186</v>
      </c>
      <c r="E64" s="7" t="s">
        <v>397</v>
      </c>
      <c r="F64" s="9">
        <v>217.5699</v>
      </c>
      <c r="G64" s="10">
        <f>F64/DiasAnio</f>
        <v>0.90654125</v>
      </c>
      <c r="H64" s="9">
        <v>19.5813</v>
      </c>
      <c r="I64" s="10">
        <f>H64/DiasMes</f>
        <v>0.979065</v>
      </c>
      <c r="J64" s="12">
        <v>15.0</v>
      </c>
      <c r="K64" s="12">
        <v>15.0</v>
      </c>
      <c r="L64" s="7" t="s">
        <v>189</v>
      </c>
      <c r="M64" s="11">
        <f t="shared" si="1"/>
        <v>13.59811875</v>
      </c>
      <c r="N64" s="11">
        <f t="shared" si="2"/>
        <v>1.08785625</v>
      </c>
      <c r="O64" s="11">
        <f t="shared" si="3"/>
        <v>14.685975</v>
      </c>
      <c r="P64" s="7" t="s">
        <v>390</v>
      </c>
      <c r="Q64" s="9">
        <v>10.0</v>
      </c>
      <c r="R64" s="12">
        <v>20.0</v>
      </c>
      <c r="S64" s="15">
        <f t="shared" si="4"/>
        <v>2</v>
      </c>
      <c r="T64" s="11">
        <f t="shared" si="5"/>
        <v>10.878495</v>
      </c>
      <c r="U64" s="11">
        <f t="shared" si="6"/>
        <v>21.08785625</v>
      </c>
      <c r="V64" s="5" t="s">
        <v>256</v>
      </c>
      <c r="W64" s="9">
        <v>120.0</v>
      </c>
      <c r="X64" s="10">
        <f t="shared" si="7"/>
        <v>0.1757321354</v>
      </c>
    </row>
    <row r="65" ht="15.75" customHeight="1">
      <c r="A65" s="7" t="s">
        <v>421</v>
      </c>
      <c r="B65" s="7" t="s">
        <v>422</v>
      </c>
      <c r="C65" s="7" t="s">
        <v>423</v>
      </c>
      <c r="D65" s="7" t="s">
        <v>186</v>
      </c>
      <c r="E65" s="7" t="s">
        <v>397</v>
      </c>
      <c r="F65" s="9">
        <v>145.2006</v>
      </c>
      <c r="G65" s="10">
        <f>F65/DiasAnio</f>
        <v>0.6050025</v>
      </c>
      <c r="H65" s="9">
        <v>13.0681</v>
      </c>
      <c r="I65" s="10">
        <f>H65/DiasMes</f>
        <v>0.653405</v>
      </c>
      <c r="J65" s="12">
        <v>15.0</v>
      </c>
      <c r="K65" s="12">
        <v>15.0</v>
      </c>
      <c r="L65" s="7" t="s">
        <v>189</v>
      </c>
      <c r="M65" s="11">
        <f t="shared" si="1"/>
        <v>9.0750375</v>
      </c>
      <c r="N65" s="11">
        <f t="shared" si="2"/>
        <v>0.7260375</v>
      </c>
      <c r="O65" s="11">
        <f t="shared" si="3"/>
        <v>9.801075</v>
      </c>
      <c r="P65" s="7" t="s">
        <v>390</v>
      </c>
      <c r="Q65" s="9">
        <v>10.0</v>
      </c>
      <c r="R65" s="12">
        <v>20.0</v>
      </c>
      <c r="S65" s="15">
        <f t="shared" si="4"/>
        <v>2</v>
      </c>
      <c r="T65" s="11">
        <f t="shared" si="5"/>
        <v>7.26003</v>
      </c>
      <c r="U65" s="11">
        <f t="shared" si="6"/>
        <v>20.7260375</v>
      </c>
      <c r="V65" s="5" t="s">
        <v>256</v>
      </c>
      <c r="W65" s="9">
        <v>120.0</v>
      </c>
      <c r="X65" s="10">
        <f t="shared" si="7"/>
        <v>0.1727169792</v>
      </c>
    </row>
    <row r="66" ht="15.75" customHeight="1">
      <c r="A66" s="7" t="s">
        <v>426</v>
      </c>
      <c r="B66" s="7" t="s">
        <v>427</v>
      </c>
      <c r="C66" s="7" t="s">
        <v>428</v>
      </c>
      <c r="D66" s="7" t="s">
        <v>186</v>
      </c>
      <c r="E66" s="7" t="s">
        <v>429</v>
      </c>
      <c r="F66" s="9">
        <v>32072.6391</v>
      </c>
      <c r="G66" s="10">
        <f>F66/DiasAnio</f>
        <v>133.6359963</v>
      </c>
      <c r="H66" s="9">
        <v>3848.7167</v>
      </c>
      <c r="I66" s="10">
        <f>H66/DiasMes</f>
        <v>192.435835</v>
      </c>
      <c r="J66" s="12">
        <v>10.0</v>
      </c>
      <c r="K66" s="12">
        <v>10.0</v>
      </c>
      <c r="L66" s="7" t="s">
        <v>236</v>
      </c>
      <c r="M66" s="11">
        <f t="shared" si="1"/>
        <v>1336.359963</v>
      </c>
      <c r="N66" s="11">
        <f t="shared" si="2"/>
        <v>587.9983875</v>
      </c>
      <c r="O66" s="11">
        <f t="shared" si="3"/>
        <v>1924.35835</v>
      </c>
      <c r="P66" s="7" t="s">
        <v>255</v>
      </c>
      <c r="Q66" s="9">
        <v>1000.0</v>
      </c>
      <c r="R66" s="12">
        <v>20.0</v>
      </c>
      <c r="S66" s="15">
        <f t="shared" si="4"/>
        <v>4</v>
      </c>
      <c r="T66" s="11">
        <f t="shared" si="5"/>
        <v>8.018159775</v>
      </c>
      <c r="U66" s="11">
        <f t="shared" si="6"/>
        <v>4587.998388</v>
      </c>
      <c r="V66" s="5" t="s">
        <v>212</v>
      </c>
      <c r="W66" s="9">
        <v>20000.0</v>
      </c>
      <c r="X66" s="10">
        <f t="shared" si="7"/>
        <v>0.2293999194</v>
      </c>
    </row>
    <row r="67" ht="15.75" customHeight="1">
      <c r="A67" s="7" t="s">
        <v>430</v>
      </c>
      <c r="B67" s="7" t="s">
        <v>431</v>
      </c>
      <c r="C67" s="7" t="s">
        <v>432</v>
      </c>
      <c r="D67" s="7" t="s">
        <v>186</v>
      </c>
      <c r="E67" s="7" t="s">
        <v>429</v>
      </c>
      <c r="F67" s="9">
        <v>43169.4941</v>
      </c>
      <c r="G67" s="10">
        <f>F67/DiasAnio</f>
        <v>179.8728921</v>
      </c>
      <c r="H67" s="9">
        <v>4719.6097</v>
      </c>
      <c r="I67" s="10">
        <f>H67/DiasMes</f>
        <v>235.980485</v>
      </c>
      <c r="J67" s="12">
        <v>10.0</v>
      </c>
      <c r="K67" s="12">
        <v>10.0</v>
      </c>
      <c r="L67" s="7" t="s">
        <v>236</v>
      </c>
      <c r="M67" s="11">
        <f t="shared" si="1"/>
        <v>1798.728921</v>
      </c>
      <c r="N67" s="11">
        <f t="shared" si="2"/>
        <v>561.0759292</v>
      </c>
      <c r="O67" s="11">
        <f t="shared" si="3"/>
        <v>2359.80485</v>
      </c>
      <c r="P67" s="7" t="s">
        <v>255</v>
      </c>
      <c r="Q67" s="9">
        <v>1000.0</v>
      </c>
      <c r="R67" s="12">
        <v>20.0</v>
      </c>
      <c r="S67" s="15">
        <f t="shared" si="4"/>
        <v>5</v>
      </c>
      <c r="T67" s="11">
        <f t="shared" si="5"/>
        <v>8.63389882</v>
      </c>
      <c r="U67" s="11">
        <f t="shared" si="6"/>
        <v>5561.075929</v>
      </c>
      <c r="V67" s="5" t="s">
        <v>212</v>
      </c>
      <c r="W67" s="9">
        <v>20000.0</v>
      </c>
      <c r="X67" s="10">
        <f t="shared" si="7"/>
        <v>0.2780537965</v>
      </c>
    </row>
    <row r="68" ht="15.75" customHeight="1">
      <c r="A68" s="7" t="s">
        <v>433</v>
      </c>
      <c r="B68" s="7" t="s">
        <v>434</v>
      </c>
      <c r="C68" s="7" t="s">
        <v>435</v>
      </c>
      <c r="D68" s="7" t="s">
        <v>186</v>
      </c>
      <c r="E68" s="7" t="s">
        <v>429</v>
      </c>
      <c r="F68" s="9">
        <v>362.7705</v>
      </c>
      <c r="G68" s="10">
        <f>F68/DiasAnio</f>
        <v>1.51154375</v>
      </c>
      <c r="H68" s="9">
        <v>32.6493</v>
      </c>
      <c r="I68" s="10">
        <f>H68/DiasMes</f>
        <v>1.632465</v>
      </c>
      <c r="J68" s="12">
        <v>10.0</v>
      </c>
      <c r="K68" s="12">
        <v>10.0</v>
      </c>
      <c r="L68" s="7" t="s">
        <v>236</v>
      </c>
      <c r="M68" s="11">
        <f t="shared" si="1"/>
        <v>15.1154375</v>
      </c>
      <c r="N68" s="11">
        <f t="shared" si="2"/>
        <v>1.2092125</v>
      </c>
      <c r="O68" s="11">
        <f t="shared" si="3"/>
        <v>16.32465</v>
      </c>
      <c r="P68" s="7" t="s">
        <v>255</v>
      </c>
      <c r="Q68" s="9">
        <v>1000.0</v>
      </c>
      <c r="R68" s="12">
        <v>20.0</v>
      </c>
      <c r="S68" s="15">
        <f t="shared" si="4"/>
        <v>1</v>
      </c>
      <c r="T68" s="11">
        <f t="shared" si="5"/>
        <v>0.3627705</v>
      </c>
      <c r="U68" s="11">
        <f t="shared" si="6"/>
        <v>1001.209213</v>
      </c>
      <c r="V68" s="5" t="s">
        <v>256</v>
      </c>
      <c r="W68" s="9">
        <v>20000.0</v>
      </c>
      <c r="X68" s="10">
        <f t="shared" si="7"/>
        <v>0.05006046063</v>
      </c>
    </row>
    <row r="69" ht="15.75" customHeight="1">
      <c r="A69" s="7" t="s">
        <v>437</v>
      </c>
      <c r="B69" s="7" t="s">
        <v>438</v>
      </c>
      <c r="C69" s="7" t="s">
        <v>439</v>
      </c>
      <c r="D69" s="7" t="s">
        <v>186</v>
      </c>
      <c r="E69" s="7" t="s">
        <v>440</v>
      </c>
      <c r="F69" s="9">
        <v>121565.6874</v>
      </c>
      <c r="G69" s="10">
        <f>F69/DiasAnio</f>
        <v>506.5236975</v>
      </c>
      <c r="H69" s="9">
        <v>10130.4739</v>
      </c>
      <c r="I69" s="10">
        <f>H69/DiasMes</f>
        <v>506.523695</v>
      </c>
      <c r="J69" s="12">
        <v>10.0</v>
      </c>
      <c r="K69" s="12">
        <v>10.0</v>
      </c>
      <c r="L69" s="7" t="s">
        <v>236</v>
      </c>
      <c r="M69" s="11">
        <f t="shared" si="1"/>
        <v>5065.236975</v>
      </c>
      <c r="N69" s="11">
        <f t="shared" si="2"/>
        <v>0</v>
      </c>
      <c r="O69" s="11">
        <f t="shared" si="3"/>
        <v>5065.236975</v>
      </c>
      <c r="P69" s="7" t="s">
        <v>255</v>
      </c>
      <c r="Q69" s="9">
        <v>1000.0</v>
      </c>
      <c r="R69" s="12">
        <v>20.0</v>
      </c>
      <c r="S69" s="15">
        <f t="shared" si="4"/>
        <v>11</v>
      </c>
      <c r="T69" s="11">
        <f t="shared" si="5"/>
        <v>11.05142613</v>
      </c>
      <c r="U69" s="11">
        <f t="shared" si="6"/>
        <v>11000</v>
      </c>
      <c r="V69" s="5" t="s">
        <v>367</v>
      </c>
      <c r="W69" s="9">
        <v>20000.0</v>
      </c>
      <c r="X69" s="10">
        <f t="shared" si="7"/>
        <v>0.55</v>
      </c>
    </row>
    <row r="70" ht="15.75" customHeight="1">
      <c r="A70" s="7" t="s">
        <v>441</v>
      </c>
      <c r="B70" s="7" t="s">
        <v>442</v>
      </c>
      <c r="C70" s="7" t="s">
        <v>443</v>
      </c>
      <c r="D70" s="7" t="s">
        <v>186</v>
      </c>
      <c r="E70" s="7" t="s">
        <v>444</v>
      </c>
      <c r="F70" s="9">
        <v>7424.8584</v>
      </c>
      <c r="G70" s="10">
        <f>F70/DiasAnio</f>
        <v>30.93691</v>
      </c>
      <c r="H70" s="9">
        <v>816.7344</v>
      </c>
      <c r="I70" s="10">
        <f>H70/DiasMes</f>
        <v>40.83672</v>
      </c>
      <c r="J70" s="12">
        <v>15.0</v>
      </c>
      <c r="K70" s="12">
        <v>15.0</v>
      </c>
      <c r="L70" s="7" t="s">
        <v>236</v>
      </c>
      <c r="M70" s="11">
        <f t="shared" si="1"/>
        <v>464.05365</v>
      </c>
      <c r="N70" s="11">
        <f t="shared" si="2"/>
        <v>148.49715</v>
      </c>
      <c r="O70" s="11">
        <f t="shared" si="3"/>
        <v>612.5508</v>
      </c>
      <c r="P70" s="7" t="s">
        <v>226</v>
      </c>
      <c r="Q70" s="9">
        <v>100.0</v>
      </c>
      <c r="R70" s="12">
        <v>20.0</v>
      </c>
      <c r="S70" s="15">
        <f t="shared" si="4"/>
        <v>9</v>
      </c>
      <c r="T70" s="11">
        <f t="shared" si="5"/>
        <v>8.249842667</v>
      </c>
      <c r="U70" s="11">
        <f t="shared" si="6"/>
        <v>1048.49715</v>
      </c>
      <c r="V70" s="5" t="s">
        <v>212</v>
      </c>
      <c r="W70" s="9">
        <v>3000.0</v>
      </c>
      <c r="X70" s="10">
        <f t="shared" si="7"/>
        <v>0.34949905</v>
      </c>
    </row>
    <row r="71" ht="15.75" customHeight="1">
      <c r="A71" s="7" t="s">
        <v>447</v>
      </c>
      <c r="B71" s="7" t="s">
        <v>448</v>
      </c>
      <c r="C71" s="7" t="s">
        <v>449</v>
      </c>
      <c r="D71" s="7" t="s">
        <v>186</v>
      </c>
      <c r="E71" s="7" t="s">
        <v>444</v>
      </c>
      <c r="F71" s="9">
        <v>32449.6412</v>
      </c>
      <c r="G71" s="10">
        <f>F71/DiasAnio</f>
        <v>135.2068383</v>
      </c>
      <c r="H71" s="9">
        <v>3569.4605</v>
      </c>
      <c r="I71" s="10">
        <f>H71/DiasMes</f>
        <v>178.473025</v>
      </c>
      <c r="J71" s="12">
        <v>15.0</v>
      </c>
      <c r="K71" s="12">
        <v>15.0</v>
      </c>
      <c r="L71" s="7" t="s">
        <v>236</v>
      </c>
      <c r="M71" s="11">
        <f t="shared" si="1"/>
        <v>2028.102575</v>
      </c>
      <c r="N71" s="11">
        <f t="shared" si="2"/>
        <v>648.9928</v>
      </c>
      <c r="O71" s="11">
        <f t="shared" si="3"/>
        <v>2677.095375</v>
      </c>
      <c r="P71" s="7" t="s">
        <v>226</v>
      </c>
      <c r="Q71" s="9">
        <v>100.0</v>
      </c>
      <c r="R71" s="12">
        <v>20.0</v>
      </c>
      <c r="S71" s="15">
        <f t="shared" si="4"/>
        <v>36</v>
      </c>
      <c r="T71" s="11">
        <f t="shared" si="5"/>
        <v>9.013789222</v>
      </c>
      <c r="U71" s="11">
        <f t="shared" si="6"/>
        <v>4248.9928</v>
      </c>
      <c r="V71" s="5" t="s">
        <v>212</v>
      </c>
      <c r="W71" s="9">
        <v>3000.0</v>
      </c>
      <c r="X71" s="10">
        <f t="shared" si="7"/>
        <v>1.416330933</v>
      </c>
    </row>
    <row r="72" ht="15.75" customHeight="1">
      <c r="A72" s="7" t="s">
        <v>451</v>
      </c>
      <c r="B72" s="7" t="s">
        <v>452</v>
      </c>
      <c r="C72" s="7" t="s">
        <v>453</v>
      </c>
      <c r="D72" s="7" t="s">
        <v>186</v>
      </c>
      <c r="E72" s="7" t="s">
        <v>444</v>
      </c>
      <c r="F72" s="9">
        <v>1843.2619</v>
      </c>
      <c r="G72" s="10">
        <f>F72/DiasAnio</f>
        <v>7.680257917</v>
      </c>
      <c r="H72" s="9">
        <v>202.7588</v>
      </c>
      <c r="I72" s="10">
        <f>H72/DiasMes</f>
        <v>10.13794</v>
      </c>
      <c r="J72" s="12">
        <v>15.0</v>
      </c>
      <c r="K72" s="12">
        <v>15.0</v>
      </c>
      <c r="L72" s="7" t="s">
        <v>236</v>
      </c>
      <c r="M72" s="11">
        <f t="shared" si="1"/>
        <v>115.2038688</v>
      </c>
      <c r="N72" s="11">
        <f t="shared" si="2"/>
        <v>36.86523125</v>
      </c>
      <c r="O72" s="11">
        <f t="shared" si="3"/>
        <v>152.0691</v>
      </c>
      <c r="P72" s="7" t="s">
        <v>226</v>
      </c>
      <c r="Q72" s="9">
        <v>100.0</v>
      </c>
      <c r="R72" s="12">
        <v>20.0</v>
      </c>
      <c r="S72" s="15">
        <f t="shared" si="4"/>
        <v>3</v>
      </c>
      <c r="T72" s="11">
        <f t="shared" si="5"/>
        <v>6.144206333</v>
      </c>
      <c r="U72" s="11">
        <f t="shared" si="6"/>
        <v>336.8652313</v>
      </c>
      <c r="V72" s="5" t="s">
        <v>212</v>
      </c>
      <c r="W72" s="9">
        <v>3000.0</v>
      </c>
      <c r="X72" s="10">
        <f t="shared" si="7"/>
        <v>0.1122884104</v>
      </c>
    </row>
    <row r="73" ht="15.75" customHeight="1">
      <c r="A73" s="7" t="s">
        <v>454</v>
      </c>
      <c r="B73" s="7" t="s">
        <v>455</v>
      </c>
      <c r="C73" s="7" t="s">
        <v>456</v>
      </c>
      <c r="D73" s="7" t="s">
        <v>186</v>
      </c>
      <c r="E73" s="7" t="s">
        <v>444</v>
      </c>
      <c r="F73" s="9">
        <v>32072.6391</v>
      </c>
      <c r="G73" s="10">
        <f>F73/DiasAnio</f>
        <v>133.6359963</v>
      </c>
      <c r="H73" s="9">
        <v>3848.7167</v>
      </c>
      <c r="I73" s="10">
        <f>H73/DiasMes</f>
        <v>192.435835</v>
      </c>
      <c r="J73" s="12">
        <v>15.0</v>
      </c>
      <c r="K73" s="12">
        <v>15.0</v>
      </c>
      <c r="L73" s="7" t="s">
        <v>236</v>
      </c>
      <c r="M73" s="11">
        <f t="shared" si="1"/>
        <v>2004.539944</v>
      </c>
      <c r="N73" s="11">
        <f t="shared" si="2"/>
        <v>881.9975813</v>
      </c>
      <c r="O73" s="11">
        <f t="shared" si="3"/>
        <v>2886.537525</v>
      </c>
      <c r="P73" s="7" t="s">
        <v>226</v>
      </c>
      <c r="Q73" s="9">
        <v>100.0</v>
      </c>
      <c r="R73" s="12">
        <v>20.0</v>
      </c>
      <c r="S73" s="15">
        <f t="shared" si="4"/>
        <v>39</v>
      </c>
      <c r="T73" s="11">
        <f t="shared" si="5"/>
        <v>8.223753615</v>
      </c>
      <c r="U73" s="11">
        <f t="shared" si="6"/>
        <v>4781.997581</v>
      </c>
      <c r="V73" s="5" t="s">
        <v>212</v>
      </c>
      <c r="W73" s="9">
        <v>3000.0</v>
      </c>
      <c r="X73" s="10">
        <f t="shared" si="7"/>
        <v>1.593999194</v>
      </c>
    </row>
    <row r="74" ht="15.75" customHeight="1">
      <c r="A74" s="7" t="s">
        <v>457</v>
      </c>
      <c r="B74" s="7" t="s">
        <v>458</v>
      </c>
      <c r="C74" s="7" t="s">
        <v>459</v>
      </c>
      <c r="D74" s="7" t="s">
        <v>186</v>
      </c>
      <c r="E74" s="7" t="s">
        <v>312</v>
      </c>
      <c r="F74" s="9">
        <v>83435.5231</v>
      </c>
      <c r="G74" s="10">
        <f>F74/DiasAnio</f>
        <v>347.6480129</v>
      </c>
      <c r="H74" s="9">
        <v>9177.9075</v>
      </c>
      <c r="I74" s="10">
        <f>H74/DiasMes</f>
        <v>458.895375</v>
      </c>
      <c r="J74" s="12">
        <v>10.0</v>
      </c>
      <c r="K74" s="12">
        <v>10.0</v>
      </c>
      <c r="L74" s="7" t="s">
        <v>236</v>
      </c>
      <c r="M74" s="11">
        <f t="shared" si="1"/>
        <v>3476.480129</v>
      </c>
      <c r="N74" s="11">
        <f t="shared" si="2"/>
        <v>1112.473621</v>
      </c>
      <c r="O74" s="11">
        <f t="shared" si="3"/>
        <v>4588.95375</v>
      </c>
      <c r="P74" s="7" t="s">
        <v>255</v>
      </c>
      <c r="Q74" s="9">
        <v>1000.0</v>
      </c>
      <c r="R74" s="12">
        <v>20.0</v>
      </c>
      <c r="S74" s="15">
        <f t="shared" si="4"/>
        <v>10</v>
      </c>
      <c r="T74" s="11">
        <f t="shared" si="5"/>
        <v>8.34355231</v>
      </c>
      <c r="U74" s="11">
        <f t="shared" si="6"/>
        <v>11112.47362</v>
      </c>
      <c r="V74" s="5" t="s">
        <v>212</v>
      </c>
      <c r="W74" s="9">
        <v>20000.0</v>
      </c>
      <c r="X74" s="10">
        <f t="shared" si="7"/>
        <v>0.555623681</v>
      </c>
    </row>
    <row r="75" ht="15.75" customHeight="1">
      <c r="A75" s="7" t="s">
        <v>462</v>
      </c>
      <c r="B75" s="7" t="s">
        <v>463</v>
      </c>
      <c r="C75" s="7" t="s">
        <v>465</v>
      </c>
      <c r="D75" s="7" t="s">
        <v>186</v>
      </c>
      <c r="E75" s="7" t="s">
        <v>466</v>
      </c>
      <c r="F75" s="9">
        <v>3695.0759</v>
      </c>
      <c r="G75" s="10">
        <f>F75/DiasAnio</f>
        <v>15.39614958</v>
      </c>
      <c r="H75" s="9">
        <v>307.923</v>
      </c>
      <c r="I75" s="10">
        <f>H75/DiasMes</f>
        <v>15.39615</v>
      </c>
      <c r="J75" s="12">
        <v>15.0</v>
      </c>
      <c r="K75" s="12">
        <v>15.0</v>
      </c>
      <c r="L75" s="7" t="s">
        <v>236</v>
      </c>
      <c r="M75" s="11">
        <f t="shared" si="1"/>
        <v>230.9422438</v>
      </c>
      <c r="N75" s="11">
        <f t="shared" si="2"/>
        <v>0.000006250000013</v>
      </c>
      <c r="O75" s="11">
        <f t="shared" si="3"/>
        <v>230.94225</v>
      </c>
      <c r="P75" s="7" t="s">
        <v>467</v>
      </c>
      <c r="Q75" s="9">
        <v>100.0</v>
      </c>
      <c r="R75" s="12">
        <v>60.0</v>
      </c>
      <c r="S75" s="15">
        <f t="shared" si="4"/>
        <v>10</v>
      </c>
      <c r="T75" s="11">
        <f t="shared" si="5"/>
        <v>3.6950759</v>
      </c>
      <c r="U75" s="11">
        <f t="shared" si="6"/>
        <v>1000.000006</v>
      </c>
      <c r="V75" s="5" t="s">
        <v>367</v>
      </c>
      <c r="W75" s="9">
        <v>2000.0</v>
      </c>
      <c r="X75" s="10">
        <f t="shared" si="7"/>
        <v>0.5000000031</v>
      </c>
    </row>
    <row r="76" ht="15.75" customHeight="1">
      <c r="A76" s="7" t="s">
        <v>468</v>
      </c>
      <c r="B76" s="7" t="s">
        <v>469</v>
      </c>
      <c r="C76" s="7" t="s">
        <v>470</v>
      </c>
      <c r="D76" s="7" t="s">
        <v>186</v>
      </c>
      <c r="E76" s="7" t="s">
        <v>471</v>
      </c>
      <c r="F76" s="9">
        <v>32072.6391</v>
      </c>
      <c r="G76" s="10">
        <f>F76/DiasAnio</f>
        <v>133.6359963</v>
      </c>
      <c r="H76" s="9">
        <v>3848.7167</v>
      </c>
      <c r="I76" s="10">
        <f>H76/DiasMes</f>
        <v>192.435835</v>
      </c>
      <c r="J76" s="12">
        <v>10.0</v>
      </c>
      <c r="K76" s="12">
        <v>10.0</v>
      </c>
      <c r="L76" s="7" t="s">
        <v>236</v>
      </c>
      <c r="M76" s="11">
        <f t="shared" si="1"/>
        <v>1336.359963</v>
      </c>
      <c r="N76" s="11">
        <f t="shared" si="2"/>
        <v>587.9983875</v>
      </c>
      <c r="O76" s="11">
        <f t="shared" si="3"/>
        <v>1924.35835</v>
      </c>
      <c r="P76" s="7" t="s">
        <v>472</v>
      </c>
      <c r="Q76" s="9">
        <v>1000.0</v>
      </c>
      <c r="R76" s="12">
        <v>20.0</v>
      </c>
      <c r="S76" s="15">
        <f t="shared" si="4"/>
        <v>4</v>
      </c>
      <c r="T76" s="11">
        <f t="shared" si="5"/>
        <v>8.018159775</v>
      </c>
      <c r="U76" s="11">
        <f t="shared" si="6"/>
        <v>4587.998388</v>
      </c>
      <c r="V76" s="5" t="s">
        <v>473</v>
      </c>
      <c r="W76" s="9">
        <v>20000.0</v>
      </c>
      <c r="X76" s="10">
        <f t="shared" si="7"/>
        <v>0.2293999194</v>
      </c>
    </row>
    <row r="77" ht="15.75" customHeight="1">
      <c r="A77" s="7" t="s">
        <v>474</v>
      </c>
      <c r="B77" s="7" t="s">
        <v>475</v>
      </c>
      <c r="C77" s="7" t="s">
        <v>476</v>
      </c>
      <c r="D77" s="7" t="s">
        <v>186</v>
      </c>
      <c r="E77" s="7" t="s">
        <v>471</v>
      </c>
      <c r="F77" s="9">
        <v>7424.8584</v>
      </c>
      <c r="G77" s="10">
        <f>F77/DiasAnio</f>
        <v>30.93691</v>
      </c>
      <c r="H77" s="9">
        <v>816.7344</v>
      </c>
      <c r="I77" s="10">
        <f>H77/DiasMes</f>
        <v>40.83672</v>
      </c>
      <c r="J77" s="12">
        <v>10.0</v>
      </c>
      <c r="K77" s="12">
        <v>10.0</v>
      </c>
      <c r="L77" s="7" t="s">
        <v>236</v>
      </c>
      <c r="M77" s="11">
        <f t="shared" si="1"/>
        <v>309.3691</v>
      </c>
      <c r="N77" s="11">
        <f t="shared" si="2"/>
        <v>98.9981</v>
      </c>
      <c r="O77" s="11">
        <f t="shared" si="3"/>
        <v>408.3672</v>
      </c>
      <c r="P77" s="7" t="s">
        <v>472</v>
      </c>
      <c r="Q77" s="9">
        <v>1000.0</v>
      </c>
      <c r="R77" s="12">
        <v>20.0</v>
      </c>
      <c r="S77" s="15">
        <f t="shared" si="4"/>
        <v>1</v>
      </c>
      <c r="T77" s="11">
        <f t="shared" si="5"/>
        <v>7.4248584</v>
      </c>
      <c r="U77" s="11">
        <f t="shared" si="6"/>
        <v>1098.9981</v>
      </c>
      <c r="V77" s="5" t="s">
        <v>473</v>
      </c>
      <c r="W77" s="9">
        <v>20000.0</v>
      </c>
      <c r="X77" s="10">
        <f t="shared" si="7"/>
        <v>0.054949905</v>
      </c>
    </row>
    <row r="78" ht="15.75" customHeight="1">
      <c r="A78" s="7" t="s">
        <v>478</v>
      </c>
      <c r="B78" s="7" t="s">
        <v>479</v>
      </c>
      <c r="C78" s="7" t="s">
        <v>480</v>
      </c>
      <c r="D78" s="7" t="s">
        <v>186</v>
      </c>
      <c r="E78" s="7" t="s">
        <v>471</v>
      </c>
      <c r="F78" s="9">
        <v>32449.6412</v>
      </c>
      <c r="G78" s="10">
        <f>F78/DiasAnio</f>
        <v>135.2068383</v>
      </c>
      <c r="H78" s="9">
        <v>3569.4605</v>
      </c>
      <c r="I78" s="10">
        <f>H78/DiasMes</f>
        <v>178.473025</v>
      </c>
      <c r="J78" s="12">
        <v>10.0</v>
      </c>
      <c r="K78" s="12">
        <v>10.0</v>
      </c>
      <c r="L78" s="7" t="s">
        <v>236</v>
      </c>
      <c r="M78" s="11">
        <f t="shared" si="1"/>
        <v>1352.068383</v>
      </c>
      <c r="N78" s="11">
        <f t="shared" si="2"/>
        <v>432.6618667</v>
      </c>
      <c r="O78" s="11">
        <f t="shared" si="3"/>
        <v>1784.73025</v>
      </c>
      <c r="P78" s="7" t="s">
        <v>472</v>
      </c>
      <c r="Q78" s="9">
        <v>1000.0</v>
      </c>
      <c r="R78" s="12">
        <v>20.0</v>
      </c>
      <c r="S78" s="15">
        <f t="shared" si="4"/>
        <v>4</v>
      </c>
      <c r="T78" s="11">
        <f t="shared" si="5"/>
        <v>8.1124103</v>
      </c>
      <c r="U78" s="11">
        <f t="shared" si="6"/>
        <v>4432.661867</v>
      </c>
      <c r="V78" s="5" t="s">
        <v>473</v>
      </c>
      <c r="W78" s="9">
        <v>20000.0</v>
      </c>
      <c r="X78" s="10">
        <f t="shared" si="7"/>
        <v>0.2216330933</v>
      </c>
    </row>
    <row r="79" ht="15.75" customHeight="1">
      <c r="A79" s="7" t="s">
        <v>481</v>
      </c>
      <c r="B79" s="7" t="s">
        <v>482</v>
      </c>
      <c r="C79" s="7" t="s">
        <v>483</v>
      </c>
      <c r="D79" s="7" t="s">
        <v>186</v>
      </c>
      <c r="E79" s="7" t="s">
        <v>471</v>
      </c>
      <c r="F79" s="9">
        <v>1843.2619</v>
      </c>
      <c r="G79" s="10">
        <f>F79/DiasAnio</f>
        <v>7.680257917</v>
      </c>
      <c r="H79" s="9">
        <v>202.7588</v>
      </c>
      <c r="I79" s="10">
        <f>H79/DiasMes</f>
        <v>10.13794</v>
      </c>
      <c r="J79" s="12">
        <v>10.0</v>
      </c>
      <c r="K79" s="12">
        <v>10.0</v>
      </c>
      <c r="L79" s="7" t="s">
        <v>236</v>
      </c>
      <c r="M79" s="11">
        <f t="shared" si="1"/>
        <v>76.80257917</v>
      </c>
      <c r="N79" s="11">
        <f t="shared" si="2"/>
        <v>24.57682083</v>
      </c>
      <c r="O79" s="11">
        <f t="shared" si="3"/>
        <v>101.3794</v>
      </c>
      <c r="P79" s="7" t="s">
        <v>472</v>
      </c>
      <c r="Q79" s="9">
        <v>1000.0</v>
      </c>
      <c r="R79" s="12">
        <v>20.0</v>
      </c>
      <c r="S79" s="15">
        <f t="shared" si="4"/>
        <v>1</v>
      </c>
      <c r="T79" s="11">
        <f t="shared" si="5"/>
        <v>1.8432619</v>
      </c>
      <c r="U79" s="11">
        <f t="shared" si="6"/>
        <v>1024.576821</v>
      </c>
      <c r="V79" s="5" t="s">
        <v>473</v>
      </c>
      <c r="W79" s="9">
        <v>20000.0</v>
      </c>
      <c r="X79" s="10">
        <f t="shared" si="7"/>
        <v>0.05122884104</v>
      </c>
    </row>
    <row r="80" ht="15.75" customHeight="1">
      <c r="A80" s="7" t="s">
        <v>487</v>
      </c>
      <c r="B80" s="7" t="s">
        <v>488</v>
      </c>
      <c r="C80" s="7" t="s">
        <v>489</v>
      </c>
      <c r="D80" s="7" t="s">
        <v>186</v>
      </c>
      <c r="E80" s="7" t="s">
        <v>471</v>
      </c>
      <c r="F80" s="9">
        <v>453.2705</v>
      </c>
      <c r="G80" s="10">
        <f>F80/DiasAnio</f>
        <v>1.888627083</v>
      </c>
      <c r="H80" s="9">
        <v>40.7943</v>
      </c>
      <c r="I80" s="10">
        <f>H80/DiasMes</f>
        <v>2.039715</v>
      </c>
      <c r="J80" s="12">
        <v>10.0</v>
      </c>
      <c r="K80" s="12">
        <v>10.0</v>
      </c>
      <c r="L80" s="7" t="s">
        <v>236</v>
      </c>
      <c r="M80" s="11">
        <f t="shared" si="1"/>
        <v>18.88627083</v>
      </c>
      <c r="N80" s="11">
        <f t="shared" si="2"/>
        <v>1.510879167</v>
      </c>
      <c r="O80" s="11">
        <f t="shared" si="3"/>
        <v>20.39715</v>
      </c>
      <c r="P80" s="7" t="s">
        <v>472</v>
      </c>
      <c r="Q80" s="9">
        <v>1000.0</v>
      </c>
      <c r="R80" s="12">
        <v>20.0</v>
      </c>
      <c r="S80" s="15">
        <f t="shared" si="4"/>
        <v>1</v>
      </c>
      <c r="T80" s="11">
        <f t="shared" si="5"/>
        <v>0.4532705</v>
      </c>
      <c r="U80" s="11">
        <f t="shared" si="6"/>
        <v>1001.510879</v>
      </c>
      <c r="V80" s="5" t="s">
        <v>473</v>
      </c>
      <c r="W80" s="9">
        <v>20000.0</v>
      </c>
      <c r="X80" s="10">
        <f t="shared" si="7"/>
        <v>0.05007554396</v>
      </c>
    </row>
    <row r="81" ht="15.75" customHeight="1">
      <c r="A81" s="7" t="s">
        <v>490</v>
      </c>
      <c r="B81" s="7" t="s">
        <v>491</v>
      </c>
      <c r="C81" s="7" t="s">
        <v>492</v>
      </c>
      <c r="D81" s="7" t="s">
        <v>186</v>
      </c>
      <c r="E81" s="7" t="s">
        <v>471</v>
      </c>
      <c r="F81" s="9">
        <v>998.462</v>
      </c>
      <c r="G81" s="10">
        <f>F81/DiasAnio</f>
        <v>4.160258333</v>
      </c>
      <c r="H81" s="9">
        <v>89.8616</v>
      </c>
      <c r="I81" s="10">
        <f>H81/DiasMes</f>
        <v>4.49308</v>
      </c>
      <c r="J81" s="12">
        <v>10.0</v>
      </c>
      <c r="K81" s="12">
        <v>10.0</v>
      </c>
      <c r="L81" s="7" t="s">
        <v>236</v>
      </c>
      <c r="M81" s="11">
        <f t="shared" si="1"/>
        <v>41.60258333</v>
      </c>
      <c r="N81" s="11">
        <f t="shared" si="2"/>
        <v>3.328216667</v>
      </c>
      <c r="O81" s="11">
        <f t="shared" si="3"/>
        <v>44.9308</v>
      </c>
      <c r="P81" s="7" t="s">
        <v>472</v>
      </c>
      <c r="Q81" s="9">
        <v>1000.0</v>
      </c>
      <c r="R81" s="12">
        <v>20.0</v>
      </c>
      <c r="S81" s="15">
        <f t="shared" si="4"/>
        <v>1</v>
      </c>
      <c r="T81" s="11">
        <f t="shared" si="5"/>
        <v>0.998462</v>
      </c>
      <c r="U81" s="11">
        <f t="shared" si="6"/>
        <v>1003.328217</v>
      </c>
      <c r="V81" s="5" t="s">
        <v>473</v>
      </c>
      <c r="W81" s="9">
        <v>20000.0</v>
      </c>
      <c r="X81" s="10">
        <f t="shared" si="7"/>
        <v>0.05016641083</v>
      </c>
    </row>
    <row r="82" ht="15.75" customHeight="1">
      <c r="A82" s="7" t="s">
        <v>493</v>
      </c>
      <c r="B82" s="7" t="s">
        <v>494</v>
      </c>
      <c r="C82" s="7" t="s">
        <v>495</v>
      </c>
      <c r="D82" s="7" t="s">
        <v>186</v>
      </c>
      <c r="E82" s="7" t="s">
        <v>471</v>
      </c>
      <c r="F82" s="9">
        <v>217.5699</v>
      </c>
      <c r="G82" s="10">
        <f>F82/DiasAnio</f>
        <v>0.90654125</v>
      </c>
      <c r="H82" s="9">
        <v>19.5813</v>
      </c>
      <c r="I82" s="10">
        <f>H82/DiasMes</f>
        <v>0.979065</v>
      </c>
      <c r="J82" s="12">
        <v>10.0</v>
      </c>
      <c r="K82" s="12">
        <v>10.0</v>
      </c>
      <c r="L82" s="7" t="s">
        <v>236</v>
      </c>
      <c r="M82" s="11">
        <f t="shared" si="1"/>
        <v>9.0654125</v>
      </c>
      <c r="N82" s="11">
        <f t="shared" si="2"/>
        <v>0.7252375</v>
      </c>
      <c r="O82" s="11">
        <f t="shared" si="3"/>
        <v>9.79065</v>
      </c>
      <c r="P82" s="7" t="s">
        <v>472</v>
      </c>
      <c r="Q82" s="9">
        <v>1000.0</v>
      </c>
      <c r="R82" s="12">
        <v>20.0</v>
      </c>
      <c r="S82" s="15">
        <f t="shared" si="4"/>
        <v>1</v>
      </c>
      <c r="T82" s="11">
        <f t="shared" si="5"/>
        <v>0.2175699</v>
      </c>
      <c r="U82" s="11">
        <f t="shared" si="6"/>
        <v>1000.725238</v>
      </c>
      <c r="V82" s="5" t="s">
        <v>473</v>
      </c>
      <c r="W82" s="9">
        <v>20000.0</v>
      </c>
      <c r="X82" s="10">
        <f t="shared" si="7"/>
        <v>0.05003626188</v>
      </c>
    </row>
    <row r="83" ht="15.75" customHeight="1">
      <c r="A83" s="7" t="s">
        <v>497</v>
      </c>
      <c r="B83" s="7" t="s">
        <v>498</v>
      </c>
      <c r="C83" s="7" t="s">
        <v>499</v>
      </c>
      <c r="D83" s="7" t="s">
        <v>186</v>
      </c>
      <c r="E83" s="7" t="s">
        <v>471</v>
      </c>
      <c r="F83" s="9">
        <v>145.2006</v>
      </c>
      <c r="G83" s="10">
        <f>F83/DiasAnio</f>
        <v>0.6050025</v>
      </c>
      <c r="H83" s="9">
        <v>13.0681</v>
      </c>
      <c r="I83" s="10">
        <f>H83/DiasMes</f>
        <v>0.653405</v>
      </c>
      <c r="J83" s="12">
        <v>10.0</v>
      </c>
      <c r="K83" s="12">
        <v>10.0</v>
      </c>
      <c r="L83" s="7" t="s">
        <v>236</v>
      </c>
      <c r="M83" s="11">
        <f t="shared" si="1"/>
        <v>6.050025</v>
      </c>
      <c r="N83" s="11">
        <f t="shared" si="2"/>
        <v>0.484025</v>
      </c>
      <c r="O83" s="11">
        <f t="shared" si="3"/>
        <v>6.53405</v>
      </c>
      <c r="P83" s="7" t="s">
        <v>472</v>
      </c>
      <c r="Q83" s="9">
        <v>1000.0</v>
      </c>
      <c r="R83" s="12">
        <v>20.0</v>
      </c>
      <c r="S83" s="15">
        <f t="shared" si="4"/>
        <v>1</v>
      </c>
      <c r="T83" s="11">
        <f t="shared" si="5"/>
        <v>0.1452006</v>
      </c>
      <c r="U83" s="11">
        <f t="shared" si="6"/>
        <v>1000.484025</v>
      </c>
      <c r="V83" s="5" t="s">
        <v>473</v>
      </c>
      <c r="W83" s="9">
        <v>20000.0</v>
      </c>
      <c r="X83" s="10">
        <f t="shared" si="7"/>
        <v>0.05002420125</v>
      </c>
    </row>
    <row r="84" ht="15.75" customHeight="1">
      <c r="A84" s="7" t="s">
        <v>500</v>
      </c>
      <c r="B84" s="7" t="s">
        <v>501</v>
      </c>
      <c r="C84" s="7" t="s">
        <v>502</v>
      </c>
      <c r="D84" s="7" t="s">
        <v>186</v>
      </c>
      <c r="E84" s="7" t="s">
        <v>503</v>
      </c>
      <c r="F84" s="9">
        <v>57745.8788</v>
      </c>
      <c r="G84" s="10">
        <f>F84/DiasAnio</f>
        <v>240.6078283</v>
      </c>
      <c r="H84" s="9">
        <v>6569.2948</v>
      </c>
      <c r="I84" s="10">
        <f>H84/DiasMes</f>
        <v>328.46474</v>
      </c>
      <c r="J84" s="12">
        <v>10.0</v>
      </c>
      <c r="K84" s="12">
        <v>10.0</v>
      </c>
      <c r="L84" s="7" t="s">
        <v>236</v>
      </c>
      <c r="M84" s="11">
        <f t="shared" si="1"/>
        <v>2406.078283</v>
      </c>
      <c r="N84" s="11">
        <f t="shared" si="2"/>
        <v>878.5691167</v>
      </c>
      <c r="O84" s="11">
        <f t="shared" si="3"/>
        <v>3284.6474</v>
      </c>
      <c r="P84" s="7" t="s">
        <v>505</v>
      </c>
      <c r="Q84" s="9">
        <v>500.0</v>
      </c>
      <c r="R84" s="12">
        <v>20.0</v>
      </c>
      <c r="S84" s="15">
        <f t="shared" si="4"/>
        <v>14</v>
      </c>
      <c r="T84" s="11">
        <f t="shared" si="5"/>
        <v>8.249411257</v>
      </c>
      <c r="U84" s="11">
        <f t="shared" si="6"/>
        <v>7878.569117</v>
      </c>
      <c r="V84" s="5" t="s">
        <v>473</v>
      </c>
      <c r="W84" s="9">
        <v>10000.0</v>
      </c>
      <c r="X84" s="10">
        <f t="shared" si="7"/>
        <v>0.7878569117</v>
      </c>
    </row>
    <row r="85" ht="15.75" customHeight="1">
      <c r="A85" s="7" t="s">
        <v>506</v>
      </c>
      <c r="B85" s="7" t="s">
        <v>507</v>
      </c>
      <c r="C85" s="7" t="s">
        <v>508</v>
      </c>
      <c r="D85" s="7" t="s">
        <v>186</v>
      </c>
      <c r="E85" s="7" t="s">
        <v>509</v>
      </c>
      <c r="F85" s="9">
        <v>75604.9037</v>
      </c>
      <c r="G85" s="10">
        <f>F85/DiasAnio</f>
        <v>315.0204321</v>
      </c>
      <c r="H85" s="9">
        <v>8600.9757</v>
      </c>
      <c r="I85" s="10">
        <f>H85/DiasMes</f>
        <v>430.048785</v>
      </c>
      <c r="J85" s="12">
        <v>10.0</v>
      </c>
      <c r="K85" s="12">
        <v>10.0</v>
      </c>
      <c r="L85" s="7" t="s">
        <v>236</v>
      </c>
      <c r="M85" s="11">
        <f t="shared" si="1"/>
        <v>3150.204321</v>
      </c>
      <c r="N85" s="11">
        <f t="shared" si="2"/>
        <v>1150.283529</v>
      </c>
      <c r="O85" s="11">
        <f t="shared" si="3"/>
        <v>4300.48785</v>
      </c>
      <c r="P85" s="7" t="s">
        <v>505</v>
      </c>
      <c r="Q85" s="9">
        <v>500.0</v>
      </c>
      <c r="R85" s="12">
        <v>20.0</v>
      </c>
      <c r="S85" s="15">
        <f t="shared" si="4"/>
        <v>18</v>
      </c>
      <c r="T85" s="11">
        <f t="shared" si="5"/>
        <v>8.400544856</v>
      </c>
      <c r="U85" s="11">
        <f t="shared" si="6"/>
        <v>10150.28353</v>
      </c>
      <c r="V85" s="5" t="s">
        <v>473</v>
      </c>
      <c r="W85" s="9">
        <v>10000.0</v>
      </c>
      <c r="X85" s="10">
        <f t="shared" si="7"/>
        <v>1.015028353</v>
      </c>
    </row>
    <row r="86" ht="15.75" customHeight="1">
      <c r="A86" s="7" t="s">
        <v>510</v>
      </c>
      <c r="B86" s="7" t="s">
        <v>511</v>
      </c>
      <c r="C86" s="7" t="s">
        <v>512</v>
      </c>
      <c r="D86" s="7" t="s">
        <v>186</v>
      </c>
      <c r="E86" s="7" t="s">
        <v>513</v>
      </c>
      <c r="F86" s="9">
        <v>41253.8864</v>
      </c>
      <c r="G86" s="10">
        <f>F86/DiasAnio</f>
        <v>171.8911933</v>
      </c>
      <c r="H86" s="9">
        <v>3814.0875</v>
      </c>
      <c r="I86" s="10">
        <f>H86/DiasMes</f>
        <v>190.704375</v>
      </c>
      <c r="J86" s="12">
        <v>10.0</v>
      </c>
      <c r="K86" s="12">
        <v>10.0</v>
      </c>
      <c r="L86" s="7" t="s">
        <v>236</v>
      </c>
      <c r="M86" s="11">
        <f t="shared" si="1"/>
        <v>1718.911933</v>
      </c>
      <c r="N86" s="11">
        <f t="shared" si="2"/>
        <v>188.1318167</v>
      </c>
      <c r="O86" s="11">
        <f t="shared" si="3"/>
        <v>1907.04375</v>
      </c>
      <c r="P86" s="7" t="s">
        <v>505</v>
      </c>
      <c r="Q86" s="9">
        <v>500.0</v>
      </c>
      <c r="R86" s="12">
        <v>20.0</v>
      </c>
      <c r="S86" s="15">
        <f t="shared" si="4"/>
        <v>8</v>
      </c>
      <c r="T86" s="11">
        <f t="shared" si="5"/>
        <v>10.3134716</v>
      </c>
      <c r="U86" s="11">
        <f t="shared" si="6"/>
        <v>4188.131817</v>
      </c>
      <c r="V86" s="5" t="s">
        <v>473</v>
      </c>
      <c r="W86" s="9">
        <v>10000.0</v>
      </c>
      <c r="X86" s="10">
        <f t="shared" si="7"/>
        <v>0.4188131817</v>
      </c>
    </row>
    <row r="87" ht="15.75" customHeight="1">
      <c r="A87" s="7" t="s">
        <v>515</v>
      </c>
      <c r="B87" s="7" t="s">
        <v>516</v>
      </c>
      <c r="C87" s="7" t="s">
        <v>517</v>
      </c>
      <c r="D87" s="7" t="s">
        <v>186</v>
      </c>
      <c r="E87" s="7" t="s">
        <v>471</v>
      </c>
      <c r="F87" s="9">
        <v>75604.9037</v>
      </c>
      <c r="G87" s="10">
        <f>F87/DiasAnio</f>
        <v>315.0204321</v>
      </c>
      <c r="H87" s="9">
        <v>8600.9757</v>
      </c>
      <c r="I87" s="10">
        <f>H87/DiasMes</f>
        <v>430.048785</v>
      </c>
      <c r="J87" s="12">
        <v>10.0</v>
      </c>
      <c r="K87" s="12">
        <v>10.0</v>
      </c>
      <c r="L87" s="7" t="s">
        <v>236</v>
      </c>
      <c r="M87" s="11">
        <f t="shared" si="1"/>
        <v>3150.204321</v>
      </c>
      <c r="N87" s="11">
        <f t="shared" si="2"/>
        <v>1150.283529</v>
      </c>
      <c r="O87" s="11">
        <f t="shared" si="3"/>
        <v>4300.48785</v>
      </c>
      <c r="P87" s="7" t="s">
        <v>472</v>
      </c>
      <c r="Q87" s="9">
        <v>1000.0</v>
      </c>
      <c r="R87" s="12">
        <v>20.0</v>
      </c>
      <c r="S87" s="15">
        <f t="shared" si="4"/>
        <v>9</v>
      </c>
      <c r="T87" s="11">
        <f t="shared" si="5"/>
        <v>8.400544856</v>
      </c>
      <c r="U87" s="11">
        <f t="shared" si="6"/>
        <v>10150.28353</v>
      </c>
      <c r="V87" s="5" t="s">
        <v>473</v>
      </c>
      <c r="W87" s="9">
        <v>20000.0</v>
      </c>
      <c r="X87" s="10">
        <f t="shared" si="7"/>
        <v>0.5075141765</v>
      </c>
    </row>
    <row r="88" ht="15.75" customHeight="1">
      <c r="A88" s="7" t="s">
        <v>518</v>
      </c>
      <c r="B88" s="7" t="s">
        <v>519</v>
      </c>
      <c r="C88" s="7" t="s">
        <v>520</v>
      </c>
      <c r="D88" s="7" t="s">
        <v>186</v>
      </c>
      <c r="E88" s="7" t="s">
        <v>471</v>
      </c>
      <c r="F88" s="9">
        <v>75604.9037</v>
      </c>
      <c r="G88" s="10">
        <f>F88/DiasAnio</f>
        <v>315.0204321</v>
      </c>
      <c r="H88" s="9">
        <v>8600.9757</v>
      </c>
      <c r="I88" s="10">
        <f>H88/DiasMes</f>
        <v>430.048785</v>
      </c>
      <c r="J88" s="12">
        <v>10.0</v>
      </c>
      <c r="K88" s="12">
        <v>10.0</v>
      </c>
      <c r="L88" s="7" t="s">
        <v>236</v>
      </c>
      <c r="M88" s="11">
        <f t="shared" si="1"/>
        <v>3150.204321</v>
      </c>
      <c r="N88" s="11">
        <f t="shared" si="2"/>
        <v>1150.283529</v>
      </c>
      <c r="O88" s="11">
        <f t="shared" si="3"/>
        <v>4300.48785</v>
      </c>
      <c r="P88" s="7" t="s">
        <v>472</v>
      </c>
      <c r="Q88" s="9">
        <v>1000.0</v>
      </c>
      <c r="R88" s="12">
        <v>20.0</v>
      </c>
      <c r="S88" s="15">
        <f t="shared" si="4"/>
        <v>9</v>
      </c>
      <c r="T88" s="11">
        <f t="shared" si="5"/>
        <v>8.400544856</v>
      </c>
      <c r="U88" s="11">
        <f t="shared" si="6"/>
        <v>10150.28353</v>
      </c>
      <c r="V88" s="5" t="s">
        <v>473</v>
      </c>
      <c r="W88" s="9">
        <v>20000.0</v>
      </c>
      <c r="X88" s="10">
        <f t="shared" si="7"/>
        <v>0.5075141765</v>
      </c>
    </row>
    <row r="89" ht="15.75" customHeight="1">
      <c r="A89" s="7" t="s">
        <v>525</v>
      </c>
      <c r="B89" s="7" t="s">
        <v>526</v>
      </c>
      <c r="C89" s="7" t="s">
        <v>527</v>
      </c>
      <c r="D89" s="7" t="s">
        <v>186</v>
      </c>
      <c r="E89" s="7" t="s">
        <v>528</v>
      </c>
      <c r="F89" s="9">
        <v>75604.9037</v>
      </c>
      <c r="G89" s="10">
        <f>F89/DiasAnio</f>
        <v>315.0204321</v>
      </c>
      <c r="H89" s="9">
        <v>8600.9757</v>
      </c>
      <c r="I89" s="10">
        <f>H89/DiasMes</f>
        <v>430.048785</v>
      </c>
      <c r="J89" s="12">
        <v>10.0</v>
      </c>
      <c r="K89" s="12">
        <v>10.0</v>
      </c>
      <c r="L89" s="7" t="s">
        <v>236</v>
      </c>
      <c r="M89" s="11">
        <f t="shared" si="1"/>
        <v>3150.204321</v>
      </c>
      <c r="N89" s="11">
        <f t="shared" si="2"/>
        <v>1150.283529</v>
      </c>
      <c r="O89" s="11">
        <f t="shared" si="3"/>
        <v>4300.48785</v>
      </c>
      <c r="P89" s="7" t="s">
        <v>255</v>
      </c>
      <c r="Q89" s="9">
        <v>1000.0</v>
      </c>
      <c r="R89" s="12">
        <v>20.0</v>
      </c>
      <c r="S89" s="15">
        <f t="shared" si="4"/>
        <v>9</v>
      </c>
      <c r="T89" s="11">
        <f t="shared" si="5"/>
        <v>8.400544856</v>
      </c>
      <c r="U89" s="11">
        <f t="shared" si="6"/>
        <v>10150.28353</v>
      </c>
      <c r="V89" s="5" t="s">
        <v>473</v>
      </c>
      <c r="W89" s="9">
        <v>20000.0</v>
      </c>
      <c r="X89" s="10">
        <f t="shared" si="7"/>
        <v>0.5075141765</v>
      </c>
    </row>
    <row r="90" ht="15.75" customHeight="1">
      <c r="A90" s="7" t="s">
        <v>529</v>
      </c>
      <c r="B90" s="7" t="s">
        <v>530</v>
      </c>
      <c r="C90" s="7" t="s">
        <v>531</v>
      </c>
      <c r="D90" s="7" t="s">
        <v>186</v>
      </c>
      <c r="E90" s="7" t="s">
        <v>471</v>
      </c>
      <c r="F90" s="9">
        <v>213430.0</v>
      </c>
      <c r="G90" s="10">
        <f>F90/DiasAnio</f>
        <v>889.2916667</v>
      </c>
      <c r="H90" s="9">
        <v>25157.04</v>
      </c>
      <c r="I90" s="10">
        <f>H90/DiasMes</f>
        <v>1257.852</v>
      </c>
      <c r="J90" s="12">
        <v>10.0</v>
      </c>
      <c r="K90" s="12">
        <v>10.0</v>
      </c>
      <c r="L90" s="7" t="s">
        <v>236</v>
      </c>
      <c r="M90" s="11">
        <f t="shared" si="1"/>
        <v>8892.916667</v>
      </c>
      <c r="N90" s="11">
        <f t="shared" si="2"/>
        <v>3685.603333</v>
      </c>
      <c r="O90" s="11">
        <f t="shared" si="3"/>
        <v>12578.52</v>
      </c>
      <c r="P90" s="7" t="s">
        <v>472</v>
      </c>
      <c r="Q90" s="9">
        <v>1000.0</v>
      </c>
      <c r="R90" s="12">
        <v>20.0</v>
      </c>
      <c r="S90" s="15">
        <f t="shared" si="4"/>
        <v>26</v>
      </c>
      <c r="T90" s="11">
        <f t="shared" si="5"/>
        <v>8.208846154</v>
      </c>
      <c r="U90" s="11">
        <f t="shared" si="6"/>
        <v>29685.60333</v>
      </c>
      <c r="V90" s="5" t="s">
        <v>473</v>
      </c>
      <c r="W90" s="9">
        <v>20000.0</v>
      </c>
      <c r="X90" s="10">
        <f t="shared" si="7"/>
        <v>1.484280167</v>
      </c>
    </row>
    <row r="91" ht="15.75" customHeight="1">
      <c r="A91" s="7" t="s">
        <v>532</v>
      </c>
      <c r="B91" s="7" t="s">
        <v>533</v>
      </c>
      <c r="C91" s="7" t="s">
        <v>534</v>
      </c>
      <c r="D91" s="7" t="s">
        <v>186</v>
      </c>
      <c r="E91" s="7" t="s">
        <v>535</v>
      </c>
      <c r="F91" s="9">
        <v>170548.0</v>
      </c>
      <c r="G91" s="10">
        <f>F91/DiasAnio</f>
        <v>710.6166667</v>
      </c>
      <c r="H91" s="9">
        <v>20465.76</v>
      </c>
      <c r="I91" s="10">
        <f>H91/DiasMes</f>
        <v>1023.288</v>
      </c>
      <c r="J91" s="12">
        <v>10.0</v>
      </c>
      <c r="K91" s="12">
        <v>10.0</v>
      </c>
      <c r="L91" s="7" t="s">
        <v>236</v>
      </c>
      <c r="M91" s="11">
        <f t="shared" si="1"/>
        <v>7106.166667</v>
      </c>
      <c r="N91" s="11">
        <f t="shared" si="2"/>
        <v>3126.713333</v>
      </c>
      <c r="O91" s="11">
        <f t="shared" si="3"/>
        <v>10232.88</v>
      </c>
      <c r="P91" s="7" t="s">
        <v>536</v>
      </c>
      <c r="Q91" s="9">
        <v>5000.0</v>
      </c>
      <c r="R91" s="12">
        <v>20.0</v>
      </c>
      <c r="S91" s="15">
        <f t="shared" si="4"/>
        <v>5</v>
      </c>
      <c r="T91" s="11">
        <f t="shared" si="5"/>
        <v>6.82192</v>
      </c>
      <c r="U91" s="11">
        <f t="shared" si="6"/>
        <v>28126.71333</v>
      </c>
      <c r="V91" s="5" t="s">
        <v>464</v>
      </c>
      <c r="W91" s="9">
        <v>40000.0</v>
      </c>
      <c r="X91" s="10">
        <f t="shared" si="7"/>
        <v>0.7031678333</v>
      </c>
    </row>
    <row r="92" ht="15.75" customHeight="1">
      <c r="A92" s="7" t="s">
        <v>537</v>
      </c>
      <c r="B92" s="7" t="s">
        <v>538</v>
      </c>
      <c r="C92" s="7" t="s">
        <v>539</v>
      </c>
      <c r="D92" s="7" t="s">
        <v>186</v>
      </c>
      <c r="E92" s="7" t="s">
        <v>535</v>
      </c>
      <c r="F92" s="9">
        <v>42625.0</v>
      </c>
      <c r="G92" s="10">
        <f>F92/DiasAnio</f>
        <v>177.6041667</v>
      </c>
      <c r="H92" s="9">
        <v>4668.15</v>
      </c>
      <c r="I92" s="10">
        <f>H92/DiasMes</f>
        <v>233.4075</v>
      </c>
      <c r="J92" s="12">
        <v>10.0</v>
      </c>
      <c r="K92" s="12">
        <v>10.0</v>
      </c>
      <c r="L92" s="7" t="s">
        <v>236</v>
      </c>
      <c r="M92" s="11">
        <f t="shared" si="1"/>
        <v>1776.041667</v>
      </c>
      <c r="N92" s="11">
        <f t="shared" si="2"/>
        <v>558.0333333</v>
      </c>
      <c r="O92" s="11">
        <f t="shared" si="3"/>
        <v>2334.075</v>
      </c>
      <c r="P92" s="7" t="s">
        <v>536</v>
      </c>
      <c r="Q92" s="9">
        <v>5000.0</v>
      </c>
      <c r="R92" s="12">
        <v>20.0</v>
      </c>
      <c r="S92" s="15">
        <f t="shared" si="4"/>
        <v>1</v>
      </c>
      <c r="T92" s="11">
        <f t="shared" si="5"/>
        <v>8.525</v>
      </c>
      <c r="U92" s="11">
        <f t="shared" si="6"/>
        <v>5558.033333</v>
      </c>
      <c r="V92" s="5" t="s">
        <v>464</v>
      </c>
      <c r="W92" s="9">
        <v>40000.0</v>
      </c>
      <c r="X92" s="10">
        <f t="shared" si="7"/>
        <v>0.1389508333</v>
      </c>
    </row>
    <row r="93" ht="15.75" customHeight="1">
      <c r="A93" s="7" t="s">
        <v>540</v>
      </c>
      <c r="B93" s="7" t="s">
        <v>541</v>
      </c>
      <c r="C93" s="7" t="s">
        <v>542</v>
      </c>
      <c r="D93" s="7" t="s">
        <v>186</v>
      </c>
      <c r="E93" s="7" t="s">
        <v>535</v>
      </c>
      <c r="F93" s="9">
        <v>257.0</v>
      </c>
      <c r="G93" s="10">
        <f>F93/DiasAnio</f>
        <v>1.070833333</v>
      </c>
      <c r="H93" s="9">
        <v>23.13</v>
      </c>
      <c r="I93" s="10">
        <f>H93/DiasMes</f>
        <v>1.1565</v>
      </c>
      <c r="J93" s="12">
        <v>10.0</v>
      </c>
      <c r="K93" s="12">
        <v>10.0</v>
      </c>
      <c r="L93" s="7" t="s">
        <v>236</v>
      </c>
      <c r="M93" s="11">
        <f t="shared" si="1"/>
        <v>10.70833333</v>
      </c>
      <c r="N93" s="11">
        <f t="shared" si="2"/>
        <v>0.8566666667</v>
      </c>
      <c r="O93" s="11">
        <f t="shared" si="3"/>
        <v>11.565</v>
      </c>
      <c r="P93" s="7" t="s">
        <v>536</v>
      </c>
      <c r="Q93" s="9">
        <v>5000.0</v>
      </c>
      <c r="R93" s="12">
        <v>20.0</v>
      </c>
      <c r="S93" s="15">
        <f t="shared" si="4"/>
        <v>1</v>
      </c>
      <c r="T93" s="11">
        <f t="shared" si="5"/>
        <v>0.0514</v>
      </c>
      <c r="U93" s="11">
        <f t="shared" si="6"/>
        <v>5000.856667</v>
      </c>
      <c r="V93" s="5" t="s">
        <v>464</v>
      </c>
      <c r="W93" s="9">
        <v>40000.0</v>
      </c>
      <c r="X93" s="10">
        <f t="shared" si="7"/>
        <v>0.1250214167</v>
      </c>
    </row>
    <row r="94" ht="15.75" customHeight="1">
      <c r="A94" s="7" t="s">
        <v>544</v>
      </c>
      <c r="B94" s="7" t="s">
        <v>545</v>
      </c>
      <c r="C94" s="7" t="s">
        <v>546</v>
      </c>
      <c r="D94" s="7" t="s">
        <v>186</v>
      </c>
      <c r="E94" s="7" t="s">
        <v>471</v>
      </c>
      <c r="F94" s="9">
        <v>212297.5389</v>
      </c>
      <c r="G94" s="10">
        <f>F94/DiasAnio</f>
        <v>884.5730788</v>
      </c>
      <c r="H94" s="9">
        <v>25054.0882</v>
      </c>
      <c r="I94" s="10">
        <f>H94/DiasMes</f>
        <v>1252.70441</v>
      </c>
      <c r="J94" s="12">
        <v>10.0</v>
      </c>
      <c r="K94" s="12">
        <v>10.0</v>
      </c>
      <c r="L94" s="7" t="s">
        <v>236</v>
      </c>
      <c r="M94" s="11">
        <f t="shared" si="1"/>
        <v>8845.730788</v>
      </c>
      <c r="N94" s="11">
        <f t="shared" si="2"/>
        <v>3681.313313</v>
      </c>
      <c r="O94" s="11">
        <f t="shared" si="3"/>
        <v>12527.0441</v>
      </c>
      <c r="P94" s="7" t="s">
        <v>505</v>
      </c>
      <c r="Q94" s="9">
        <v>500.0</v>
      </c>
      <c r="R94" s="12">
        <v>20.0</v>
      </c>
      <c r="S94" s="15">
        <f t="shared" si="4"/>
        <v>51</v>
      </c>
      <c r="T94" s="11">
        <f t="shared" si="5"/>
        <v>8.325393682</v>
      </c>
      <c r="U94" s="11">
        <f t="shared" si="6"/>
        <v>29181.31331</v>
      </c>
      <c r="V94" s="5" t="s">
        <v>473</v>
      </c>
      <c r="W94" s="9">
        <v>10000.0</v>
      </c>
      <c r="X94" s="10">
        <f t="shared" si="7"/>
        <v>2.918131331</v>
      </c>
    </row>
    <row r="95" ht="15.75" customHeight="1">
      <c r="A95" s="7" t="s">
        <v>547</v>
      </c>
      <c r="B95" s="7" t="s">
        <v>548</v>
      </c>
      <c r="C95" s="7" t="s">
        <v>549</v>
      </c>
      <c r="D95" s="7" t="s">
        <v>186</v>
      </c>
      <c r="E95" s="7" t="s">
        <v>471</v>
      </c>
      <c r="F95" s="9">
        <v>128714.1639</v>
      </c>
      <c r="G95" s="10">
        <f>F95/DiasAnio</f>
        <v>536.3090163</v>
      </c>
      <c r="H95" s="9">
        <v>10726.1803</v>
      </c>
      <c r="I95" s="10">
        <f>H95/DiasMes</f>
        <v>536.309015</v>
      </c>
      <c r="J95" s="12">
        <v>10.0</v>
      </c>
      <c r="K95" s="12">
        <v>10.0</v>
      </c>
      <c r="L95" s="7" t="s">
        <v>236</v>
      </c>
      <c r="M95" s="11">
        <f t="shared" si="1"/>
        <v>5363.090163</v>
      </c>
      <c r="N95" s="11">
        <f t="shared" si="2"/>
        <v>0</v>
      </c>
      <c r="O95" s="11">
        <f t="shared" si="3"/>
        <v>5363.090163</v>
      </c>
      <c r="P95" s="7" t="s">
        <v>550</v>
      </c>
      <c r="Q95" s="9">
        <v>1000.0</v>
      </c>
      <c r="R95" s="12">
        <v>20.0</v>
      </c>
      <c r="S95" s="15">
        <f t="shared" si="4"/>
        <v>11</v>
      </c>
      <c r="T95" s="11">
        <f t="shared" si="5"/>
        <v>11.70128763</v>
      </c>
      <c r="U95" s="11">
        <f t="shared" si="6"/>
        <v>11000</v>
      </c>
      <c r="V95" s="5" t="s">
        <v>367</v>
      </c>
      <c r="W95" s="9">
        <v>20000.0</v>
      </c>
      <c r="X95" s="10">
        <f t="shared" si="7"/>
        <v>0.55</v>
      </c>
    </row>
    <row r="96" ht="15.75" customHeight="1">
      <c r="A96" s="7" t="s">
        <v>551</v>
      </c>
      <c r="B96" s="7" t="s">
        <v>552</v>
      </c>
      <c r="C96" s="7" t="s">
        <v>553</v>
      </c>
      <c r="D96" s="7" t="s">
        <v>186</v>
      </c>
      <c r="E96" s="7" t="s">
        <v>528</v>
      </c>
      <c r="F96" s="9">
        <v>128714.1639</v>
      </c>
      <c r="G96" s="10">
        <f>F96/DiasAnio</f>
        <v>536.3090163</v>
      </c>
      <c r="H96" s="9">
        <v>10726.1803</v>
      </c>
      <c r="I96" s="10">
        <f>H96/DiasMes</f>
        <v>536.309015</v>
      </c>
      <c r="J96" s="12">
        <v>10.0</v>
      </c>
      <c r="K96" s="12">
        <v>10.0</v>
      </c>
      <c r="L96" s="7" t="s">
        <v>236</v>
      </c>
      <c r="M96" s="11">
        <f t="shared" si="1"/>
        <v>5363.090163</v>
      </c>
      <c r="N96" s="11">
        <f t="shared" si="2"/>
        <v>0</v>
      </c>
      <c r="O96" s="11">
        <f t="shared" si="3"/>
        <v>5363.090163</v>
      </c>
      <c r="P96" s="7" t="s">
        <v>255</v>
      </c>
      <c r="Q96" s="9">
        <v>1000.0</v>
      </c>
      <c r="R96" s="12">
        <v>20.0</v>
      </c>
      <c r="S96" s="15">
        <f t="shared" si="4"/>
        <v>11</v>
      </c>
      <c r="T96" s="11">
        <f t="shared" si="5"/>
        <v>11.70128763</v>
      </c>
      <c r="U96" s="11">
        <f t="shared" si="6"/>
        <v>11000</v>
      </c>
      <c r="V96" s="5" t="s">
        <v>367</v>
      </c>
      <c r="W96" s="9">
        <v>20000.0</v>
      </c>
      <c r="X96" s="10">
        <f t="shared" si="7"/>
        <v>0.55</v>
      </c>
    </row>
    <row r="97" ht="15.75" customHeight="1">
      <c r="A97" s="7" t="s">
        <v>554</v>
      </c>
      <c r="B97" s="7" t="s">
        <v>555</v>
      </c>
      <c r="C97" s="7" t="s">
        <v>556</v>
      </c>
      <c r="D97" s="7" t="s">
        <v>186</v>
      </c>
      <c r="E97" s="7" t="s">
        <v>471</v>
      </c>
      <c r="F97" s="9">
        <v>128714.1639</v>
      </c>
      <c r="G97" s="10">
        <f>F97/DiasAnio</f>
        <v>536.3090163</v>
      </c>
      <c r="H97" s="9">
        <v>10726.1803</v>
      </c>
      <c r="I97" s="10">
        <f>H97/DiasMes</f>
        <v>536.309015</v>
      </c>
      <c r="J97" s="12">
        <v>10.0</v>
      </c>
      <c r="K97" s="12">
        <v>10.0</v>
      </c>
      <c r="L97" s="7" t="s">
        <v>236</v>
      </c>
      <c r="M97" s="11">
        <f t="shared" si="1"/>
        <v>5363.090163</v>
      </c>
      <c r="N97" s="11">
        <f t="shared" si="2"/>
        <v>0</v>
      </c>
      <c r="O97" s="11">
        <f t="shared" si="3"/>
        <v>5363.090163</v>
      </c>
      <c r="P97" s="7" t="s">
        <v>472</v>
      </c>
      <c r="Q97" s="9">
        <v>1000.0</v>
      </c>
      <c r="R97" s="12">
        <v>20.0</v>
      </c>
      <c r="S97" s="15">
        <f t="shared" si="4"/>
        <v>11</v>
      </c>
      <c r="T97" s="11">
        <f t="shared" si="5"/>
        <v>11.70128763</v>
      </c>
      <c r="U97" s="11">
        <f t="shared" si="6"/>
        <v>11000</v>
      </c>
      <c r="V97" s="5" t="s">
        <v>367</v>
      </c>
      <c r="W97" s="9">
        <v>20000.0</v>
      </c>
      <c r="X97" s="10">
        <f t="shared" si="7"/>
        <v>0.55</v>
      </c>
    </row>
    <row r="98" ht="15.75" customHeight="1">
      <c r="A98" s="7" t="s">
        <v>557</v>
      </c>
      <c r="B98" s="7" t="s">
        <v>558</v>
      </c>
      <c r="C98" s="7" t="s">
        <v>559</v>
      </c>
      <c r="D98" s="7" t="s">
        <v>186</v>
      </c>
      <c r="E98" s="7" t="s">
        <v>503</v>
      </c>
      <c r="F98" s="9">
        <v>102002.3082</v>
      </c>
      <c r="G98" s="10">
        <f>F98/DiasAnio</f>
        <v>425.0096175</v>
      </c>
      <c r="H98" s="9">
        <v>8500.1923</v>
      </c>
      <c r="I98" s="10">
        <f>H98/DiasMes</f>
        <v>425.009615</v>
      </c>
      <c r="J98" s="12">
        <v>10.0</v>
      </c>
      <c r="K98" s="12">
        <v>10.0</v>
      </c>
      <c r="L98" s="7" t="s">
        <v>236</v>
      </c>
      <c r="M98" s="11">
        <f t="shared" si="1"/>
        <v>4250.096175</v>
      </c>
      <c r="N98" s="11">
        <f t="shared" si="2"/>
        <v>0</v>
      </c>
      <c r="O98" s="11">
        <f t="shared" si="3"/>
        <v>4250.096175</v>
      </c>
      <c r="P98" s="7" t="s">
        <v>505</v>
      </c>
      <c r="Q98" s="9">
        <v>500.0</v>
      </c>
      <c r="R98" s="12">
        <v>20.0</v>
      </c>
      <c r="S98" s="15">
        <f t="shared" si="4"/>
        <v>18</v>
      </c>
      <c r="T98" s="11">
        <f t="shared" si="5"/>
        <v>11.3335898</v>
      </c>
      <c r="U98" s="11">
        <f t="shared" si="6"/>
        <v>9000</v>
      </c>
      <c r="V98" s="5" t="s">
        <v>367</v>
      </c>
      <c r="W98" s="9">
        <v>10000.0</v>
      </c>
      <c r="X98" s="10">
        <f t="shared" si="7"/>
        <v>0.9</v>
      </c>
    </row>
    <row r="99" ht="15.75" customHeight="1">
      <c r="A99" s="7" t="s">
        <v>561</v>
      </c>
      <c r="B99" s="7" t="s">
        <v>562</v>
      </c>
      <c r="C99" s="7" t="s">
        <v>563</v>
      </c>
      <c r="D99" s="7" t="s">
        <v>186</v>
      </c>
      <c r="E99" s="7" t="s">
        <v>503</v>
      </c>
      <c r="F99" s="9">
        <v>102002.3082</v>
      </c>
      <c r="G99" s="10">
        <f>F99/DiasAnio</f>
        <v>425.0096175</v>
      </c>
      <c r="H99" s="9">
        <v>8500.1923</v>
      </c>
      <c r="I99" s="10">
        <f>H99/DiasMes</f>
        <v>425.009615</v>
      </c>
      <c r="J99" s="12">
        <v>10.0</v>
      </c>
      <c r="K99" s="12">
        <v>10.0</v>
      </c>
      <c r="L99" s="7" t="s">
        <v>236</v>
      </c>
      <c r="M99" s="11">
        <f t="shared" si="1"/>
        <v>4250.096175</v>
      </c>
      <c r="N99" s="11">
        <f t="shared" si="2"/>
        <v>0</v>
      </c>
      <c r="O99" s="11">
        <f t="shared" si="3"/>
        <v>4250.096175</v>
      </c>
      <c r="P99" s="7" t="s">
        <v>505</v>
      </c>
      <c r="Q99" s="9">
        <v>500.0</v>
      </c>
      <c r="R99" s="12">
        <v>20.0</v>
      </c>
      <c r="S99" s="15">
        <f t="shared" si="4"/>
        <v>18</v>
      </c>
      <c r="T99" s="11">
        <f t="shared" si="5"/>
        <v>11.3335898</v>
      </c>
      <c r="U99" s="11">
        <f t="shared" si="6"/>
        <v>9000</v>
      </c>
      <c r="V99" s="5" t="s">
        <v>367</v>
      </c>
      <c r="W99" s="9">
        <v>10000.0</v>
      </c>
      <c r="X99" s="10">
        <f t="shared" si="7"/>
        <v>0.9</v>
      </c>
    </row>
    <row r="100" ht="15.75" customHeight="1">
      <c r="A100" s="7" t="s">
        <v>564</v>
      </c>
      <c r="B100" s="7" t="s">
        <v>565</v>
      </c>
      <c r="C100" s="7" t="s">
        <v>566</v>
      </c>
      <c r="D100" s="7" t="s">
        <v>186</v>
      </c>
      <c r="E100" s="7" t="s">
        <v>471</v>
      </c>
      <c r="F100" s="9">
        <v>154.5389</v>
      </c>
      <c r="G100" s="10">
        <f>F100/DiasAnio</f>
        <v>0.6439120833</v>
      </c>
      <c r="H100" s="9">
        <v>12.8782</v>
      </c>
      <c r="I100" s="10">
        <f>H100/DiasMes</f>
        <v>0.64391</v>
      </c>
      <c r="J100" s="12">
        <v>10.0</v>
      </c>
      <c r="K100" s="12">
        <v>10.0</v>
      </c>
      <c r="L100" s="7" t="s">
        <v>236</v>
      </c>
      <c r="M100" s="11">
        <f t="shared" si="1"/>
        <v>6.439120833</v>
      </c>
      <c r="N100" s="11">
        <f t="shared" si="2"/>
        <v>0</v>
      </c>
      <c r="O100" s="11">
        <f t="shared" si="3"/>
        <v>6.439120833</v>
      </c>
      <c r="P100" s="7" t="s">
        <v>472</v>
      </c>
      <c r="Q100" s="9">
        <v>1000.0</v>
      </c>
      <c r="R100" s="12">
        <v>20.0</v>
      </c>
      <c r="S100" s="15">
        <f t="shared" si="4"/>
        <v>1</v>
      </c>
      <c r="T100" s="11">
        <f t="shared" si="5"/>
        <v>0.1545389</v>
      </c>
      <c r="U100" s="11">
        <f t="shared" si="6"/>
        <v>1000</v>
      </c>
      <c r="V100" s="5" t="s">
        <v>367</v>
      </c>
      <c r="W100" s="9">
        <v>20000.0</v>
      </c>
      <c r="X100" s="10">
        <f t="shared" si="7"/>
        <v>0.05</v>
      </c>
    </row>
    <row r="101" ht="15.75" customHeight="1">
      <c r="A101" s="7" t="s">
        <v>567</v>
      </c>
      <c r="B101" s="7" t="s">
        <v>568</v>
      </c>
      <c r="C101" s="7" t="s">
        <v>569</v>
      </c>
      <c r="D101" s="7" t="s">
        <v>186</v>
      </c>
      <c r="E101" s="7" t="s">
        <v>503</v>
      </c>
      <c r="F101" s="9">
        <v>122.4677</v>
      </c>
      <c r="G101" s="10">
        <f>F101/DiasAnio</f>
        <v>0.5102820833</v>
      </c>
      <c r="H101" s="9">
        <v>10.2056</v>
      </c>
      <c r="I101" s="10">
        <f>H101/DiasMes</f>
        <v>0.51028</v>
      </c>
      <c r="J101" s="12">
        <v>10.0</v>
      </c>
      <c r="K101" s="12">
        <v>10.0</v>
      </c>
      <c r="L101" s="7" t="s">
        <v>236</v>
      </c>
      <c r="M101" s="11">
        <f t="shared" si="1"/>
        <v>5.102820833</v>
      </c>
      <c r="N101" s="11">
        <f t="shared" si="2"/>
        <v>0</v>
      </c>
      <c r="O101" s="11">
        <f t="shared" si="3"/>
        <v>5.102820833</v>
      </c>
      <c r="P101" s="7" t="s">
        <v>505</v>
      </c>
      <c r="Q101" s="9">
        <v>500.0</v>
      </c>
      <c r="R101" s="12">
        <v>20.0</v>
      </c>
      <c r="S101" s="15">
        <f t="shared" si="4"/>
        <v>1</v>
      </c>
      <c r="T101" s="11">
        <f t="shared" si="5"/>
        <v>0.2449354</v>
      </c>
      <c r="U101" s="11">
        <f t="shared" si="6"/>
        <v>500</v>
      </c>
      <c r="V101" s="5" t="s">
        <v>367</v>
      </c>
      <c r="W101" s="9">
        <v>10000.0</v>
      </c>
      <c r="X101" s="10">
        <f t="shared" si="7"/>
        <v>0.05</v>
      </c>
    </row>
    <row r="102" ht="15.75" customHeight="1">
      <c r="A102" s="7" t="s">
        <v>570</v>
      </c>
      <c r="B102" s="7" t="s">
        <v>571</v>
      </c>
      <c r="C102" s="7" t="s">
        <v>572</v>
      </c>
      <c r="D102" s="7" t="s">
        <v>186</v>
      </c>
      <c r="E102" s="7" t="s">
        <v>513</v>
      </c>
      <c r="F102" s="9">
        <v>32.0712</v>
      </c>
      <c r="G102" s="10">
        <f>F102/DiasAnio</f>
        <v>0.13363</v>
      </c>
      <c r="H102" s="9">
        <v>2.6726</v>
      </c>
      <c r="I102" s="10">
        <f>H102/DiasMes</f>
        <v>0.13363</v>
      </c>
      <c r="J102" s="12">
        <v>10.0</v>
      </c>
      <c r="K102" s="12">
        <v>10.0</v>
      </c>
      <c r="L102" s="7" t="s">
        <v>236</v>
      </c>
      <c r="M102" s="11">
        <f t="shared" si="1"/>
        <v>1.3363</v>
      </c>
      <c r="N102" s="11">
        <f t="shared" si="2"/>
        <v>0</v>
      </c>
      <c r="O102" s="11">
        <f t="shared" si="3"/>
        <v>1.3363</v>
      </c>
      <c r="P102" s="7" t="s">
        <v>505</v>
      </c>
      <c r="Q102" s="9">
        <v>500.0</v>
      </c>
      <c r="R102" s="12">
        <v>20.0</v>
      </c>
      <c r="S102" s="15">
        <f t="shared" si="4"/>
        <v>1</v>
      </c>
      <c r="T102" s="11">
        <f t="shared" si="5"/>
        <v>0.0641424</v>
      </c>
      <c r="U102" s="11">
        <f t="shared" si="6"/>
        <v>500</v>
      </c>
      <c r="V102" s="5" t="s">
        <v>367</v>
      </c>
      <c r="W102" s="9">
        <v>10000.0</v>
      </c>
      <c r="X102" s="10">
        <f t="shared" si="7"/>
        <v>0.05</v>
      </c>
    </row>
    <row r="103" ht="15.75" customHeight="1">
      <c r="A103" s="7" t="s">
        <v>573</v>
      </c>
      <c r="B103" s="7" t="s">
        <v>574</v>
      </c>
      <c r="C103" s="7" t="s">
        <v>575</v>
      </c>
      <c r="D103" s="7" t="s">
        <v>371</v>
      </c>
      <c r="E103" s="7" t="s">
        <v>321</v>
      </c>
      <c r="F103" s="9">
        <v>332.354</v>
      </c>
      <c r="G103" s="10">
        <f>F103/DiasAnio</f>
        <v>1.384808333</v>
      </c>
      <c r="H103" s="9">
        <v>27.6962</v>
      </c>
      <c r="I103" s="10">
        <f>H103/DiasMes</f>
        <v>1.38481</v>
      </c>
      <c r="J103" s="12">
        <v>5.0</v>
      </c>
      <c r="K103" s="12">
        <v>5.0</v>
      </c>
      <c r="L103" s="7" t="s">
        <v>236</v>
      </c>
      <c r="M103" s="11">
        <f t="shared" si="1"/>
        <v>6.924041667</v>
      </c>
      <c r="N103" s="11">
        <f t="shared" si="2"/>
        <v>0.000008333333334</v>
      </c>
      <c r="O103" s="11">
        <f t="shared" si="3"/>
        <v>6.92405</v>
      </c>
      <c r="P103" s="7" t="s">
        <v>578</v>
      </c>
      <c r="Q103" s="9">
        <v>4.0</v>
      </c>
      <c r="R103" s="12">
        <v>20.0</v>
      </c>
      <c r="S103" s="15">
        <f t="shared" si="4"/>
        <v>7</v>
      </c>
      <c r="T103" s="11">
        <f t="shared" si="5"/>
        <v>11.86978571</v>
      </c>
      <c r="U103" s="11">
        <f t="shared" si="6"/>
        <v>28.00000833</v>
      </c>
      <c r="V103" s="5" t="s">
        <v>367</v>
      </c>
      <c r="W103" s="9">
        <v>200.0</v>
      </c>
      <c r="X103" s="10">
        <f t="shared" si="7"/>
        <v>0.1400000417</v>
      </c>
    </row>
    <row r="104" ht="15.75" customHeight="1">
      <c r="A104" s="7" t="s">
        <v>579</v>
      </c>
      <c r="B104" s="7" t="s">
        <v>580</v>
      </c>
      <c r="C104" s="7" t="s">
        <v>581</v>
      </c>
      <c r="D104" s="7" t="s">
        <v>186</v>
      </c>
      <c r="E104" s="7" t="s">
        <v>582</v>
      </c>
      <c r="F104" s="9">
        <v>202620.6391</v>
      </c>
      <c r="G104" s="10">
        <f>F104/DiasAnio</f>
        <v>844.2526629</v>
      </c>
      <c r="H104" s="9">
        <v>24314.4767</v>
      </c>
      <c r="I104" s="10">
        <f>H104/DiasMes</f>
        <v>1215.723835</v>
      </c>
      <c r="J104" s="12">
        <v>10.0</v>
      </c>
      <c r="K104" s="12">
        <v>10.0</v>
      </c>
      <c r="L104" s="7" t="s">
        <v>236</v>
      </c>
      <c r="M104" s="11">
        <f t="shared" si="1"/>
        <v>8442.526629</v>
      </c>
      <c r="N104" s="11">
        <f t="shared" si="2"/>
        <v>3714.711721</v>
      </c>
      <c r="O104" s="11">
        <f t="shared" si="3"/>
        <v>12157.23835</v>
      </c>
      <c r="P104" s="7" t="s">
        <v>583</v>
      </c>
      <c r="Q104" s="9">
        <v>600.0</v>
      </c>
      <c r="R104" s="12">
        <v>10.0</v>
      </c>
      <c r="S104" s="15">
        <f t="shared" si="4"/>
        <v>21</v>
      </c>
      <c r="T104" s="11">
        <f t="shared" si="5"/>
        <v>16.0810031</v>
      </c>
      <c r="U104" s="11">
        <f t="shared" si="6"/>
        <v>16314.71172</v>
      </c>
      <c r="V104" s="5" t="s">
        <v>464</v>
      </c>
      <c r="W104" s="9">
        <v>600.0</v>
      </c>
      <c r="X104" s="10">
        <f t="shared" si="7"/>
        <v>27.1911862</v>
      </c>
    </row>
    <row r="105" ht="15.75" customHeight="1">
      <c r="A105" s="7" t="s">
        <v>584</v>
      </c>
      <c r="B105" s="7" t="s">
        <v>585</v>
      </c>
      <c r="C105" s="7" t="s">
        <v>586</v>
      </c>
      <c r="D105" s="7" t="s">
        <v>186</v>
      </c>
      <c r="E105" s="7" t="s">
        <v>582</v>
      </c>
      <c r="F105" s="9">
        <v>14093.8584</v>
      </c>
      <c r="G105" s="10">
        <f>F105/DiasAnio</f>
        <v>58.72441</v>
      </c>
      <c r="H105" s="9">
        <v>1550.3244</v>
      </c>
      <c r="I105" s="10">
        <f>H105/DiasMes</f>
        <v>77.51622</v>
      </c>
      <c r="J105" s="12">
        <v>10.0</v>
      </c>
      <c r="K105" s="12">
        <v>10.0</v>
      </c>
      <c r="L105" s="7" t="s">
        <v>236</v>
      </c>
      <c r="M105" s="11">
        <f t="shared" si="1"/>
        <v>587.2441</v>
      </c>
      <c r="N105" s="11">
        <f t="shared" si="2"/>
        <v>187.9181</v>
      </c>
      <c r="O105" s="11">
        <f t="shared" si="3"/>
        <v>775.1622</v>
      </c>
      <c r="P105" s="7" t="s">
        <v>583</v>
      </c>
      <c r="Q105" s="9">
        <v>600.0</v>
      </c>
      <c r="R105" s="12">
        <v>10.0</v>
      </c>
      <c r="S105" s="15">
        <f t="shared" si="4"/>
        <v>2</v>
      </c>
      <c r="T105" s="11">
        <f t="shared" si="5"/>
        <v>11.744882</v>
      </c>
      <c r="U105" s="11">
        <f t="shared" si="6"/>
        <v>1387.9181</v>
      </c>
      <c r="V105" s="5" t="s">
        <v>464</v>
      </c>
      <c r="W105" s="9">
        <v>600.0</v>
      </c>
      <c r="X105" s="10">
        <f t="shared" si="7"/>
        <v>2.313196833</v>
      </c>
    </row>
    <row r="106" ht="15.75" customHeight="1">
      <c r="A106" s="7" t="s">
        <v>587</v>
      </c>
      <c r="B106" s="7" t="s">
        <v>588</v>
      </c>
      <c r="C106" s="7" t="s">
        <v>589</v>
      </c>
      <c r="D106" s="7" t="s">
        <v>186</v>
      </c>
      <c r="E106" s="7" t="s">
        <v>582</v>
      </c>
      <c r="F106" s="9">
        <v>65364.6412</v>
      </c>
      <c r="G106" s="10">
        <f>F106/DiasAnio</f>
        <v>272.3526717</v>
      </c>
      <c r="H106" s="9">
        <v>7190.1105</v>
      </c>
      <c r="I106" s="10">
        <f>H106/DiasMes</f>
        <v>359.505525</v>
      </c>
      <c r="J106" s="12">
        <v>10.0</v>
      </c>
      <c r="K106" s="12">
        <v>10.0</v>
      </c>
      <c r="L106" s="7" t="s">
        <v>236</v>
      </c>
      <c r="M106" s="11">
        <f t="shared" si="1"/>
        <v>2723.526717</v>
      </c>
      <c r="N106" s="11">
        <f t="shared" si="2"/>
        <v>871.5285333</v>
      </c>
      <c r="O106" s="11">
        <f t="shared" si="3"/>
        <v>3595.05525</v>
      </c>
      <c r="P106" s="7" t="s">
        <v>583</v>
      </c>
      <c r="Q106" s="9">
        <v>600.0</v>
      </c>
      <c r="R106" s="12">
        <v>10.0</v>
      </c>
      <c r="S106" s="15">
        <f t="shared" si="4"/>
        <v>6</v>
      </c>
      <c r="T106" s="11">
        <f t="shared" si="5"/>
        <v>18.15684478</v>
      </c>
      <c r="U106" s="11">
        <f t="shared" si="6"/>
        <v>4471.528533</v>
      </c>
      <c r="V106" s="5" t="s">
        <v>464</v>
      </c>
      <c r="W106" s="9">
        <v>600.0</v>
      </c>
      <c r="X106" s="10">
        <f t="shared" si="7"/>
        <v>7.452547556</v>
      </c>
    </row>
    <row r="107" ht="15.75" customHeight="1">
      <c r="A107" s="7" t="s">
        <v>590</v>
      </c>
      <c r="B107" s="7" t="s">
        <v>591</v>
      </c>
      <c r="C107" s="7" t="s">
        <v>592</v>
      </c>
      <c r="D107" s="7" t="s">
        <v>186</v>
      </c>
      <c r="E107" s="7" t="s">
        <v>582</v>
      </c>
      <c r="F107" s="9">
        <v>3854.2619</v>
      </c>
      <c r="G107" s="10">
        <f>F107/DiasAnio</f>
        <v>16.05942458</v>
      </c>
      <c r="H107" s="9">
        <v>423.9688</v>
      </c>
      <c r="I107" s="10">
        <f>H107/DiasMes</f>
        <v>21.19844</v>
      </c>
      <c r="J107" s="12">
        <v>10.0</v>
      </c>
      <c r="K107" s="12">
        <v>10.0</v>
      </c>
      <c r="L107" s="7" t="s">
        <v>236</v>
      </c>
      <c r="M107" s="11">
        <f t="shared" si="1"/>
        <v>160.5942458</v>
      </c>
      <c r="N107" s="11">
        <f t="shared" si="2"/>
        <v>51.39015417</v>
      </c>
      <c r="O107" s="11">
        <f t="shared" si="3"/>
        <v>211.9844</v>
      </c>
      <c r="P107" s="7" t="s">
        <v>583</v>
      </c>
      <c r="Q107" s="9">
        <v>600.0</v>
      </c>
      <c r="R107" s="12">
        <v>10.0</v>
      </c>
      <c r="S107" s="15">
        <f t="shared" si="4"/>
        <v>1</v>
      </c>
      <c r="T107" s="11">
        <f t="shared" si="5"/>
        <v>6.423769833</v>
      </c>
      <c r="U107" s="11">
        <f t="shared" si="6"/>
        <v>651.3901542</v>
      </c>
      <c r="V107" s="5" t="s">
        <v>464</v>
      </c>
      <c r="W107" s="9">
        <v>600.0</v>
      </c>
      <c r="X107" s="10">
        <f t="shared" si="7"/>
        <v>1.085650257</v>
      </c>
    </row>
    <row r="108" ht="15.75" customHeight="1">
      <c r="A108" s="7" t="s">
        <v>594</v>
      </c>
      <c r="B108" s="7" t="s">
        <v>595</v>
      </c>
      <c r="C108" s="7" t="s">
        <v>596</v>
      </c>
      <c r="D108" s="7" t="s">
        <v>186</v>
      </c>
      <c r="E108" s="7" t="s">
        <v>471</v>
      </c>
      <c r="F108" s="9">
        <v>285933.4007</v>
      </c>
      <c r="G108" s="10">
        <f>F108/DiasAnio</f>
        <v>1191.38917</v>
      </c>
      <c r="H108" s="9">
        <v>33478.8805</v>
      </c>
      <c r="I108" s="10">
        <f>H108/DiasMes</f>
        <v>1673.944025</v>
      </c>
      <c r="J108" s="12">
        <v>10.0</v>
      </c>
      <c r="K108" s="12">
        <v>10.0</v>
      </c>
      <c r="L108" s="7" t="s">
        <v>236</v>
      </c>
      <c r="M108" s="11">
        <f t="shared" si="1"/>
        <v>11913.8917</v>
      </c>
      <c r="N108" s="11">
        <f t="shared" si="2"/>
        <v>4825.548554</v>
      </c>
      <c r="O108" s="11">
        <f t="shared" si="3"/>
        <v>16739.44025</v>
      </c>
      <c r="P108" s="7" t="s">
        <v>472</v>
      </c>
      <c r="Q108" s="9">
        <v>1000.0</v>
      </c>
      <c r="R108" s="12">
        <v>20.0</v>
      </c>
      <c r="S108" s="15">
        <f t="shared" si="4"/>
        <v>34</v>
      </c>
      <c r="T108" s="11">
        <f t="shared" si="5"/>
        <v>8.409805903</v>
      </c>
      <c r="U108" s="11">
        <f t="shared" si="6"/>
        <v>38825.54855</v>
      </c>
      <c r="V108" s="5" t="s">
        <v>464</v>
      </c>
      <c r="W108" s="9">
        <v>20000.0</v>
      </c>
      <c r="X108" s="10">
        <f t="shared" si="7"/>
        <v>1.941277428</v>
      </c>
    </row>
    <row r="109" ht="15.75" customHeight="1">
      <c r="A109" s="7" t="s">
        <v>597</v>
      </c>
      <c r="B109" s="7" t="s">
        <v>598</v>
      </c>
      <c r="C109" s="7" t="s">
        <v>599</v>
      </c>
      <c r="D109" s="7" t="s">
        <v>186</v>
      </c>
      <c r="E109" s="7" t="s">
        <v>600</v>
      </c>
      <c r="F109" s="9">
        <v>1548.493</v>
      </c>
      <c r="G109" s="10">
        <f>F109/DiasAnio</f>
        <v>6.452054167</v>
      </c>
      <c r="H109" s="9">
        <v>172.7014</v>
      </c>
      <c r="I109" s="10">
        <f>H109/DiasMes</f>
        <v>8.63507</v>
      </c>
      <c r="J109" s="12">
        <v>5.0</v>
      </c>
      <c r="K109" s="12">
        <v>5.0</v>
      </c>
      <c r="L109" s="7" t="s">
        <v>236</v>
      </c>
      <c r="M109" s="11">
        <f t="shared" si="1"/>
        <v>32.26027083</v>
      </c>
      <c r="N109" s="11">
        <f t="shared" si="2"/>
        <v>10.91507917</v>
      </c>
      <c r="O109" s="11">
        <f t="shared" si="3"/>
        <v>43.17535</v>
      </c>
      <c r="P109" s="7" t="s">
        <v>601</v>
      </c>
      <c r="Q109" s="9">
        <v>15.0</v>
      </c>
      <c r="R109" s="12">
        <v>10.0</v>
      </c>
      <c r="S109" s="15">
        <f t="shared" si="4"/>
        <v>6</v>
      </c>
      <c r="T109" s="11">
        <f t="shared" si="5"/>
        <v>17.20547778</v>
      </c>
      <c r="U109" s="11">
        <f t="shared" si="6"/>
        <v>100.9150792</v>
      </c>
      <c r="V109" s="5" t="s">
        <v>464</v>
      </c>
      <c r="W109" s="9">
        <v>15.0</v>
      </c>
      <c r="X109" s="10">
        <f t="shared" si="7"/>
        <v>6.727671944</v>
      </c>
    </row>
    <row r="110" ht="15.75" customHeight="1">
      <c r="A110" s="7" t="s">
        <v>602</v>
      </c>
      <c r="B110" s="7" t="s">
        <v>603</v>
      </c>
      <c r="C110" s="7" t="s">
        <v>604</v>
      </c>
      <c r="D110" s="7" t="s">
        <v>186</v>
      </c>
      <c r="E110" s="7" t="s">
        <v>471</v>
      </c>
      <c r="F110" s="9">
        <v>1548.493</v>
      </c>
      <c r="G110" s="10">
        <f>F110/DiasAnio</f>
        <v>6.452054167</v>
      </c>
      <c r="H110" s="9">
        <v>172.7014</v>
      </c>
      <c r="I110" s="10">
        <f>H110/DiasMes</f>
        <v>8.63507</v>
      </c>
      <c r="J110" s="12">
        <v>10.0</v>
      </c>
      <c r="K110" s="12">
        <v>10.0</v>
      </c>
      <c r="L110" s="7" t="s">
        <v>236</v>
      </c>
      <c r="M110" s="11">
        <f t="shared" si="1"/>
        <v>64.52054167</v>
      </c>
      <c r="N110" s="11">
        <f t="shared" si="2"/>
        <v>21.83015833</v>
      </c>
      <c r="O110" s="11">
        <f t="shared" si="3"/>
        <v>86.3507</v>
      </c>
      <c r="P110" s="7" t="s">
        <v>472</v>
      </c>
      <c r="Q110" s="9">
        <v>1000.0</v>
      </c>
      <c r="R110" s="12">
        <v>20.0</v>
      </c>
      <c r="S110" s="15">
        <f t="shared" si="4"/>
        <v>1</v>
      </c>
      <c r="T110" s="11">
        <f t="shared" si="5"/>
        <v>1.548493</v>
      </c>
      <c r="U110" s="11">
        <f t="shared" si="6"/>
        <v>1021.830158</v>
      </c>
      <c r="V110" s="5" t="s">
        <v>464</v>
      </c>
      <c r="W110" s="9">
        <v>20000.0</v>
      </c>
      <c r="X110" s="10">
        <f t="shared" si="7"/>
        <v>0.05109150792</v>
      </c>
    </row>
    <row r="111" ht="15.75" customHeight="1">
      <c r="A111" s="7" t="s">
        <v>605</v>
      </c>
      <c r="B111" s="7" t="s">
        <v>606</v>
      </c>
      <c r="C111" s="7" t="s">
        <v>607</v>
      </c>
      <c r="D111" s="7" t="s">
        <v>186</v>
      </c>
      <c r="E111" s="7" t="s">
        <v>608</v>
      </c>
      <c r="F111" s="9">
        <v>2908.7493</v>
      </c>
      <c r="G111" s="10">
        <f>F111/DiasAnio</f>
        <v>12.11978875</v>
      </c>
      <c r="H111" s="9">
        <v>319.9624</v>
      </c>
      <c r="I111" s="10">
        <f>H111/DiasMes</f>
        <v>15.99812</v>
      </c>
      <c r="J111" s="12">
        <v>20.0</v>
      </c>
      <c r="K111" s="12">
        <v>20.0</v>
      </c>
      <c r="L111" s="7" t="s">
        <v>236</v>
      </c>
      <c r="M111" s="11">
        <f t="shared" si="1"/>
        <v>242.395775</v>
      </c>
      <c r="N111" s="11">
        <f t="shared" si="2"/>
        <v>77.566625</v>
      </c>
      <c r="O111" s="11">
        <f t="shared" si="3"/>
        <v>319.9624</v>
      </c>
      <c r="P111" s="7" t="s">
        <v>4</v>
      </c>
      <c r="Q111" s="9">
        <v>1.0</v>
      </c>
      <c r="R111" s="12">
        <v>20.0</v>
      </c>
      <c r="S111" s="15">
        <f t="shared" si="4"/>
        <v>320</v>
      </c>
      <c r="T111" s="11">
        <f t="shared" si="5"/>
        <v>9.089841563</v>
      </c>
      <c r="U111" s="11">
        <f t="shared" si="6"/>
        <v>397.566625</v>
      </c>
      <c r="V111" s="5" t="s">
        <v>222</v>
      </c>
      <c r="W111" s="9">
        <v>180.0</v>
      </c>
      <c r="X111" s="10">
        <f t="shared" si="7"/>
        <v>2.208703472</v>
      </c>
    </row>
    <row r="112" ht="15.75" customHeight="1">
      <c r="A112" s="7" t="s">
        <v>612</v>
      </c>
      <c r="B112" s="7" t="s">
        <v>613</v>
      </c>
      <c r="C112" s="7" t="s">
        <v>614</v>
      </c>
      <c r="D112" s="7" t="s">
        <v>186</v>
      </c>
      <c r="E112" s="7" t="s">
        <v>608</v>
      </c>
      <c r="F112" s="9">
        <v>971.6628</v>
      </c>
      <c r="G112" s="10">
        <f>F112/DiasAnio</f>
        <v>4.048595</v>
      </c>
      <c r="H112" s="9">
        <v>106.8829</v>
      </c>
      <c r="I112" s="10">
        <f>H112/DiasMes</f>
        <v>5.344145</v>
      </c>
      <c r="J112" s="12">
        <v>20.0</v>
      </c>
      <c r="K112" s="12">
        <v>20.0</v>
      </c>
      <c r="L112" s="7" t="s">
        <v>236</v>
      </c>
      <c r="M112" s="11">
        <f t="shared" si="1"/>
        <v>80.9719</v>
      </c>
      <c r="N112" s="11">
        <f t="shared" si="2"/>
        <v>25.911</v>
      </c>
      <c r="O112" s="11">
        <f t="shared" si="3"/>
        <v>106.8829</v>
      </c>
      <c r="P112" s="7" t="s">
        <v>4</v>
      </c>
      <c r="Q112" s="9">
        <v>1.0</v>
      </c>
      <c r="R112" s="12">
        <v>20.0</v>
      </c>
      <c r="S112" s="15">
        <f t="shared" si="4"/>
        <v>107</v>
      </c>
      <c r="T112" s="11">
        <f t="shared" si="5"/>
        <v>9.080960748</v>
      </c>
      <c r="U112" s="11">
        <f t="shared" si="6"/>
        <v>132.911</v>
      </c>
      <c r="V112" s="5" t="s">
        <v>222</v>
      </c>
      <c r="W112" s="9">
        <v>180.0</v>
      </c>
      <c r="X112" s="10">
        <f t="shared" si="7"/>
        <v>0.7383944444</v>
      </c>
    </row>
    <row r="113" ht="15.75" customHeight="1">
      <c r="A113" s="7" t="s">
        <v>619</v>
      </c>
      <c r="B113" s="7" t="s">
        <v>620</v>
      </c>
      <c r="C113" s="7" t="s">
        <v>621</v>
      </c>
      <c r="D113" s="7" t="s">
        <v>186</v>
      </c>
      <c r="E113" s="7" t="s">
        <v>608</v>
      </c>
      <c r="F113" s="9">
        <v>416.5125</v>
      </c>
      <c r="G113" s="10">
        <f>F113/DiasAnio</f>
        <v>1.73546875</v>
      </c>
      <c r="H113" s="9">
        <v>33.321</v>
      </c>
      <c r="I113" s="10">
        <f>H113/DiasMes</f>
        <v>1.66605</v>
      </c>
      <c r="J113" s="12">
        <v>20.0</v>
      </c>
      <c r="K113" s="12">
        <v>20.0</v>
      </c>
      <c r="L113" s="7" t="s">
        <v>236</v>
      </c>
      <c r="M113" s="11">
        <f t="shared" si="1"/>
        <v>34.709375</v>
      </c>
      <c r="N113" s="11">
        <f t="shared" si="2"/>
        <v>0</v>
      </c>
      <c r="O113" s="11">
        <f t="shared" si="3"/>
        <v>34.709375</v>
      </c>
      <c r="P113" s="7" t="s">
        <v>4</v>
      </c>
      <c r="Q113" s="9">
        <v>1.0</v>
      </c>
      <c r="R113" s="12">
        <v>20.0</v>
      </c>
      <c r="S113" s="15">
        <f t="shared" si="4"/>
        <v>34</v>
      </c>
      <c r="T113" s="11">
        <f t="shared" si="5"/>
        <v>12.25036765</v>
      </c>
      <c r="U113" s="11">
        <f t="shared" si="6"/>
        <v>34</v>
      </c>
      <c r="V113" s="5" t="s">
        <v>222</v>
      </c>
      <c r="W113" s="9">
        <v>60.0</v>
      </c>
      <c r="X113" s="10">
        <f t="shared" si="7"/>
        <v>0.5666666667</v>
      </c>
    </row>
    <row r="114" ht="15.75" customHeight="1">
      <c r="A114" s="7" t="s">
        <v>622</v>
      </c>
      <c r="B114" s="7" t="s">
        <v>623</v>
      </c>
      <c r="C114" s="7" t="s">
        <v>624</v>
      </c>
      <c r="D114" s="7" t="s">
        <v>186</v>
      </c>
      <c r="E114" s="7" t="s">
        <v>608</v>
      </c>
      <c r="F114" s="9">
        <v>277.772</v>
      </c>
      <c r="G114" s="10">
        <f>F114/DiasAnio</f>
        <v>1.157383333</v>
      </c>
      <c r="H114" s="9">
        <v>30.5549</v>
      </c>
      <c r="I114" s="10">
        <f>H114/DiasMes</f>
        <v>1.527745</v>
      </c>
      <c r="J114" s="12">
        <v>20.0</v>
      </c>
      <c r="K114" s="12">
        <v>20.0</v>
      </c>
      <c r="L114" s="7" t="s">
        <v>236</v>
      </c>
      <c r="M114" s="11">
        <f t="shared" si="1"/>
        <v>23.14766667</v>
      </c>
      <c r="N114" s="11">
        <f t="shared" si="2"/>
        <v>7.407233333</v>
      </c>
      <c r="O114" s="11">
        <f t="shared" si="3"/>
        <v>30.5549</v>
      </c>
      <c r="P114" s="7" t="s">
        <v>4</v>
      </c>
      <c r="Q114" s="9">
        <v>1.0</v>
      </c>
      <c r="R114" s="12">
        <v>20.0</v>
      </c>
      <c r="S114" s="15">
        <f t="shared" si="4"/>
        <v>31</v>
      </c>
      <c r="T114" s="11">
        <f t="shared" si="5"/>
        <v>8.960387097</v>
      </c>
      <c r="U114" s="11">
        <f t="shared" si="6"/>
        <v>38.40723333</v>
      </c>
      <c r="V114" s="5" t="s">
        <v>222</v>
      </c>
      <c r="W114" s="9">
        <v>180.0</v>
      </c>
      <c r="X114" s="10">
        <f t="shared" si="7"/>
        <v>0.2133735185</v>
      </c>
    </row>
    <row r="115" ht="15.75" customHeight="1">
      <c r="A115" s="7" t="s">
        <v>625</v>
      </c>
      <c r="B115" s="7" t="s">
        <v>626</v>
      </c>
      <c r="C115" s="7" t="s">
        <v>627</v>
      </c>
      <c r="D115" s="7" t="s">
        <v>186</v>
      </c>
      <c r="E115" s="7" t="s">
        <v>608</v>
      </c>
      <c r="F115" s="9">
        <v>1650.8818</v>
      </c>
      <c r="G115" s="10">
        <f>F115/DiasAnio</f>
        <v>6.878674167</v>
      </c>
      <c r="H115" s="9">
        <v>181.597</v>
      </c>
      <c r="I115" s="10">
        <f>H115/DiasMes</f>
        <v>9.07985</v>
      </c>
      <c r="J115" s="12">
        <v>20.0</v>
      </c>
      <c r="K115" s="12">
        <v>20.0</v>
      </c>
      <c r="L115" s="7" t="s">
        <v>236</v>
      </c>
      <c r="M115" s="11">
        <f t="shared" si="1"/>
        <v>137.5734833</v>
      </c>
      <c r="N115" s="11">
        <f t="shared" si="2"/>
        <v>44.02351667</v>
      </c>
      <c r="O115" s="11">
        <f t="shared" si="3"/>
        <v>181.597</v>
      </c>
      <c r="P115" s="7" t="s">
        <v>4</v>
      </c>
      <c r="Q115" s="9">
        <v>1.0</v>
      </c>
      <c r="R115" s="12">
        <v>20.0</v>
      </c>
      <c r="S115" s="15">
        <f t="shared" si="4"/>
        <v>182</v>
      </c>
      <c r="T115" s="11">
        <f t="shared" si="5"/>
        <v>9.070779121</v>
      </c>
      <c r="U115" s="11">
        <f t="shared" si="6"/>
        <v>226.0235167</v>
      </c>
      <c r="V115" s="5" t="s">
        <v>222</v>
      </c>
      <c r="W115" s="9">
        <v>180.0</v>
      </c>
      <c r="X115" s="10">
        <f t="shared" si="7"/>
        <v>1.255686204</v>
      </c>
    </row>
    <row r="116" ht="15.75" customHeight="1">
      <c r="A116" s="7" t="s">
        <v>628</v>
      </c>
      <c r="B116" s="7" t="s">
        <v>629</v>
      </c>
      <c r="C116" s="7" t="s">
        <v>630</v>
      </c>
      <c r="D116" s="7" t="s">
        <v>186</v>
      </c>
      <c r="E116" s="7" t="s">
        <v>608</v>
      </c>
      <c r="F116" s="9">
        <v>7005.2774</v>
      </c>
      <c r="G116" s="10">
        <f>F116/DiasAnio</f>
        <v>29.18865583</v>
      </c>
      <c r="H116" s="9">
        <v>770.5805</v>
      </c>
      <c r="I116" s="10">
        <f>H116/DiasMes</f>
        <v>38.529025</v>
      </c>
      <c r="J116" s="12">
        <v>20.0</v>
      </c>
      <c r="K116" s="12">
        <v>20.0</v>
      </c>
      <c r="L116" s="7" t="s">
        <v>236</v>
      </c>
      <c r="M116" s="11">
        <f t="shared" si="1"/>
        <v>583.7731167</v>
      </c>
      <c r="N116" s="11">
        <f t="shared" si="2"/>
        <v>186.8073833</v>
      </c>
      <c r="O116" s="11">
        <f t="shared" si="3"/>
        <v>770.5805</v>
      </c>
      <c r="P116" s="7" t="s">
        <v>4</v>
      </c>
      <c r="Q116" s="9">
        <v>1.0</v>
      </c>
      <c r="R116" s="12">
        <v>20.0</v>
      </c>
      <c r="S116" s="15">
        <f t="shared" si="4"/>
        <v>771</v>
      </c>
      <c r="T116" s="11">
        <f t="shared" si="5"/>
        <v>9.085962905</v>
      </c>
      <c r="U116" s="11">
        <f t="shared" si="6"/>
        <v>957.8073833</v>
      </c>
      <c r="V116" s="5" t="s">
        <v>222</v>
      </c>
      <c r="W116" s="9">
        <v>180.0</v>
      </c>
      <c r="X116" s="10">
        <f t="shared" si="7"/>
        <v>5.32115213</v>
      </c>
    </row>
    <row r="117" ht="15.75" customHeight="1">
      <c r="A117" s="7" t="s">
        <v>643</v>
      </c>
      <c r="B117" s="7" t="s">
        <v>644</v>
      </c>
      <c r="C117" s="7" t="s">
        <v>645</v>
      </c>
      <c r="D117" s="7" t="s">
        <v>186</v>
      </c>
      <c r="E117" s="7" t="s">
        <v>608</v>
      </c>
      <c r="F117" s="9">
        <v>3777.8853</v>
      </c>
      <c r="G117" s="10">
        <f>F117/DiasAnio</f>
        <v>15.74118875</v>
      </c>
      <c r="H117" s="9">
        <v>415.5674</v>
      </c>
      <c r="I117" s="10">
        <f>H117/DiasMes</f>
        <v>20.77837</v>
      </c>
      <c r="J117" s="12">
        <v>20.0</v>
      </c>
      <c r="K117" s="12">
        <v>20.0</v>
      </c>
      <c r="L117" s="7" t="s">
        <v>236</v>
      </c>
      <c r="M117" s="11">
        <f t="shared" si="1"/>
        <v>314.823775</v>
      </c>
      <c r="N117" s="11">
        <f t="shared" si="2"/>
        <v>100.743625</v>
      </c>
      <c r="O117" s="11">
        <f t="shared" si="3"/>
        <v>415.5674</v>
      </c>
      <c r="P117" s="7" t="s">
        <v>4</v>
      </c>
      <c r="Q117" s="9">
        <v>1.0</v>
      </c>
      <c r="R117" s="12">
        <v>20.0</v>
      </c>
      <c r="S117" s="15">
        <f t="shared" si="4"/>
        <v>416</v>
      </c>
      <c r="T117" s="11">
        <f t="shared" si="5"/>
        <v>9.081455048</v>
      </c>
      <c r="U117" s="11">
        <f t="shared" si="6"/>
        <v>516.743625</v>
      </c>
      <c r="V117" s="5" t="s">
        <v>222</v>
      </c>
      <c r="W117" s="9">
        <v>180.0</v>
      </c>
      <c r="X117" s="10">
        <f t="shared" si="7"/>
        <v>2.870797917</v>
      </c>
    </row>
    <row r="118" ht="15.75" customHeight="1">
      <c r="A118" s="7" t="s">
        <v>646</v>
      </c>
      <c r="B118" s="7" t="s">
        <v>647</v>
      </c>
      <c r="C118" s="7" t="s">
        <v>648</v>
      </c>
      <c r="D118" s="7" t="s">
        <v>186</v>
      </c>
      <c r="E118" s="7" t="s">
        <v>608</v>
      </c>
      <c r="F118" s="9">
        <v>744.2106</v>
      </c>
      <c r="G118" s="10">
        <f>F118/DiasAnio</f>
        <v>3.1008775</v>
      </c>
      <c r="H118" s="9">
        <v>81.8632</v>
      </c>
      <c r="I118" s="10">
        <f>H118/DiasMes</f>
        <v>4.09316</v>
      </c>
      <c r="J118" s="12">
        <v>20.0</v>
      </c>
      <c r="K118" s="12">
        <v>20.0</v>
      </c>
      <c r="L118" s="7" t="s">
        <v>236</v>
      </c>
      <c r="M118" s="11">
        <f t="shared" si="1"/>
        <v>62.01755</v>
      </c>
      <c r="N118" s="11">
        <f t="shared" si="2"/>
        <v>19.84565</v>
      </c>
      <c r="O118" s="11">
        <f t="shared" si="3"/>
        <v>81.8632</v>
      </c>
      <c r="P118" s="7" t="s">
        <v>4</v>
      </c>
      <c r="Q118" s="9">
        <v>1.0</v>
      </c>
      <c r="R118" s="12">
        <v>20.0</v>
      </c>
      <c r="S118" s="15">
        <f t="shared" si="4"/>
        <v>82</v>
      </c>
      <c r="T118" s="11">
        <f t="shared" si="5"/>
        <v>9.075739024</v>
      </c>
      <c r="U118" s="11">
        <f t="shared" si="6"/>
        <v>101.84565</v>
      </c>
      <c r="V118" s="5" t="s">
        <v>222</v>
      </c>
      <c r="W118" s="9">
        <v>180.0</v>
      </c>
      <c r="X118" s="10">
        <f t="shared" si="7"/>
        <v>0.5658091667</v>
      </c>
    </row>
    <row r="119" ht="15.75" customHeight="1">
      <c r="A119" s="7" t="s">
        <v>649</v>
      </c>
      <c r="B119" s="7" t="s">
        <v>650</v>
      </c>
      <c r="C119" s="7" t="s">
        <v>651</v>
      </c>
      <c r="D119" s="7" t="s">
        <v>186</v>
      </c>
      <c r="E119" s="7" t="s">
        <v>608</v>
      </c>
      <c r="F119" s="9">
        <v>277.4296</v>
      </c>
      <c r="G119" s="10">
        <f>F119/DiasAnio</f>
        <v>1.155956667</v>
      </c>
      <c r="H119" s="9">
        <v>30.5173</v>
      </c>
      <c r="I119" s="10">
        <f>H119/DiasMes</f>
        <v>1.525865</v>
      </c>
      <c r="J119" s="12">
        <v>20.0</v>
      </c>
      <c r="K119" s="12">
        <v>20.0</v>
      </c>
      <c r="L119" s="7" t="s">
        <v>236</v>
      </c>
      <c r="M119" s="11">
        <f t="shared" si="1"/>
        <v>23.11913333</v>
      </c>
      <c r="N119" s="11">
        <f t="shared" si="2"/>
        <v>7.398166667</v>
      </c>
      <c r="O119" s="11">
        <f t="shared" si="3"/>
        <v>30.5173</v>
      </c>
      <c r="P119" s="7" t="s">
        <v>4</v>
      </c>
      <c r="Q119" s="9">
        <v>1.0</v>
      </c>
      <c r="R119" s="12">
        <v>20.0</v>
      </c>
      <c r="S119" s="15">
        <f t="shared" si="4"/>
        <v>31</v>
      </c>
      <c r="T119" s="11">
        <f t="shared" si="5"/>
        <v>8.949341935</v>
      </c>
      <c r="U119" s="11">
        <f t="shared" si="6"/>
        <v>38.39816667</v>
      </c>
      <c r="V119" s="5" t="s">
        <v>222</v>
      </c>
      <c r="W119" s="9">
        <v>180.0</v>
      </c>
      <c r="X119" s="10">
        <f t="shared" si="7"/>
        <v>0.2133231481</v>
      </c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X$119"/>
  <dataValidations>
    <dataValidation type="list" allowBlank="1" sqref="V5:V119">
      <formula1>Resumen!$A$7:$A$19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7.0"/>
    <col customWidth="1" min="2" max="2" width="12.0"/>
    <col customWidth="1" min="3" max="3" width="56.0"/>
    <col customWidth="1" min="4" max="4" width="7.0"/>
    <col customWidth="1" min="5" max="5" width="24.0"/>
    <col customWidth="1" min="6" max="6" width="32.0"/>
    <col customWidth="1" min="7" max="8" width="12.0"/>
    <col customWidth="1" min="9" max="9" width="13.0"/>
    <col customWidth="1" min="10" max="10" width="14.0"/>
    <col customWidth="1" min="11" max="11" width="10.0"/>
    <col customWidth="1" min="12" max="12" width="8.0"/>
    <col customWidth="1" min="13" max="13" width="11.0"/>
    <col customWidth="1" min="14" max="14" width="8.0"/>
    <col customWidth="1" min="15" max="15" width="10.0"/>
    <col customWidth="1" min="16" max="16" width="12.0"/>
    <col customWidth="1" min="17" max="17" width="10.0"/>
    <col customWidth="1" min="18" max="18" width="8.0"/>
    <col customWidth="1" min="19" max="19" width="12.0"/>
    <col customWidth="1" min="20" max="20" width="16.0"/>
    <col customWidth="1" min="21" max="21" width="17.0"/>
    <col customWidth="1" min="22" max="24" width="10.0"/>
    <col customWidth="1" min="25" max="25" width="44.0"/>
    <col customWidth="1" min="26" max="26" width="10.0"/>
    <col customWidth="1" min="27" max="27" width="20.0"/>
  </cols>
  <sheetData>
    <row r="1">
      <c r="A1" s="1" t="s">
        <v>9</v>
      </c>
    </row>
    <row r="2">
      <c r="A2" s="2" t="str">
        <f>"Circulación × "&amp;CoefCirc&amp;" solo en el área bruta  ·  puesto de trabajo si ocupa ≤ "&amp;UmbCajon&amp;" m²  ·  amarillo = editable"</f>
        <v>Circulación × 1,5 solo en el área bruta  ·  puesto de trabajo si ocupa ≤ 0,1 m²  ·  amarillo = editable</v>
      </c>
    </row>
    <row r="4" ht="72.0" customHeight="1">
      <c r="A4" s="3" t="s">
        <v>51</v>
      </c>
      <c r="B4" s="3" t="s">
        <v>52</v>
      </c>
      <c r="C4" s="3" t="s">
        <v>53</v>
      </c>
      <c r="D4" s="3" t="s">
        <v>54</v>
      </c>
      <c r="E4" s="3" t="s">
        <v>55</v>
      </c>
      <c r="F4" s="3" t="s">
        <v>57</v>
      </c>
      <c r="G4" s="3" t="s">
        <v>58</v>
      </c>
      <c r="H4" s="3" t="s">
        <v>61</v>
      </c>
      <c r="I4" s="3" t="s">
        <v>63</v>
      </c>
      <c r="J4" s="3" t="s">
        <v>65</v>
      </c>
      <c r="K4" s="3" t="s">
        <v>64</v>
      </c>
      <c r="L4" s="3" t="s">
        <v>68</v>
      </c>
      <c r="M4" s="3" t="s">
        <v>69</v>
      </c>
      <c r="N4" s="3" t="s">
        <v>71</v>
      </c>
      <c r="O4" s="3" t="s">
        <v>73</v>
      </c>
      <c r="P4" s="3" t="s">
        <v>77</v>
      </c>
      <c r="Q4" s="3" t="s">
        <v>80</v>
      </c>
      <c r="R4" s="3" t="s">
        <v>82</v>
      </c>
      <c r="S4" s="3" t="s">
        <v>83</v>
      </c>
      <c r="T4" s="3" t="s">
        <v>86</v>
      </c>
      <c r="U4" s="3" t="s">
        <v>88</v>
      </c>
      <c r="V4" s="3" t="s">
        <v>89</v>
      </c>
      <c r="W4" s="3" t="s">
        <v>90</v>
      </c>
      <c r="X4" s="3" t="s">
        <v>92</v>
      </c>
      <c r="Y4" s="3" t="s">
        <v>93</v>
      </c>
      <c r="Z4" s="3" t="s">
        <v>95</v>
      </c>
      <c r="AA4" s="3" t="s">
        <v>97</v>
      </c>
    </row>
    <row r="5">
      <c r="A5" s="7" t="str">
        <f>'Política de stock'!A5</f>
        <v>P01</v>
      </c>
      <c r="B5" s="7" t="str">
        <f>'Política de stock'!B5</f>
        <v>MP-01</v>
      </c>
      <c r="C5" s="7" t="str">
        <f>'Política de stock'!C5</f>
        <v>Caño c/costura Ø76,2 × 1,25 × 6 m (cuerpo 1 kg)</v>
      </c>
      <c r="D5" s="7" t="str">
        <f>'Política de stock'!D5</f>
        <v>barra</v>
      </c>
      <c r="E5" s="7" t="str">
        <f>'Política de stock'!E5</f>
        <v>Metalpri / Prilux</v>
      </c>
      <c r="F5" s="7" t="str">
        <f>'Política de stock'!V5</f>
        <v>Cantilever de caños y barras</v>
      </c>
      <c r="G5" s="11">
        <f>'Política de stock'!G5</f>
        <v>36.7066375</v>
      </c>
      <c r="H5" s="11">
        <f>'Política de stock'!N5</f>
        <v>16.1509225</v>
      </c>
      <c r="I5" s="11">
        <f>'Política de stock'!U5</f>
        <v>288.1509225</v>
      </c>
      <c r="J5" s="13">
        <f t="shared" ref="J5:J119" si="1">IF(G5&gt;0,I5/G5,0)</f>
        <v>7.850104017</v>
      </c>
      <c r="K5" s="14">
        <f>'Política de stock'!K5</f>
        <v>1</v>
      </c>
      <c r="L5" s="7" t="str">
        <f>IF(K5&gt;=UmbLT,"Alto","Bajo")</f>
        <v>Bajo</v>
      </c>
      <c r="M5" s="16">
        <f>IF('Política de stock'!F5&gt;0,COUNTIFS('Política de stock'!$D$5:$D$119,D5,'Política de stock'!$F$5:$F$119,"&lt;"&amp;'Política de stock'!F5)/COUNTIF('Política de stock'!$D$5:$D$119,D5),0)</f>
        <v>0.8</v>
      </c>
      <c r="N5" s="7" t="str">
        <f>IF(M5&gt;=UmbVol,"Alto","Bajo")</f>
        <v>Alto</v>
      </c>
      <c r="O5" s="7" t="str">
        <f t="shared" ref="O5:O119" si="2">IF(AND(L5="Alto",N5="Alto"),"Alta",IF(OR(L5="Alto",N5="Alto"),"Media","Baja"))</f>
        <v>Media</v>
      </c>
      <c r="P5" s="11">
        <f>'Política de stock'!X5</f>
        <v>4.723785615</v>
      </c>
      <c r="Q5" s="5">
        <v>5.0</v>
      </c>
      <c r="R5" s="5">
        <v>3.0</v>
      </c>
      <c r="S5" s="17">
        <f t="shared" ref="S5:S119" si="3">P5/R5*Q5</f>
        <v>7.872976025</v>
      </c>
      <c r="T5" s="5"/>
      <c r="U5" s="7" t="str">
        <f>IF(T5&lt;&gt;"",T5,IF(S5&lt;=UmbCajon,"Puesto de trabajo","Almacén"))</f>
        <v>Almacén</v>
      </c>
      <c r="V5" s="15">
        <f t="shared" ref="V5:V119" si="4">IF(U5="Almacén",ROUNDUP(P5,0),0)</f>
        <v>5</v>
      </c>
      <c r="W5" s="11">
        <f t="shared" ref="W5:W119" si="5">ROUNDUP(V5/R5,0)*Q5</f>
        <v>10</v>
      </c>
      <c r="X5" s="11">
        <f>W5*CoefCirc</f>
        <v>15</v>
      </c>
      <c r="Y5" s="7"/>
      <c r="Z5" s="11">
        <f t="shared" ref="Z5:Z119" si="6">X5+ROW()/1000000</f>
        <v>15.000005</v>
      </c>
      <c r="AA5" s="7" t="str">
        <f t="shared" ref="AA5:AA119" si="7">F5&amp;"|"&amp;U5&amp;"|"&amp;ROUND(J5,6)</f>
        <v>Cantilever de caños y barras|Almacén|7,850104</v>
      </c>
    </row>
    <row r="6">
      <c r="A6" s="7" t="str">
        <f>'Política de stock'!A6</f>
        <v>P02</v>
      </c>
      <c r="B6" s="7" t="str">
        <f>'Política de stock'!B6</f>
        <v>MP-02</v>
      </c>
      <c r="C6" s="7" t="str">
        <f>'Política de stock'!C6</f>
        <v>Hoja LAF 1,25 × 1220 × 2440 mm</v>
      </c>
      <c r="D6" s="7" t="str">
        <f>'Política de stock'!D6</f>
        <v>hoja</v>
      </c>
      <c r="E6" s="7" t="str">
        <f>'Política de stock'!E6</f>
        <v>Pradecon</v>
      </c>
      <c r="F6" s="7" t="str">
        <f>'Política de stock'!V6</f>
        <v>Chapa y fleje (manuales)</v>
      </c>
      <c r="G6" s="11">
        <f>'Política de stock'!G6</f>
        <v>2.174978333</v>
      </c>
      <c r="H6" s="11">
        <f>'Política de stock'!N6</f>
        <v>10.22238417</v>
      </c>
      <c r="I6" s="11">
        <f>'Política de stock'!U6</f>
        <v>110.2223842</v>
      </c>
      <c r="J6" s="13">
        <f t="shared" si="1"/>
        <v>50.67746307</v>
      </c>
      <c r="K6" s="14">
        <f>'Política de stock'!K6</f>
        <v>10</v>
      </c>
      <c r="L6" s="7" t="str">
        <f>IF(K6&gt;=UmbLT,"Alto","Bajo")</f>
        <v>Alto</v>
      </c>
      <c r="M6" s="16">
        <f>IF('Política de stock'!F6&gt;0,COUNTIFS('Política de stock'!$D$5:$D$119,D6,'Política de stock'!$F$5:$F$119,"&lt;"&amp;'Política de stock'!F6)/COUNTIF('Política de stock'!$D$5:$D$119,D6),0)</f>
        <v>0.6</v>
      </c>
      <c r="N6" s="7" t="str">
        <f>IF(M6&gt;=UmbVol,"Alto","Bajo")</f>
        <v>Alto</v>
      </c>
      <c r="O6" s="7" t="str">
        <f t="shared" si="2"/>
        <v>Alta</v>
      </c>
      <c r="P6" s="11">
        <f>'Política de stock'!X6</f>
        <v>0.8104587071</v>
      </c>
      <c r="Q6" s="5">
        <v>2.9768</v>
      </c>
      <c r="R6" s="5">
        <v>2.0</v>
      </c>
      <c r="S6" s="17">
        <f t="shared" si="3"/>
        <v>1.20628674</v>
      </c>
      <c r="T6" s="5"/>
      <c r="U6" s="7" t="str">
        <f>IF(T6&lt;&gt;"",T6,IF(S6&lt;=UmbCajon,"Puesto de trabajo","Almacén"))</f>
        <v>Almacén</v>
      </c>
      <c r="V6" s="15">
        <f t="shared" si="4"/>
        <v>1</v>
      </c>
      <c r="W6" s="11">
        <f t="shared" si="5"/>
        <v>2.9768</v>
      </c>
      <c r="X6" s="11">
        <f>W6*CoefCirc</f>
        <v>4.4652</v>
      </c>
      <c r="Y6" s="7"/>
      <c r="Z6" s="11">
        <f t="shared" si="6"/>
        <v>4.465206</v>
      </c>
      <c r="AA6" s="7" t="str">
        <f t="shared" si="7"/>
        <v>Chapa y fleje (manuales)|Almacén|50,677463</v>
      </c>
    </row>
    <row r="7">
      <c r="A7" s="7" t="str">
        <f>'Política de stock'!A7</f>
        <v>P03</v>
      </c>
      <c r="B7" s="7" t="str">
        <f>'Política de stock'!B7</f>
        <v>MP-03</v>
      </c>
      <c r="C7" s="7" t="str">
        <f>'Política de stock'!C7</f>
        <v>Hoja LAF 1,6 × 1000 × 2000 mm</v>
      </c>
      <c r="D7" s="7" t="str">
        <f>'Política de stock'!D7</f>
        <v>hoja</v>
      </c>
      <c r="E7" s="7" t="str">
        <f>'Política de stock'!E7</f>
        <v>Pradecon</v>
      </c>
      <c r="F7" s="7" t="str">
        <f>'Política de stock'!V7</f>
        <v>Chapa y fleje (manuales)</v>
      </c>
      <c r="G7" s="11">
        <f>'Política de stock'!G7</f>
        <v>22.69605583</v>
      </c>
      <c r="H7" s="11">
        <f>'Política de stock'!N7</f>
        <v>106.6714754</v>
      </c>
      <c r="I7" s="11">
        <f>'Política de stock'!U7</f>
        <v>746.6714754</v>
      </c>
      <c r="J7" s="13">
        <f t="shared" si="1"/>
        <v>32.89873275</v>
      </c>
      <c r="K7" s="14">
        <f>'Política de stock'!K7</f>
        <v>10</v>
      </c>
      <c r="L7" s="7" t="str">
        <f>IF(K7&gt;=UmbLT,"Alto","Bajo")</f>
        <v>Alto</v>
      </c>
      <c r="M7" s="16">
        <f>IF('Política de stock'!F7&gt;0,COUNTIFS('Política de stock'!$D$5:$D$119,D7,'Política de stock'!$F$5:$F$119,"&lt;"&amp;'Política de stock'!F7)/COUNTIF('Política de stock'!$D$5:$D$119,D7),0)</f>
        <v>0.8</v>
      </c>
      <c r="N7" s="7" t="str">
        <f>IF(M7&gt;=UmbVol,"Alto","Bajo")</f>
        <v>Alto</v>
      </c>
      <c r="O7" s="7" t="str">
        <f t="shared" si="2"/>
        <v>Alta</v>
      </c>
      <c r="P7" s="11">
        <f>'Política de stock'!X7</f>
        <v>4.725768832</v>
      </c>
      <c r="Q7" s="5">
        <v>2.0</v>
      </c>
      <c r="R7" s="5">
        <v>2.0</v>
      </c>
      <c r="S7" s="17">
        <f t="shared" si="3"/>
        <v>4.725768832</v>
      </c>
      <c r="T7" s="5"/>
      <c r="U7" s="7" t="str">
        <f>IF(T7&lt;&gt;"",T7,IF(S7&lt;=UmbCajon,"Puesto de trabajo","Almacén"))</f>
        <v>Almacén</v>
      </c>
      <c r="V7" s="15">
        <f t="shared" si="4"/>
        <v>5</v>
      </c>
      <c r="W7" s="11">
        <f t="shared" si="5"/>
        <v>6</v>
      </c>
      <c r="X7" s="11">
        <f>W7*CoefCirc</f>
        <v>9</v>
      </c>
      <c r="Y7" s="7"/>
      <c r="Z7" s="11">
        <f t="shared" si="6"/>
        <v>9.000007</v>
      </c>
      <c r="AA7" s="7" t="str">
        <f t="shared" si="7"/>
        <v>Chapa y fleje (manuales)|Almacén|32,898733</v>
      </c>
    </row>
    <row r="8">
      <c r="A8" s="7" t="str">
        <f>'Política de stock'!A8</f>
        <v>P04</v>
      </c>
      <c r="B8" s="7" t="str">
        <f>'Política de stock'!B8</f>
        <v>MP-04</v>
      </c>
      <c r="C8" s="7" t="str">
        <f>'Política de stock'!C8</f>
        <v>Hoja LAF 2,0 × 1500 × 3000 mm</v>
      </c>
      <c r="D8" s="7" t="str">
        <f>'Política de stock'!D8</f>
        <v>hoja</v>
      </c>
      <c r="E8" s="7" t="str">
        <f>'Política de stock'!E8</f>
        <v>Pradecon</v>
      </c>
      <c r="F8" s="7" t="str">
        <f>'Política de stock'!V8</f>
        <v>Chapa y fleje (manuales)</v>
      </c>
      <c r="G8" s="11">
        <f>'Política de stock'!G8</f>
        <v>1.070628333</v>
      </c>
      <c r="H8" s="11">
        <f>'Política de stock'!N8</f>
        <v>5.031959167</v>
      </c>
      <c r="I8" s="11">
        <f>'Política de stock'!U8</f>
        <v>45.03195917</v>
      </c>
      <c r="J8" s="13">
        <f t="shared" si="1"/>
        <v>42.06124363</v>
      </c>
      <c r="K8" s="14">
        <f>'Política de stock'!K8</f>
        <v>10</v>
      </c>
      <c r="L8" s="7" t="str">
        <f>IF(K8&gt;=UmbLT,"Alto","Bajo")</f>
        <v>Alto</v>
      </c>
      <c r="M8" s="16">
        <f>IF('Política de stock'!F8&gt;0,COUNTIFS('Política de stock'!$D$5:$D$119,D8,'Política de stock'!$F$5:$F$119,"&lt;"&amp;'Política de stock'!F8)/COUNTIF('Política de stock'!$D$5:$D$119,D8),0)</f>
        <v>0.2</v>
      </c>
      <c r="N8" s="7" t="str">
        <f>IF(M8&gt;=UmbVol,"Alto","Bajo")</f>
        <v>Bajo</v>
      </c>
      <c r="O8" s="7" t="str">
        <f t="shared" si="2"/>
        <v>Media</v>
      </c>
      <c r="P8" s="11">
        <f>'Política de stock'!X8</f>
        <v>0.804142128</v>
      </c>
      <c r="Q8" s="5">
        <v>4.5</v>
      </c>
      <c r="R8" s="5">
        <v>2.0</v>
      </c>
      <c r="S8" s="17">
        <f t="shared" si="3"/>
        <v>1.809319788</v>
      </c>
      <c r="T8" s="5"/>
      <c r="U8" s="7" t="str">
        <f>IF(T8&lt;&gt;"",T8,IF(S8&lt;=UmbCajon,"Puesto de trabajo","Almacén"))</f>
        <v>Almacén</v>
      </c>
      <c r="V8" s="15">
        <f t="shared" si="4"/>
        <v>1</v>
      </c>
      <c r="W8" s="11">
        <f t="shared" si="5"/>
        <v>4.5</v>
      </c>
      <c r="X8" s="11">
        <f>W8*CoefCirc</f>
        <v>6.75</v>
      </c>
      <c r="Y8" s="7"/>
      <c r="Z8" s="11">
        <f t="shared" si="6"/>
        <v>6.750008</v>
      </c>
      <c r="AA8" s="7" t="str">
        <f t="shared" si="7"/>
        <v>Chapa y fleje (manuales)|Almacén|42,061244</v>
      </c>
    </row>
    <row r="9">
      <c r="A9" s="7" t="str">
        <f>'Política de stock'!A9</f>
        <v>P05</v>
      </c>
      <c r="B9" s="7" t="str">
        <f>'Política de stock'!B9</f>
        <v>MP-05</v>
      </c>
      <c r="C9" s="7" t="str">
        <f>'Política de stock'!C9</f>
        <v>Fleje LAF 0,9 × 114 mm (cúpula 1 kg)</v>
      </c>
      <c r="D9" s="7" t="str">
        <f>'Política de stock'!D9</f>
        <v>kg</v>
      </c>
      <c r="E9" s="7" t="str">
        <f>'Política de stock'!E9</f>
        <v>Pradecon</v>
      </c>
      <c r="F9" s="7" t="str">
        <f>'Política de stock'!V9</f>
        <v>Chapa y fleje (manuales)</v>
      </c>
      <c r="G9" s="11">
        <f>'Política de stock'!G9</f>
        <v>66.63701458</v>
      </c>
      <c r="H9" s="11">
        <f>'Política de stock'!N9</f>
        <v>393.158376</v>
      </c>
      <c r="I9" s="11">
        <f>'Política de stock'!U9</f>
        <v>2293.158376</v>
      </c>
      <c r="J9" s="13">
        <f t="shared" si="1"/>
        <v>34.41268176</v>
      </c>
      <c r="K9" s="14">
        <f>'Política de stock'!K9</f>
        <v>10</v>
      </c>
      <c r="L9" s="7" t="str">
        <f>IF(K9&gt;=UmbLT,"Alto","Bajo")</f>
        <v>Alto</v>
      </c>
      <c r="M9" s="16">
        <f>IF('Política de stock'!F9&gt;0,COUNTIFS('Política de stock'!$D$5:$D$119,D9,'Política de stock'!$F$5:$F$119,"&lt;"&amp;'Política de stock'!F9)/COUNTIF('Política de stock'!$D$5:$D$119,D9),0)</f>
        <v>0.5882352941</v>
      </c>
      <c r="N9" s="7" t="str">
        <f>IF(M9&gt;=UmbVol,"Alto","Bajo")</f>
        <v>Alto</v>
      </c>
      <c r="O9" s="7" t="str">
        <f t="shared" si="2"/>
        <v>Alta</v>
      </c>
      <c r="P9" s="11">
        <f>'Política de stock'!X9</f>
        <v>2.293158376</v>
      </c>
      <c r="Q9" s="5">
        <f>HuellaPallet</f>
        <v>1.2</v>
      </c>
      <c r="R9" s="5">
        <v>1.0</v>
      </c>
      <c r="S9" s="17">
        <f t="shared" si="3"/>
        <v>2.751790051</v>
      </c>
      <c r="T9" s="5"/>
      <c r="U9" s="7" t="str">
        <f>IF(T9&lt;&gt;"",T9,IF(S9&lt;=UmbCajon,"Puesto de trabajo","Almacén"))</f>
        <v>Almacén</v>
      </c>
      <c r="V9" s="15">
        <f t="shared" si="4"/>
        <v>3</v>
      </c>
      <c r="W9" s="11">
        <f t="shared" si="5"/>
        <v>3.6</v>
      </c>
      <c r="X9" s="11">
        <f>W9*CoefCirc</f>
        <v>5.4</v>
      </c>
      <c r="Y9" s="7"/>
      <c r="Z9" s="11">
        <f t="shared" si="6"/>
        <v>5.400009</v>
      </c>
      <c r="AA9" s="7" t="str">
        <f t="shared" si="7"/>
        <v>Chapa y fleje (manuales)|Almacén|34,412682</v>
      </c>
    </row>
    <row r="10">
      <c r="A10" s="7" t="str">
        <f>'Política de stock'!A10</f>
        <v>P06</v>
      </c>
      <c r="B10" s="7" t="str">
        <f>'Política de stock'!B10</f>
        <v>MP-13</v>
      </c>
      <c r="C10" s="7" t="str">
        <f>'Política de stock'!C10</f>
        <v>Fleje LAF 1,25 × 135 mm (fondo 1 kg)</v>
      </c>
      <c r="D10" s="7" t="str">
        <f>'Política de stock'!D10</f>
        <v>kg</v>
      </c>
      <c r="E10" s="7" t="str">
        <f>'Política de stock'!E10</f>
        <v>Pradecon</v>
      </c>
      <c r="F10" s="7" t="str">
        <f>'Política de stock'!V10</f>
        <v>Chapa y fleje (manuales)</v>
      </c>
      <c r="G10" s="11">
        <f>'Política de stock'!G10</f>
        <v>128.6126592</v>
      </c>
      <c r="H10" s="11">
        <f>'Política de stock'!N10</f>
        <v>758.8146971</v>
      </c>
      <c r="I10" s="11">
        <f>'Política de stock'!U10</f>
        <v>2658.814697</v>
      </c>
      <c r="J10" s="13">
        <f t="shared" si="1"/>
        <v>20.67304039</v>
      </c>
      <c r="K10" s="14">
        <f>'Política de stock'!K10</f>
        <v>10</v>
      </c>
      <c r="L10" s="7" t="str">
        <f>IF(K10&gt;=UmbLT,"Alto","Bajo")</f>
        <v>Alto</v>
      </c>
      <c r="M10" s="16">
        <f>IF('Política de stock'!F10&gt;0,COUNTIFS('Política de stock'!$D$5:$D$119,D10,'Política de stock'!$F$5:$F$119,"&lt;"&amp;'Política de stock'!F10)/COUNTIF('Política de stock'!$D$5:$D$119,D10),0)</f>
        <v>0.7647058824</v>
      </c>
      <c r="N10" s="7" t="str">
        <f>IF(M10&gt;=UmbVol,"Alto","Bajo")</f>
        <v>Alto</v>
      </c>
      <c r="O10" s="7" t="str">
        <f t="shared" si="2"/>
        <v>Alta</v>
      </c>
      <c r="P10" s="11">
        <f>'Política de stock'!X10</f>
        <v>2.658814697</v>
      </c>
      <c r="Q10" s="5">
        <f>HuellaPallet</f>
        <v>1.2</v>
      </c>
      <c r="R10" s="5">
        <v>1.0</v>
      </c>
      <c r="S10" s="17">
        <f t="shared" si="3"/>
        <v>3.190577637</v>
      </c>
      <c r="T10" s="5"/>
      <c r="U10" s="7" t="str">
        <f>IF(T10&lt;&gt;"",T10,IF(S10&lt;=UmbCajon,"Puesto de trabajo","Almacén"))</f>
        <v>Almacén</v>
      </c>
      <c r="V10" s="15">
        <f t="shared" si="4"/>
        <v>3</v>
      </c>
      <c r="W10" s="11">
        <f t="shared" si="5"/>
        <v>3.6</v>
      </c>
      <c r="X10" s="11">
        <f>W10*CoefCirc</f>
        <v>5.4</v>
      </c>
      <c r="Y10" s="7"/>
      <c r="Z10" s="11">
        <f t="shared" si="6"/>
        <v>5.40001</v>
      </c>
      <c r="AA10" s="7" t="str">
        <f t="shared" si="7"/>
        <v>Chapa y fleje (manuales)|Almacén|20,67304</v>
      </c>
    </row>
    <row r="11">
      <c r="A11" s="7" t="str">
        <f>'Política de stock'!A11</f>
        <v>P07</v>
      </c>
      <c r="B11" s="7" t="str">
        <f>'Política de stock'!B11</f>
        <v>MP-06</v>
      </c>
      <c r="C11" s="7" t="str">
        <f>'Política de stock'!C11</f>
        <v>Fleje LAF 1,25 × 200 mm (cúpula y fondo 2,5 kg)</v>
      </c>
      <c r="D11" s="7" t="str">
        <f>'Política de stock'!D11</f>
        <v>kg</v>
      </c>
      <c r="E11" s="7" t="str">
        <f>'Política de stock'!E11</f>
        <v>Pacheco Chapas</v>
      </c>
      <c r="F11" s="7" t="str">
        <f>'Política de stock'!V11</f>
        <v>Chapa y fleje (manuales)</v>
      </c>
      <c r="G11" s="11">
        <f>'Política de stock'!G11</f>
        <v>38.37713625</v>
      </c>
      <c r="H11" s="11">
        <f>'Política de stock'!N11</f>
        <v>180.3725419</v>
      </c>
      <c r="I11" s="11">
        <f>'Política de stock'!U11</f>
        <v>1164.372542</v>
      </c>
      <c r="J11" s="13">
        <f t="shared" si="1"/>
        <v>30.34026651</v>
      </c>
      <c r="K11" s="14">
        <f>'Política de stock'!K11</f>
        <v>10</v>
      </c>
      <c r="L11" s="7" t="str">
        <f>IF(K11&gt;=UmbLT,"Alto","Bajo")</f>
        <v>Alto</v>
      </c>
      <c r="M11" s="16">
        <f>IF('Política de stock'!F11&gt;0,COUNTIFS('Política de stock'!$D$5:$D$119,D11,'Política de stock'!$F$5:$F$119,"&lt;"&amp;'Política de stock'!F11)/COUNTIF('Política de stock'!$D$5:$D$119,D11),0)</f>
        <v>0.5294117647</v>
      </c>
      <c r="N11" s="7" t="str">
        <f>IF(M11&gt;=UmbVol,"Alto","Bajo")</f>
        <v>Alto</v>
      </c>
      <c r="O11" s="7" t="str">
        <f t="shared" si="2"/>
        <v>Alta</v>
      </c>
      <c r="P11" s="11">
        <f>'Política de stock'!X11</f>
        <v>2.366610857</v>
      </c>
      <c r="Q11" s="5">
        <f>HuellaPallet</f>
        <v>1.2</v>
      </c>
      <c r="R11" s="5">
        <v>1.0</v>
      </c>
      <c r="S11" s="17">
        <f t="shared" si="3"/>
        <v>2.839933029</v>
      </c>
      <c r="T11" s="5"/>
      <c r="U11" s="7" t="str">
        <f>IF(T11&lt;&gt;"",T11,IF(S11&lt;=UmbCajon,"Puesto de trabajo","Almacén"))</f>
        <v>Almacén</v>
      </c>
      <c r="V11" s="15">
        <f t="shared" si="4"/>
        <v>3</v>
      </c>
      <c r="W11" s="11">
        <f t="shared" si="5"/>
        <v>3.6</v>
      </c>
      <c r="X11" s="11">
        <f>W11*CoefCirc</f>
        <v>5.4</v>
      </c>
      <c r="Y11" s="7"/>
      <c r="Z11" s="11">
        <f t="shared" si="6"/>
        <v>5.400011</v>
      </c>
      <c r="AA11" s="7" t="str">
        <f t="shared" si="7"/>
        <v>Chapa y fleje (manuales)|Almacén|30,340267</v>
      </c>
    </row>
    <row r="12">
      <c r="A12" s="7" t="str">
        <f>'Política de stock'!A12</f>
        <v>P08</v>
      </c>
      <c r="B12" s="7" t="str">
        <f>'Política de stock'!B12</f>
        <v>MP-07</v>
      </c>
      <c r="C12" s="7" t="str">
        <f>'Política de stock'!C12</f>
        <v>Fleje LAF 1,6 × 250 mm (cúpula 5 kg)</v>
      </c>
      <c r="D12" s="7" t="str">
        <f>'Política de stock'!D12</f>
        <v>kg</v>
      </c>
      <c r="E12" s="7" t="str">
        <f>'Política de stock'!E12</f>
        <v>Pacheco Chapas</v>
      </c>
      <c r="F12" s="7" t="str">
        <f>'Política de stock'!V12</f>
        <v>Chapa y fleje (manuales)</v>
      </c>
      <c r="G12" s="11">
        <f>'Política de stock'!G12</f>
        <v>191.561975</v>
      </c>
      <c r="H12" s="11">
        <f>'Política de stock'!N12</f>
        <v>900.3412625</v>
      </c>
      <c r="I12" s="11">
        <f>'Política de stock'!U12</f>
        <v>2745.341263</v>
      </c>
      <c r="J12" s="13">
        <f t="shared" si="1"/>
        <v>14.33134766</v>
      </c>
      <c r="K12" s="14">
        <f>'Política de stock'!K12</f>
        <v>10</v>
      </c>
      <c r="L12" s="7" t="str">
        <f>IF(K12&gt;=UmbLT,"Alto","Bajo")</f>
        <v>Alto</v>
      </c>
      <c r="M12" s="16">
        <f>IF('Política de stock'!F12&gt;0,COUNTIFS('Política de stock'!$D$5:$D$119,D12,'Política de stock'!$F$5:$F$119,"&lt;"&amp;'Política de stock'!F12)/COUNTIF('Política de stock'!$D$5:$D$119,D12),0)</f>
        <v>0.8235294118</v>
      </c>
      <c r="N12" s="7" t="str">
        <f>IF(M12&gt;=UmbVol,"Alto","Bajo")</f>
        <v>Alto</v>
      </c>
      <c r="O12" s="7" t="str">
        <f t="shared" si="2"/>
        <v>Alta</v>
      </c>
      <c r="P12" s="11">
        <f>'Política de stock'!X12</f>
        <v>4.463969533</v>
      </c>
      <c r="Q12" s="5">
        <f>HuellaPallet</f>
        <v>1.2</v>
      </c>
      <c r="R12" s="5">
        <v>1.0</v>
      </c>
      <c r="S12" s="17">
        <f t="shared" si="3"/>
        <v>5.356763439</v>
      </c>
      <c r="T12" s="5"/>
      <c r="U12" s="7" t="str">
        <f>IF(T12&lt;&gt;"",T12,IF(S12&lt;=UmbCajon,"Puesto de trabajo","Almacén"))</f>
        <v>Almacén</v>
      </c>
      <c r="V12" s="15">
        <f t="shared" si="4"/>
        <v>5</v>
      </c>
      <c r="W12" s="11">
        <f t="shared" si="5"/>
        <v>6</v>
      </c>
      <c r="X12" s="11">
        <f>W12*CoefCirc</f>
        <v>9</v>
      </c>
      <c r="Y12" s="7"/>
      <c r="Z12" s="11">
        <f t="shared" si="6"/>
        <v>9.000012</v>
      </c>
      <c r="AA12" s="7" t="str">
        <f t="shared" si="7"/>
        <v>Chapa y fleje (manuales)|Almacén|14,331348</v>
      </c>
    </row>
    <row r="13">
      <c r="A13" s="7" t="str">
        <f>'Política de stock'!A13</f>
        <v>P09</v>
      </c>
      <c r="B13" s="7" t="str">
        <f>'Política de stock'!B13</f>
        <v>MP-08</v>
      </c>
      <c r="C13" s="7" t="str">
        <f>'Política de stock'!C13</f>
        <v>Fleje LAF 1,6 × 200 mm (fondo 5 kg)</v>
      </c>
      <c r="D13" s="7" t="str">
        <f>'Política de stock'!D13</f>
        <v>kg</v>
      </c>
      <c r="E13" s="7" t="str">
        <f>'Política de stock'!E13</f>
        <v>Pacheco Chapas</v>
      </c>
      <c r="F13" s="7" t="str">
        <f>'Política de stock'!V13</f>
        <v>Chapa y fleje (manuales)</v>
      </c>
      <c r="G13" s="11">
        <f>'Política de stock'!G13</f>
        <v>123.1469842</v>
      </c>
      <c r="H13" s="11">
        <f>'Política de stock'!N13</f>
        <v>578.7908346</v>
      </c>
      <c r="I13" s="11">
        <f>'Política de stock'!U13</f>
        <v>1562.790835</v>
      </c>
      <c r="J13" s="13">
        <f t="shared" si="1"/>
        <v>12.69045154</v>
      </c>
      <c r="K13" s="14">
        <f>'Política de stock'!K13</f>
        <v>10</v>
      </c>
      <c r="L13" s="7" t="str">
        <f>IF(K13&gt;=UmbLT,"Alto","Bajo")</f>
        <v>Alto</v>
      </c>
      <c r="M13" s="16">
        <f>IF('Política de stock'!F13&gt;0,COUNTIFS('Política de stock'!$D$5:$D$119,D13,'Política de stock'!$F$5:$F$119,"&lt;"&amp;'Política de stock'!F13)/COUNTIF('Política de stock'!$D$5:$D$119,D13),0)</f>
        <v>0.7058823529</v>
      </c>
      <c r="N13" s="7" t="str">
        <f>IF(M13&gt;=UmbVol,"Alto","Bajo")</f>
        <v>Alto</v>
      </c>
      <c r="O13" s="7" t="str">
        <f t="shared" si="2"/>
        <v>Alta</v>
      </c>
      <c r="P13" s="11">
        <f>'Política de stock'!X13</f>
        <v>3.176404135</v>
      </c>
      <c r="Q13" s="5">
        <f>HuellaPallet</f>
        <v>1.2</v>
      </c>
      <c r="R13" s="5">
        <v>1.0</v>
      </c>
      <c r="S13" s="17">
        <f t="shared" si="3"/>
        <v>3.811684962</v>
      </c>
      <c r="T13" s="5"/>
      <c r="U13" s="7" t="str">
        <f>IF(T13&lt;&gt;"",T13,IF(S13&lt;=UmbCajon,"Puesto de trabajo","Almacén"))</f>
        <v>Almacén</v>
      </c>
      <c r="V13" s="15">
        <f t="shared" si="4"/>
        <v>4</v>
      </c>
      <c r="W13" s="11">
        <f t="shared" si="5"/>
        <v>4.8</v>
      </c>
      <c r="X13" s="11">
        <f>W13*CoefCirc</f>
        <v>7.2</v>
      </c>
      <c r="Y13" s="7"/>
      <c r="Z13" s="11">
        <f t="shared" si="6"/>
        <v>7.200013</v>
      </c>
      <c r="AA13" s="7" t="str">
        <f t="shared" si="7"/>
        <v>Chapa y fleje (manuales)|Almacén|12,690452</v>
      </c>
    </row>
    <row r="14">
      <c r="A14" s="7" t="str">
        <f>'Política de stock'!A14</f>
        <v>P10</v>
      </c>
      <c r="B14" s="7" t="str">
        <f>'Política de stock'!B14</f>
        <v>MP-09</v>
      </c>
      <c r="C14" s="7" t="str">
        <f>'Política de stock'!C14</f>
        <v>Fleje LAF 1,6 × 300 mm (cúpula 10 kg)</v>
      </c>
      <c r="D14" s="7" t="str">
        <f>'Política de stock'!D14</f>
        <v>kg</v>
      </c>
      <c r="E14" s="7" t="str">
        <f>'Política de stock'!E14</f>
        <v>Pacheco Chapas</v>
      </c>
      <c r="F14" s="7" t="str">
        <f>'Política de stock'!V14</f>
        <v>Chapa y fleje (manuales)</v>
      </c>
      <c r="G14" s="11">
        <f>'Política de stock'!G14</f>
        <v>15.79360917</v>
      </c>
      <c r="H14" s="11">
        <f>'Política de stock'!N14</f>
        <v>74.22997208</v>
      </c>
      <c r="I14" s="11">
        <f>'Política de stock'!U14</f>
        <v>664.2299721</v>
      </c>
      <c r="J14" s="13">
        <f t="shared" si="1"/>
        <v>42.05688295</v>
      </c>
      <c r="K14" s="14">
        <f>'Política de stock'!K14</f>
        <v>10</v>
      </c>
      <c r="L14" s="7" t="str">
        <f>IF(K14&gt;=UmbLT,"Alto","Bajo")</f>
        <v>Alto</v>
      </c>
      <c r="M14" s="16">
        <f>IF('Política de stock'!F14&gt;0,COUNTIFS('Política de stock'!$D$5:$D$119,D14,'Política de stock'!$F$5:$F$119,"&lt;"&amp;'Política de stock'!F14)/COUNTIF('Política de stock'!$D$5:$D$119,D14),0)</f>
        <v>0.4117647059</v>
      </c>
      <c r="N14" s="7" t="str">
        <f>IF(M14&gt;=UmbVol,"Alto","Bajo")</f>
        <v>Bajo</v>
      </c>
      <c r="O14" s="7" t="str">
        <f t="shared" si="2"/>
        <v>Media</v>
      </c>
      <c r="P14" s="11">
        <f>'Política de stock'!X14</f>
        <v>0.9000406126</v>
      </c>
      <c r="Q14" s="5">
        <f>HuellaPallet</f>
        <v>1.2</v>
      </c>
      <c r="R14" s="5">
        <v>1.0</v>
      </c>
      <c r="S14" s="17">
        <f t="shared" si="3"/>
        <v>1.080048735</v>
      </c>
      <c r="T14" s="5"/>
      <c r="U14" s="7" t="str">
        <f>IF(T14&lt;&gt;"",T14,IF(S14&lt;=UmbCajon,"Puesto de trabajo","Almacén"))</f>
        <v>Almacén</v>
      </c>
      <c r="V14" s="15">
        <f t="shared" si="4"/>
        <v>1</v>
      </c>
      <c r="W14" s="11">
        <f t="shared" si="5"/>
        <v>1.2</v>
      </c>
      <c r="X14" s="11">
        <f>W14*CoefCirc</f>
        <v>1.8</v>
      </c>
      <c r="Y14" s="7"/>
      <c r="Z14" s="11">
        <f t="shared" si="6"/>
        <v>1.800014</v>
      </c>
      <c r="AA14" s="7" t="str">
        <f t="shared" si="7"/>
        <v>Chapa y fleje (manuales)|Almacén|42,056883</v>
      </c>
    </row>
    <row r="15">
      <c r="A15" s="7" t="str">
        <f>'Política de stock'!A15</f>
        <v>P11</v>
      </c>
      <c r="B15" s="7" t="str">
        <f>'Política de stock'!B15</f>
        <v>MP-10</v>
      </c>
      <c r="C15" s="7" t="str">
        <f>'Política de stock'!C15</f>
        <v>Fleje LAF 2,0 × 249 mm (fondo 10 kg)</v>
      </c>
      <c r="D15" s="7" t="str">
        <f>'Política de stock'!D15</f>
        <v>kg</v>
      </c>
      <c r="E15" s="7" t="str">
        <f>'Política de stock'!E15</f>
        <v>Pacheco Chapas</v>
      </c>
      <c r="F15" s="7" t="str">
        <f>'Política de stock'!V15</f>
        <v>Chapa y fleje (manuales)</v>
      </c>
      <c r="G15" s="11">
        <f>'Política de stock'!G15</f>
        <v>13.05847083</v>
      </c>
      <c r="H15" s="11">
        <f>'Política de stock'!N15</f>
        <v>61.37479792</v>
      </c>
      <c r="I15" s="11">
        <f>'Política de stock'!U15</f>
        <v>559.3747979</v>
      </c>
      <c r="J15" s="13">
        <f t="shared" si="1"/>
        <v>42.83616398</v>
      </c>
      <c r="K15" s="14">
        <f>'Política de stock'!K15</f>
        <v>10</v>
      </c>
      <c r="L15" s="7" t="str">
        <f>IF(K15&gt;=UmbLT,"Alto","Bajo")</f>
        <v>Alto</v>
      </c>
      <c r="M15" s="16">
        <f>IF('Política de stock'!F15&gt;0,COUNTIFS('Política de stock'!$D$5:$D$119,D15,'Política de stock'!$F$5:$F$119,"&lt;"&amp;'Política de stock'!F15)/COUNTIF('Política de stock'!$D$5:$D$119,D15),0)</f>
        <v>0.2941176471</v>
      </c>
      <c r="N15" s="7" t="str">
        <f>IF(M15&gt;=UmbVol,"Alto","Bajo")</f>
        <v>Bajo</v>
      </c>
      <c r="O15" s="7" t="str">
        <f t="shared" si="2"/>
        <v>Media</v>
      </c>
      <c r="P15" s="11">
        <f>'Política de stock'!X15</f>
        <v>1.123242566</v>
      </c>
      <c r="Q15" s="5">
        <f>HuellaPallet</f>
        <v>1.2</v>
      </c>
      <c r="R15" s="5">
        <v>1.0</v>
      </c>
      <c r="S15" s="17">
        <f t="shared" si="3"/>
        <v>1.347891079</v>
      </c>
      <c r="T15" s="5"/>
      <c r="U15" s="7" t="str">
        <f>IF(T15&lt;&gt;"",T15,IF(S15&lt;=UmbCajon,"Puesto de trabajo","Almacén"))</f>
        <v>Almacén</v>
      </c>
      <c r="V15" s="15">
        <f t="shared" si="4"/>
        <v>2</v>
      </c>
      <c r="W15" s="11">
        <f t="shared" si="5"/>
        <v>2.4</v>
      </c>
      <c r="X15" s="11">
        <f>W15*CoefCirc</f>
        <v>3.6</v>
      </c>
      <c r="Y15" s="7"/>
      <c r="Z15" s="11">
        <f t="shared" si="6"/>
        <v>3.600015</v>
      </c>
      <c r="AA15" s="7" t="str">
        <f t="shared" si="7"/>
        <v>Chapa y fleje (manuales)|Almacén|42,836164</v>
      </c>
    </row>
    <row r="16">
      <c r="A16" s="7" t="str">
        <f>'Política de stock'!A16</f>
        <v>P12</v>
      </c>
      <c r="B16" s="7" t="str">
        <f>'Política de stock'!B16</f>
        <v>MP-11</v>
      </c>
      <c r="C16" s="7" t="str">
        <f>'Política de stock'!C16</f>
        <v>Hoja LAC 3,2 × 1500 × 3000 mm</v>
      </c>
      <c r="D16" s="7" t="str">
        <f>'Política de stock'!D16</f>
        <v>hoja</v>
      </c>
      <c r="E16" s="7" t="str">
        <f>'Política de stock'!E16</f>
        <v>Pradecon</v>
      </c>
      <c r="F16" s="7" t="str">
        <f>'Política de stock'!V16</f>
        <v>Calle de chapa (carros)</v>
      </c>
      <c r="G16" s="11">
        <f>'Política de stock'!G16</f>
        <v>1.543964583</v>
      </c>
      <c r="H16" s="11">
        <f>'Política de stock'!N16</f>
        <v>3.551101042</v>
      </c>
      <c r="I16" s="11">
        <f>'Política de stock'!U16</f>
        <v>43.55110104</v>
      </c>
      <c r="J16" s="13">
        <f t="shared" si="1"/>
        <v>28.20731869</v>
      </c>
      <c r="K16" s="14">
        <f>'Política de stock'!K16</f>
        <v>10</v>
      </c>
      <c r="L16" s="7" t="str">
        <f>IF(K16&gt;=UmbLT,"Alto","Bajo")</f>
        <v>Alto</v>
      </c>
      <c r="M16" s="16">
        <f>IF('Política de stock'!F16&gt;0,COUNTIFS('Política de stock'!$D$5:$D$119,D16,'Política de stock'!$F$5:$F$119,"&lt;"&amp;'Política de stock'!F16)/COUNTIF('Política de stock'!$D$5:$D$119,D16),0)</f>
        <v>0.4</v>
      </c>
      <c r="N16" s="7" t="str">
        <f>IF(M16&gt;=UmbVol,"Alto","Bajo")</f>
        <v>Bajo</v>
      </c>
      <c r="O16" s="7" t="str">
        <f t="shared" si="2"/>
        <v>Media</v>
      </c>
      <c r="P16" s="11">
        <f>'Política de stock'!X16</f>
        <v>1.088777526</v>
      </c>
      <c r="Q16" s="5">
        <v>4.5</v>
      </c>
      <c r="R16" s="5">
        <v>2.0</v>
      </c>
      <c r="S16" s="17">
        <f t="shared" si="3"/>
        <v>2.449749434</v>
      </c>
      <c r="T16" s="5"/>
      <c r="U16" s="7" t="str">
        <f>IF(T16&lt;&gt;"",T16,IF(S16&lt;=UmbCajon,"Puesto de trabajo","Almacén"))</f>
        <v>Almacén</v>
      </c>
      <c r="V16" s="15">
        <f t="shared" si="4"/>
        <v>2</v>
      </c>
      <c r="W16" s="11">
        <f t="shared" si="5"/>
        <v>4.5</v>
      </c>
      <c r="X16" s="11">
        <f>W16*CoefCirc</f>
        <v>6.75</v>
      </c>
      <c r="Y16" s="7"/>
      <c r="Z16" s="11">
        <f t="shared" si="6"/>
        <v>6.750016</v>
      </c>
      <c r="AA16" s="7" t="str">
        <f t="shared" si="7"/>
        <v>Calle de chapa (carros)|Almacén|28,207319</v>
      </c>
    </row>
    <row r="17">
      <c r="A17" s="7" t="str">
        <f>'Política de stock'!A17</f>
        <v>P13</v>
      </c>
      <c r="B17" s="7" t="str">
        <f>'Política de stock'!B17</f>
        <v>MP-12</v>
      </c>
      <c r="C17" s="7" t="str">
        <f>'Política de stock'!C17</f>
        <v>Hoja LAC 4,75 × 1500 × 3000 mm</v>
      </c>
      <c r="D17" s="7" t="str">
        <f>'Política de stock'!D17</f>
        <v>hoja</v>
      </c>
      <c r="E17" s="7" t="str">
        <f>'Política de stock'!E17</f>
        <v>Pradecon</v>
      </c>
      <c r="F17" s="7" t="str">
        <f>'Política de stock'!V17</f>
        <v>Calle de chapa (carros)</v>
      </c>
      <c r="G17" s="11">
        <f>'Política de stock'!G17</f>
        <v>0.68830625</v>
      </c>
      <c r="H17" s="11">
        <f>'Política de stock'!N17</f>
        <v>1.583096875</v>
      </c>
      <c r="I17" s="11">
        <f>'Política de stock'!U17</f>
        <v>16.58309688</v>
      </c>
      <c r="J17" s="13">
        <f t="shared" si="1"/>
        <v>24.09261412</v>
      </c>
      <c r="K17" s="14">
        <f>'Política de stock'!K17</f>
        <v>10</v>
      </c>
      <c r="L17" s="7" t="str">
        <f>IF(K17&gt;=UmbLT,"Alto","Bajo")</f>
        <v>Alto</v>
      </c>
      <c r="M17" s="16">
        <f>IF('Política de stock'!F17&gt;0,COUNTIFS('Política de stock'!$D$5:$D$119,D17,'Política de stock'!$F$5:$F$119,"&lt;"&amp;'Política de stock'!F17)/COUNTIF('Política de stock'!$D$5:$D$119,D17),0)</f>
        <v>0</v>
      </c>
      <c r="N17" s="7" t="str">
        <f>IF(M17&gt;=UmbVol,"Alto","Bajo")</f>
        <v>Bajo</v>
      </c>
      <c r="O17" s="7" t="str">
        <f t="shared" si="2"/>
        <v>Media</v>
      </c>
      <c r="P17" s="11">
        <f>'Política de stock'!X17</f>
        <v>0.5527698958</v>
      </c>
      <c r="Q17" s="5">
        <v>4.5</v>
      </c>
      <c r="R17" s="5">
        <v>2.0</v>
      </c>
      <c r="S17" s="17">
        <f t="shared" si="3"/>
        <v>1.243732266</v>
      </c>
      <c r="T17" s="5"/>
      <c r="U17" s="7" t="str">
        <f>IF(T17&lt;&gt;"",T17,IF(S17&lt;=UmbCajon,"Puesto de trabajo","Almacén"))</f>
        <v>Almacén</v>
      </c>
      <c r="V17" s="15">
        <f t="shared" si="4"/>
        <v>1</v>
      </c>
      <c r="W17" s="11">
        <f t="shared" si="5"/>
        <v>4.5</v>
      </c>
      <c r="X17" s="11">
        <f>W17*CoefCirc</f>
        <v>6.75</v>
      </c>
      <c r="Y17" s="7"/>
      <c r="Z17" s="11">
        <f t="shared" si="6"/>
        <v>6.750017</v>
      </c>
      <c r="AA17" s="7" t="str">
        <f t="shared" si="7"/>
        <v>Calle de chapa (carros)|Almacén|24,092614</v>
      </c>
    </row>
    <row r="18">
      <c r="A18" s="7" t="str">
        <f>'Política de stock'!A18</f>
        <v>P14</v>
      </c>
      <c r="B18" s="7" t="str">
        <f>'Política de stock'!B18</f>
        <v>MP-15</v>
      </c>
      <c r="C18" s="7" t="str">
        <f>'Política de stock'!C18</f>
        <v>Casquete 10" × 3,2 mm (carro 25 kg)</v>
      </c>
      <c r="D18" s="7" t="str">
        <f>'Política de stock'!D18</f>
        <v>u</v>
      </c>
      <c r="E18" s="7" t="str">
        <f>'Política de stock'!E18</f>
        <v>Importado</v>
      </c>
      <c r="F18" s="7" t="str">
        <f>'Política de stock'!V18</f>
        <v>Rack de casquetes y cuplas (carros)</v>
      </c>
      <c r="G18" s="11">
        <f>'Política de stock'!G18</f>
        <v>6.460587917</v>
      </c>
      <c r="H18" s="11">
        <f>'Política de stock'!N18</f>
        <v>31.010825</v>
      </c>
      <c r="I18" s="11">
        <f>'Política de stock'!U18</f>
        <v>431.010825</v>
      </c>
      <c r="J18" s="13">
        <f t="shared" si="1"/>
        <v>66.7138704</v>
      </c>
      <c r="K18" s="14">
        <f>'Política de stock'!K18</f>
        <v>60</v>
      </c>
      <c r="L18" s="7" t="str">
        <f>IF(K18&gt;=UmbLT,"Alto","Bajo")</f>
        <v>Alto</v>
      </c>
      <c r="M18" s="16">
        <f>IF('Política de stock'!F18&gt;0,COUNTIFS('Política de stock'!$D$5:$D$119,D18,'Política de stock'!$F$5:$F$119,"&lt;"&amp;'Política de stock'!F18)/COUNTIF('Política de stock'!$D$5:$D$119,D18),0)</f>
        <v>0.3734939759</v>
      </c>
      <c r="N18" s="7" t="str">
        <f>IF(M18&gt;=UmbVol,"Alto","Bajo")</f>
        <v>Bajo</v>
      </c>
      <c r="O18" s="7" t="str">
        <f t="shared" si="2"/>
        <v>Media</v>
      </c>
      <c r="P18" s="11">
        <f>'Política de stock'!X18</f>
        <v>1.077527063</v>
      </c>
      <c r="Q18" s="5">
        <f>HuellaPallet</f>
        <v>1.2</v>
      </c>
      <c r="R18" s="5">
        <f>NivPallet</f>
        <v>4</v>
      </c>
      <c r="S18" s="17">
        <f t="shared" si="3"/>
        <v>0.3232581188</v>
      </c>
      <c r="T18" s="5"/>
      <c r="U18" s="7" t="str">
        <f>IF(T18&lt;&gt;"",T18,IF(S18&lt;=UmbCajon,"Puesto de trabajo","Almacén"))</f>
        <v>Almacén</v>
      </c>
      <c r="V18" s="15">
        <f t="shared" si="4"/>
        <v>2</v>
      </c>
      <c r="W18" s="11">
        <f t="shared" si="5"/>
        <v>1.2</v>
      </c>
      <c r="X18" s="11">
        <f>W18*CoefCirc</f>
        <v>1.8</v>
      </c>
      <c r="Y18" s="7"/>
      <c r="Z18" s="11">
        <f t="shared" si="6"/>
        <v>1.800018</v>
      </c>
      <c r="AA18" s="7" t="str">
        <f t="shared" si="7"/>
        <v>Rack de casquetes y cuplas (carros)|Almacén|66,71387</v>
      </c>
    </row>
    <row r="19">
      <c r="A19" s="7" t="str">
        <f>'Política de stock'!A19</f>
        <v>P15</v>
      </c>
      <c r="B19" s="7" t="str">
        <f>'Política de stock'!B19</f>
        <v>MP-16</v>
      </c>
      <c r="C19" s="7" t="str">
        <f>'Política de stock'!C19</f>
        <v>Casquete 12" × 3,2 mm (carro 50 kg)</v>
      </c>
      <c r="D19" s="7" t="str">
        <f>'Política de stock'!D19</f>
        <v>u</v>
      </c>
      <c r="E19" s="7" t="str">
        <f>'Política de stock'!E19</f>
        <v>Importado</v>
      </c>
      <c r="F19" s="7" t="str">
        <f>'Política de stock'!V19</f>
        <v>Rack de casquetes y cuplas (carros)</v>
      </c>
      <c r="G19" s="11">
        <f>'Política de stock'!G19</f>
        <v>14.22051708</v>
      </c>
      <c r="H19" s="11">
        <f>'Política de stock'!N19</f>
        <v>68.258575</v>
      </c>
      <c r="I19" s="11">
        <f>'Política de stock'!U19</f>
        <v>968.258575</v>
      </c>
      <c r="J19" s="13">
        <f t="shared" si="1"/>
        <v>68.0888444</v>
      </c>
      <c r="K19" s="14">
        <f>'Política de stock'!K19</f>
        <v>60</v>
      </c>
      <c r="L19" s="7" t="str">
        <f>IF(K19&gt;=UmbLT,"Alto","Bajo")</f>
        <v>Alto</v>
      </c>
      <c r="M19" s="16">
        <f>IF('Política de stock'!F19&gt;0,COUNTIFS('Política de stock'!$D$5:$D$119,D19,'Política de stock'!$F$5:$F$119,"&lt;"&amp;'Política de stock'!F19)/COUNTIF('Política de stock'!$D$5:$D$119,D19),0)</f>
        <v>0.4698795181</v>
      </c>
      <c r="N19" s="7" t="str">
        <f>IF(M19&gt;=UmbVol,"Alto","Bajo")</f>
        <v>Bajo</v>
      </c>
      <c r="O19" s="7" t="str">
        <f t="shared" si="2"/>
        <v>Media</v>
      </c>
      <c r="P19" s="11">
        <f>'Política de stock'!X19</f>
        <v>3.227528583</v>
      </c>
      <c r="Q19" s="5">
        <f>HuellaPallet</f>
        <v>1.2</v>
      </c>
      <c r="R19" s="5">
        <f>NivPallet</f>
        <v>4</v>
      </c>
      <c r="S19" s="17">
        <f t="shared" si="3"/>
        <v>0.968258575</v>
      </c>
      <c r="T19" s="5"/>
      <c r="U19" s="7" t="str">
        <f>IF(T19&lt;&gt;"",T19,IF(S19&lt;=UmbCajon,"Puesto de trabajo","Almacén"))</f>
        <v>Almacén</v>
      </c>
      <c r="V19" s="15">
        <f t="shared" si="4"/>
        <v>4</v>
      </c>
      <c r="W19" s="11">
        <f t="shared" si="5"/>
        <v>1.2</v>
      </c>
      <c r="X19" s="11">
        <f>W19*CoefCirc</f>
        <v>1.8</v>
      </c>
      <c r="Y19" s="7"/>
      <c r="Z19" s="11">
        <f t="shared" si="6"/>
        <v>1.800019</v>
      </c>
      <c r="AA19" s="7" t="str">
        <f t="shared" si="7"/>
        <v>Rack de casquetes y cuplas (carros)|Almacén|68,088844</v>
      </c>
    </row>
    <row r="20">
      <c r="A20" s="7" t="str">
        <f>'Política de stock'!A20</f>
        <v>P16</v>
      </c>
      <c r="B20" s="7" t="str">
        <f>'Política de stock'!B20</f>
        <v>MP-17</v>
      </c>
      <c r="C20" s="7" t="str">
        <f>'Política de stock'!C20</f>
        <v>Casquete 15" × 4,75 mm (carros 70 y 100 kg)</v>
      </c>
      <c r="D20" s="7" t="str">
        <f>'Política de stock'!D20</f>
        <v>u</v>
      </c>
      <c r="E20" s="7" t="str">
        <f>'Política de stock'!E20</f>
        <v>Importado</v>
      </c>
      <c r="F20" s="7" t="str">
        <f>'Política de stock'!V20</f>
        <v>Rack de casquetes y cuplas (carros)</v>
      </c>
      <c r="G20" s="11">
        <f>'Política de stock'!G20</f>
        <v>5.164754167</v>
      </c>
      <c r="H20" s="11">
        <f>'Política de stock'!N20</f>
        <v>24.79085</v>
      </c>
      <c r="I20" s="11">
        <f>'Política de stock'!U20</f>
        <v>324.79085</v>
      </c>
      <c r="J20" s="13">
        <f t="shared" si="1"/>
        <v>62.88602313</v>
      </c>
      <c r="K20" s="14">
        <f>'Política de stock'!K20</f>
        <v>60</v>
      </c>
      <c r="L20" s="7" t="str">
        <f>IF(K20&gt;=UmbLT,"Alto","Bajo")</f>
        <v>Alto</v>
      </c>
      <c r="M20" s="16">
        <f>IF('Política de stock'!F20&gt;0,COUNTIFS('Política de stock'!$D$5:$D$119,D20,'Política de stock'!$F$5:$F$119,"&lt;"&amp;'Política de stock'!F20)/COUNTIF('Política de stock'!$D$5:$D$119,D20),0)</f>
        <v>0.3253012048</v>
      </c>
      <c r="N20" s="7" t="str">
        <f>IF(M20&gt;=UmbVol,"Alto","Bajo")</f>
        <v>Bajo</v>
      </c>
      <c r="O20" s="7" t="str">
        <f t="shared" si="2"/>
        <v>Media</v>
      </c>
      <c r="P20" s="11">
        <f>'Política de stock'!X20</f>
        <v>2.165272333</v>
      </c>
      <c r="Q20" s="5">
        <f>HuellaPallet</f>
        <v>1.2</v>
      </c>
      <c r="R20" s="5">
        <f>NivPallet</f>
        <v>4</v>
      </c>
      <c r="S20" s="17">
        <f t="shared" si="3"/>
        <v>0.6495817</v>
      </c>
      <c r="T20" s="5"/>
      <c r="U20" s="7" t="str">
        <f>IF(T20&lt;&gt;"",T20,IF(S20&lt;=UmbCajon,"Puesto de trabajo","Almacén"))</f>
        <v>Almacén</v>
      </c>
      <c r="V20" s="15">
        <f t="shared" si="4"/>
        <v>3</v>
      </c>
      <c r="W20" s="11">
        <f t="shared" si="5"/>
        <v>1.2</v>
      </c>
      <c r="X20" s="11">
        <f>W20*CoefCirc</f>
        <v>1.8</v>
      </c>
      <c r="Y20" s="7"/>
      <c r="Z20" s="11">
        <f t="shared" si="6"/>
        <v>1.80002</v>
      </c>
      <c r="AA20" s="7" t="str">
        <f t="shared" si="7"/>
        <v>Rack de casquetes y cuplas (carros)|Almacén|62,886023</v>
      </c>
    </row>
    <row r="21" ht="15.75" customHeight="1">
      <c r="A21" s="7" t="str">
        <f>'Política de stock'!A21</f>
        <v>P17</v>
      </c>
      <c r="B21" s="7" t="str">
        <f>'Política de stock'!B21</f>
        <v>MP-18</v>
      </c>
      <c r="C21" s="7" t="str">
        <f>'Política de stock'!C21</f>
        <v>Asiento de válvula M22 × 1,5 (1 kg)</v>
      </c>
      <c r="D21" s="7" t="str">
        <f>'Política de stock'!D21</f>
        <v>u</v>
      </c>
      <c r="E21" s="7" t="str">
        <f>'Política de stock'!E21</f>
        <v>Eli-Met</v>
      </c>
      <c r="F21" s="7" t="str">
        <f>'Política de stock'!V21</f>
        <v>Insumos de montaje (manuales)</v>
      </c>
      <c r="G21" s="11">
        <f>'Política de stock'!G21</f>
        <v>844.2526629</v>
      </c>
      <c r="H21" s="11">
        <f>'Política de stock'!N21</f>
        <v>12461.16932</v>
      </c>
      <c r="I21" s="11">
        <f>'Política de stock'!U21</f>
        <v>37461.16932</v>
      </c>
      <c r="J21" s="13">
        <f t="shared" si="1"/>
        <v>44.37198834</v>
      </c>
      <c r="K21" s="14">
        <f>'Política de stock'!K21</f>
        <v>29</v>
      </c>
      <c r="L21" s="7" t="str">
        <f>IF(K21&gt;=UmbLT,"Alto","Bajo")</f>
        <v>Alto</v>
      </c>
      <c r="M21" s="16">
        <f>IF('Política de stock'!F21&gt;0,COUNTIFS('Política de stock'!$D$5:$D$119,D21,'Política de stock'!$F$5:$F$119,"&lt;"&amp;'Política de stock'!F21)/COUNTIF('Política de stock'!$D$5:$D$119,D21),0)</f>
        <v>0.9397590361</v>
      </c>
      <c r="N21" s="7" t="str">
        <f>IF(M21&gt;=UmbVol,"Alto","Bajo")</f>
        <v>Alto</v>
      </c>
      <c r="O21" s="7" t="str">
        <f t="shared" si="2"/>
        <v>Alta</v>
      </c>
      <c r="P21" s="11">
        <f>'Política de stock'!X21</f>
        <v>3.12176411</v>
      </c>
      <c r="Q21" s="5">
        <v>0.6</v>
      </c>
      <c r="R21" s="5">
        <v>5.0</v>
      </c>
      <c r="S21" s="17">
        <f t="shared" si="3"/>
        <v>0.3746116932</v>
      </c>
      <c r="T21" s="5"/>
      <c r="U21" s="7" t="str">
        <f>IF(T21&lt;&gt;"",T21,IF(S21&lt;=UmbCajon,"Puesto de trabajo","Almacén"))</f>
        <v>Almacén</v>
      </c>
      <c r="V21" s="15">
        <f t="shared" si="4"/>
        <v>4</v>
      </c>
      <c r="W21" s="11">
        <f t="shared" si="5"/>
        <v>0.6</v>
      </c>
      <c r="X21" s="11">
        <f>W21*CoefCirc</f>
        <v>0.9</v>
      </c>
      <c r="Y21" s="7"/>
      <c r="Z21" s="11">
        <f t="shared" si="6"/>
        <v>0.900021</v>
      </c>
      <c r="AA21" s="7" t="str">
        <f t="shared" si="7"/>
        <v>Insumos de montaje (manuales)|Almacén|44,371988</v>
      </c>
    </row>
    <row r="22" ht="15.75" customHeight="1">
      <c r="A22" s="7" t="str">
        <f>'Política de stock'!A22</f>
        <v>P18</v>
      </c>
      <c r="B22" s="7" t="str">
        <f>'Política de stock'!B22</f>
        <v>MP-19</v>
      </c>
      <c r="C22" s="7" t="str">
        <f>'Política de stock'!C22</f>
        <v>Asiento de válvula M30 × 1,5 (2,5 a 10 kg)</v>
      </c>
      <c r="D22" s="7" t="str">
        <f>'Política de stock'!D22</f>
        <v>u</v>
      </c>
      <c r="E22" s="7" t="str">
        <f>'Política de stock'!E22</f>
        <v>Eli-Met</v>
      </c>
      <c r="F22" s="7" t="str">
        <f>'Política de stock'!V22</f>
        <v>Insumos de montaje (manuales)</v>
      </c>
      <c r="G22" s="11">
        <f>'Política de stock'!G22</f>
        <v>347.1365063</v>
      </c>
      <c r="H22" s="11">
        <f>'Política de stock'!N22</f>
        <v>3915.699841</v>
      </c>
      <c r="I22" s="11">
        <f>'Política de stock'!U22</f>
        <v>13915.69984</v>
      </c>
      <c r="J22" s="13">
        <f t="shared" si="1"/>
        <v>40.08711153</v>
      </c>
      <c r="K22" s="14">
        <f>'Política de stock'!K22</f>
        <v>29</v>
      </c>
      <c r="L22" s="7" t="str">
        <f>IF(K22&gt;=UmbLT,"Alto","Bajo")</f>
        <v>Alto</v>
      </c>
      <c r="M22" s="16">
        <f>IF('Política de stock'!F22&gt;0,COUNTIFS('Política de stock'!$D$5:$D$119,D22,'Política de stock'!$F$5:$F$119,"&lt;"&amp;'Política de stock'!F22)/COUNTIF('Política de stock'!$D$5:$D$119,D22),0)</f>
        <v>0.8313253012</v>
      </c>
      <c r="N22" s="7" t="str">
        <f>IF(M22&gt;=UmbVol,"Alto","Bajo")</f>
        <v>Alto</v>
      </c>
      <c r="O22" s="7" t="str">
        <f t="shared" si="2"/>
        <v>Alta</v>
      </c>
      <c r="P22" s="11">
        <f>'Política de stock'!X22</f>
        <v>1.73946248</v>
      </c>
      <c r="Q22" s="5">
        <f>HuellaPallet</f>
        <v>1.2</v>
      </c>
      <c r="R22" s="5">
        <f>NivPallet</f>
        <v>4</v>
      </c>
      <c r="S22" s="17">
        <f t="shared" si="3"/>
        <v>0.521838744</v>
      </c>
      <c r="T22" s="5"/>
      <c r="U22" s="7" t="str">
        <f>IF(T22&lt;&gt;"",T22,IF(S22&lt;=UmbCajon,"Puesto de trabajo","Almacén"))</f>
        <v>Almacén</v>
      </c>
      <c r="V22" s="15">
        <f t="shared" si="4"/>
        <v>2</v>
      </c>
      <c r="W22" s="11">
        <f t="shared" si="5"/>
        <v>1.2</v>
      </c>
      <c r="X22" s="11">
        <f>W22*CoefCirc</f>
        <v>1.8</v>
      </c>
      <c r="Y22" s="7"/>
      <c r="Z22" s="11">
        <f t="shared" si="6"/>
        <v>1.800022</v>
      </c>
      <c r="AA22" s="7" t="str">
        <f t="shared" si="7"/>
        <v>Insumos de montaje (manuales)|Almacén|40,087112</v>
      </c>
    </row>
    <row r="23" ht="15.75" customHeight="1">
      <c r="A23" s="7" t="str">
        <f>'Política de stock'!A23</f>
        <v>P19</v>
      </c>
      <c r="B23" s="7" t="str">
        <f>'Política de stock'!B23</f>
        <v>MP-20</v>
      </c>
      <c r="C23" s="7" t="str">
        <f>'Política de stock'!C23</f>
        <v>Cupla M30 × 1,5 (carros 25 y 50 kg)</v>
      </c>
      <c r="D23" s="7" t="str">
        <f>'Política de stock'!D23</f>
        <v>u</v>
      </c>
      <c r="E23" s="7" t="str">
        <f>'Política de stock'!E23</f>
        <v>Eli-Met</v>
      </c>
      <c r="F23" s="7" t="str">
        <f>'Política de stock'!V23</f>
        <v>Rack de casquetes y cuplas (carros)</v>
      </c>
      <c r="G23" s="11">
        <f>'Política de stock'!G23</f>
        <v>10.3405525</v>
      </c>
      <c r="H23" s="11">
        <f>'Política de stock'!N23</f>
        <v>44.6711375</v>
      </c>
      <c r="I23" s="11">
        <f>'Política de stock'!U23</f>
        <v>544.6711375</v>
      </c>
      <c r="J23" s="13">
        <f t="shared" si="1"/>
        <v>52.67331098</v>
      </c>
      <c r="K23" s="14">
        <f>'Política de stock'!K23</f>
        <v>29</v>
      </c>
      <c r="L23" s="7" t="str">
        <f>IF(K23&gt;=UmbLT,"Alto","Bajo")</f>
        <v>Alto</v>
      </c>
      <c r="M23" s="16">
        <f>IF('Política de stock'!F23&gt;0,COUNTIFS('Política de stock'!$D$5:$D$119,D23,'Política de stock'!$F$5:$F$119,"&lt;"&amp;'Política de stock'!F23)/COUNTIF('Política de stock'!$D$5:$D$119,D23),0)</f>
        <v>0.4457831325</v>
      </c>
      <c r="N23" s="7" t="str">
        <f>IF(M23&gt;=UmbVol,"Alto","Bajo")</f>
        <v>Bajo</v>
      </c>
      <c r="O23" s="7" t="str">
        <f t="shared" si="2"/>
        <v>Media</v>
      </c>
      <c r="P23" s="11">
        <f>'Política de stock'!X23</f>
        <v>0.9077852292</v>
      </c>
      <c r="Q23" s="5">
        <f>HuellaPallet</f>
        <v>1.2</v>
      </c>
      <c r="R23" s="5">
        <f>NivPallet</f>
        <v>4</v>
      </c>
      <c r="S23" s="17">
        <f t="shared" si="3"/>
        <v>0.2723355688</v>
      </c>
      <c r="T23" s="5"/>
      <c r="U23" s="7" t="str">
        <f>IF(T23&lt;&gt;"",T23,IF(S23&lt;=UmbCajon,"Puesto de trabajo","Almacén"))</f>
        <v>Almacén</v>
      </c>
      <c r="V23" s="15">
        <f t="shared" si="4"/>
        <v>1</v>
      </c>
      <c r="W23" s="11">
        <f t="shared" si="5"/>
        <v>1.2</v>
      </c>
      <c r="X23" s="11">
        <f>W23*CoefCirc</f>
        <v>1.8</v>
      </c>
      <c r="Y23" s="7"/>
      <c r="Z23" s="11">
        <f t="shared" si="6"/>
        <v>1.800023</v>
      </c>
      <c r="AA23" s="7" t="str">
        <f t="shared" si="7"/>
        <v>Rack de casquetes y cuplas (carros)|Almacén|52,673311</v>
      </c>
    </row>
    <row r="24" ht="15.75" customHeight="1">
      <c r="A24" s="7" t="str">
        <f>'Política de stock'!A24</f>
        <v>P20</v>
      </c>
      <c r="B24" s="7" t="str">
        <f>'Política de stock'!B24</f>
        <v>MP-21</v>
      </c>
      <c r="C24" s="7" t="str">
        <f>'Política de stock'!C24</f>
        <v>Cupla 2½" BSP (carros 70 y 100 kg)</v>
      </c>
      <c r="D24" s="7" t="str">
        <f>'Política de stock'!D24</f>
        <v>u</v>
      </c>
      <c r="E24" s="7" t="str">
        <f>'Política de stock'!E24</f>
        <v>Eli-Met</v>
      </c>
      <c r="F24" s="7" t="str">
        <f>'Política de stock'!V24</f>
        <v>Rack de casquetes y cuplas (carros)</v>
      </c>
      <c r="G24" s="11">
        <f>'Política de stock'!G24</f>
        <v>2.582377083</v>
      </c>
      <c r="H24" s="11">
        <f>'Política de stock'!N24</f>
        <v>11.15580375</v>
      </c>
      <c r="I24" s="11">
        <f>'Política de stock'!U24</f>
        <v>131.1558038</v>
      </c>
      <c r="J24" s="13">
        <f t="shared" si="1"/>
        <v>50.78878859</v>
      </c>
      <c r="K24" s="14">
        <f>'Política de stock'!K24</f>
        <v>29</v>
      </c>
      <c r="L24" s="7" t="str">
        <f>IF(K24&gt;=UmbLT,"Alto","Bajo")</f>
        <v>Alto</v>
      </c>
      <c r="M24" s="16">
        <f>IF('Política de stock'!F24&gt;0,COUNTIFS('Política de stock'!$D$5:$D$119,D24,'Política de stock'!$F$5:$F$119,"&lt;"&amp;'Política de stock'!F24)/COUNTIF('Política de stock'!$D$5:$D$119,D24),0)</f>
        <v>0.2409638554</v>
      </c>
      <c r="N24" s="7" t="str">
        <f>IF(M24&gt;=UmbVol,"Alto","Bajo")</f>
        <v>Bajo</v>
      </c>
      <c r="O24" s="7" t="str">
        <f t="shared" si="2"/>
        <v>Media</v>
      </c>
      <c r="P24" s="11">
        <f>'Política de stock'!X24</f>
        <v>0.8197237734</v>
      </c>
      <c r="Q24" s="5">
        <f>HuellaPallet</f>
        <v>1.2</v>
      </c>
      <c r="R24" s="5">
        <f>NivPallet</f>
        <v>4</v>
      </c>
      <c r="S24" s="17">
        <f t="shared" si="3"/>
        <v>0.245917132</v>
      </c>
      <c r="T24" s="5"/>
      <c r="U24" s="7" t="str">
        <f>IF(T24&lt;&gt;"",T24,IF(S24&lt;=UmbCajon,"Puesto de trabajo","Almacén"))</f>
        <v>Almacén</v>
      </c>
      <c r="V24" s="15">
        <f t="shared" si="4"/>
        <v>1</v>
      </c>
      <c r="W24" s="11">
        <f t="shared" si="5"/>
        <v>1.2</v>
      </c>
      <c r="X24" s="11">
        <f>W24*CoefCirc</f>
        <v>1.8</v>
      </c>
      <c r="Y24" s="7"/>
      <c r="Z24" s="11">
        <f t="shared" si="6"/>
        <v>1.800024</v>
      </c>
      <c r="AA24" s="7" t="str">
        <f t="shared" si="7"/>
        <v>Rack de casquetes y cuplas (carros)|Almacén|50,788789</v>
      </c>
    </row>
    <row r="25" ht="15.75" customHeight="1">
      <c r="A25" s="7" t="str">
        <f>'Política de stock'!A25</f>
        <v>P21</v>
      </c>
      <c r="B25" s="7" t="str">
        <f>'Política de stock'!B25</f>
        <v>MP-66</v>
      </c>
      <c r="C25" s="7" t="str">
        <f>'Política de stock'!C25</f>
        <v>Caño SAE 1010 1" × 2,0 × 6 m (manija; caño del eje 25 kg)</v>
      </c>
      <c r="D25" s="7" t="str">
        <f>'Política de stock'!D25</f>
        <v>barra</v>
      </c>
      <c r="E25" s="7" t="str">
        <f>'Política de stock'!E25</f>
        <v>Centrosider</v>
      </c>
      <c r="F25" s="7" t="str">
        <f>'Política de stock'!V25</f>
        <v>Cantilever de caños y barras</v>
      </c>
      <c r="G25" s="11">
        <f>'Política de stock'!G25</f>
        <v>2.125464167</v>
      </c>
      <c r="H25" s="11">
        <f>'Política de stock'!N25</f>
        <v>1.700358333</v>
      </c>
      <c r="I25" s="11">
        <f>'Política de stock'!U25</f>
        <v>139.7003583</v>
      </c>
      <c r="J25" s="13">
        <f t="shared" si="1"/>
        <v>65.72698826</v>
      </c>
      <c r="K25" s="14">
        <f>'Política de stock'!K25</f>
        <v>10</v>
      </c>
      <c r="L25" s="7" t="str">
        <f>IF(K25&gt;=UmbLT,"Alto","Bajo")</f>
        <v>Alto</v>
      </c>
      <c r="M25" s="16">
        <f>IF('Política de stock'!F25&gt;0,COUNTIFS('Política de stock'!$D$5:$D$119,D25,'Política de stock'!$F$5:$F$119,"&lt;"&amp;'Política de stock'!F25)/COUNTIF('Política de stock'!$D$5:$D$119,D25),0)</f>
        <v>0.6</v>
      </c>
      <c r="N25" s="7" t="str">
        <f>IF(M25&gt;=UmbVol,"Alto","Bajo")</f>
        <v>Alto</v>
      </c>
      <c r="O25" s="7" t="str">
        <f t="shared" si="2"/>
        <v>Alta</v>
      </c>
      <c r="P25" s="11">
        <f>'Política de stock'!X25</f>
        <v>2.328339306</v>
      </c>
      <c r="Q25" s="5">
        <v>5.0</v>
      </c>
      <c r="R25" s="5">
        <v>3.0</v>
      </c>
      <c r="S25" s="17">
        <f t="shared" si="3"/>
        <v>3.880565509</v>
      </c>
      <c r="T25" s="5"/>
      <c r="U25" s="7" t="str">
        <f>IF(T25&lt;&gt;"",T25,IF(S25&lt;=UmbCajon,"Puesto de trabajo","Almacén"))</f>
        <v>Almacén</v>
      </c>
      <c r="V25" s="15">
        <f t="shared" si="4"/>
        <v>3</v>
      </c>
      <c r="W25" s="11">
        <f t="shared" si="5"/>
        <v>5</v>
      </c>
      <c r="X25" s="11">
        <f>W25*CoefCirc</f>
        <v>7.5</v>
      </c>
      <c r="Y25" s="7"/>
      <c r="Z25" s="11">
        <f t="shared" si="6"/>
        <v>7.500025</v>
      </c>
      <c r="AA25" s="7" t="str">
        <f t="shared" si="7"/>
        <v>Cantilever de caños y barras|Almacén|65,726988</v>
      </c>
    </row>
    <row r="26" ht="15.75" customHeight="1">
      <c r="A26" s="7" t="str">
        <f>'Política de stock'!A26</f>
        <v>P22</v>
      </c>
      <c r="B26" s="7" t="str">
        <f>'Política de stock'!B26</f>
        <v>MP-67</v>
      </c>
      <c r="C26" s="7" t="str">
        <f>'Política de stock'!C26</f>
        <v>Caño SAE 1010 1¼" × 2,0 × 6 m (caño del eje 50 a 100 kg)</v>
      </c>
      <c r="D26" s="7" t="str">
        <f>'Política de stock'!D26</f>
        <v>barra</v>
      </c>
      <c r="E26" s="7" t="str">
        <f>'Política de stock'!E26</f>
        <v>Centrosider</v>
      </c>
      <c r="F26" s="7" t="str">
        <f>'Política de stock'!V26</f>
        <v>Cantilever de caños y barras</v>
      </c>
      <c r="G26" s="11">
        <f>'Política de stock'!G26</f>
        <v>0.3734633333</v>
      </c>
      <c r="H26" s="11">
        <f>'Política de stock'!N26</f>
        <v>0.2987666667</v>
      </c>
      <c r="I26" s="11">
        <f>'Política de stock'!U26</f>
        <v>25.29876667</v>
      </c>
      <c r="J26" s="13">
        <f t="shared" si="1"/>
        <v>67.7409652</v>
      </c>
      <c r="K26" s="14">
        <f>'Política de stock'!K26</f>
        <v>10</v>
      </c>
      <c r="L26" s="7" t="str">
        <f>IF(K26&gt;=UmbLT,"Alto","Bajo")</f>
        <v>Alto</v>
      </c>
      <c r="M26" s="16">
        <f>IF('Política de stock'!F26&gt;0,COUNTIFS('Política de stock'!$D$5:$D$119,D26,'Política de stock'!$F$5:$F$119,"&lt;"&amp;'Política de stock'!F26)/COUNTIF('Política de stock'!$D$5:$D$119,D26),0)</f>
        <v>0.2</v>
      </c>
      <c r="N26" s="7" t="str">
        <f>IF(M26&gt;=UmbVol,"Alto","Bajo")</f>
        <v>Bajo</v>
      </c>
      <c r="O26" s="7" t="str">
        <f t="shared" si="2"/>
        <v>Media</v>
      </c>
      <c r="P26" s="11">
        <f>'Política de stock'!X26</f>
        <v>0.4216461111</v>
      </c>
      <c r="Q26" s="5">
        <v>5.0</v>
      </c>
      <c r="R26" s="5">
        <v>3.0</v>
      </c>
      <c r="S26" s="17">
        <f t="shared" si="3"/>
        <v>0.7027435185</v>
      </c>
      <c r="T26" s="5"/>
      <c r="U26" s="7" t="str">
        <f>IF(T26&lt;&gt;"",T26,IF(S26&lt;=UmbCajon,"Puesto de trabajo","Almacén"))</f>
        <v>Almacén</v>
      </c>
      <c r="V26" s="15">
        <f t="shared" si="4"/>
        <v>1</v>
      </c>
      <c r="W26" s="11">
        <f t="shared" si="5"/>
        <v>5</v>
      </c>
      <c r="X26" s="11">
        <f>W26*CoefCirc</f>
        <v>7.5</v>
      </c>
      <c r="Y26" s="7"/>
      <c r="Z26" s="11">
        <f t="shared" si="6"/>
        <v>7.500026</v>
      </c>
      <c r="AA26" s="7" t="str">
        <f t="shared" si="7"/>
        <v>Cantilever de caños y barras|Almacén|67,740965</v>
      </c>
    </row>
    <row r="27" ht="15.75" customHeight="1">
      <c r="A27" s="7" t="str">
        <f>'Política de stock'!A27</f>
        <v>P23</v>
      </c>
      <c r="B27" s="7" t="str">
        <f>'Política de stock'!B27</f>
        <v>MP-68</v>
      </c>
      <c r="C27" s="7" t="str">
        <f>'Política de stock'!C27</f>
        <v>Barra trefilada SAE 1045 3/4" × 4 m (eje 25 kg)</v>
      </c>
      <c r="D27" s="7" t="str">
        <f>'Política de stock'!D27</f>
        <v>barra</v>
      </c>
      <c r="E27" s="7" t="str">
        <f>'Política de stock'!E27</f>
        <v>Vladimirsky</v>
      </c>
      <c r="F27" s="7" t="str">
        <f>'Política de stock'!V27</f>
        <v>Cantilever de caños y barras</v>
      </c>
      <c r="G27" s="11">
        <f>'Política de stock'!G27</f>
        <v>0.2360783333</v>
      </c>
      <c r="H27" s="11">
        <f>'Política de stock'!N27</f>
        <v>0.1888666667</v>
      </c>
      <c r="I27" s="11">
        <f>'Política de stock'!U27</f>
        <v>16.18886667</v>
      </c>
      <c r="J27" s="13">
        <f t="shared" si="1"/>
        <v>68.57413147</v>
      </c>
      <c r="K27" s="14">
        <f>'Política de stock'!K27</f>
        <v>10</v>
      </c>
      <c r="L27" s="7" t="str">
        <f>IF(K27&gt;=UmbLT,"Alto","Bajo")</f>
        <v>Alto</v>
      </c>
      <c r="M27" s="16">
        <f>IF('Política de stock'!F27&gt;0,COUNTIFS('Política de stock'!$D$5:$D$119,D27,'Política de stock'!$F$5:$F$119,"&lt;"&amp;'Política de stock'!F27)/COUNTIF('Política de stock'!$D$5:$D$119,D27),0)</f>
        <v>0</v>
      </c>
      <c r="N27" s="7" t="str">
        <f>IF(M27&gt;=UmbVol,"Alto","Bajo")</f>
        <v>Bajo</v>
      </c>
      <c r="O27" s="7" t="str">
        <f t="shared" si="2"/>
        <v>Media</v>
      </c>
      <c r="P27" s="11">
        <f>'Política de stock'!X27</f>
        <v>0.2698144444</v>
      </c>
      <c r="Q27" s="5">
        <v>5.0</v>
      </c>
      <c r="R27" s="5">
        <v>3.0</v>
      </c>
      <c r="S27" s="17">
        <f t="shared" si="3"/>
        <v>0.4496907407</v>
      </c>
      <c r="T27" s="5"/>
      <c r="U27" s="7" t="str">
        <f>IF(T27&lt;&gt;"",T27,IF(S27&lt;=UmbCajon,"Puesto de trabajo","Almacén"))</f>
        <v>Almacén</v>
      </c>
      <c r="V27" s="15">
        <f t="shared" si="4"/>
        <v>1</v>
      </c>
      <c r="W27" s="11">
        <f t="shared" si="5"/>
        <v>5</v>
      </c>
      <c r="X27" s="11">
        <f>W27*CoefCirc</f>
        <v>7.5</v>
      </c>
      <c r="Y27" s="7"/>
      <c r="Z27" s="11">
        <f t="shared" si="6"/>
        <v>7.500027</v>
      </c>
      <c r="AA27" s="7" t="str">
        <f t="shared" si="7"/>
        <v>Cantilever de caños y barras|Almacén|68,574131</v>
      </c>
    </row>
    <row r="28" ht="15.75" customHeight="1">
      <c r="A28" s="7" t="str">
        <f>'Política de stock'!A28</f>
        <v>P24</v>
      </c>
      <c r="B28" s="7" t="str">
        <f>'Política de stock'!B28</f>
        <v>MP-69</v>
      </c>
      <c r="C28" s="7" t="str">
        <f>'Política de stock'!C28</f>
        <v>Barra trefilada SAE 1045 1" × 6 m (eje 50 a 100 kg)</v>
      </c>
      <c r="D28" s="7" t="str">
        <f>'Política de stock'!D28</f>
        <v>barra</v>
      </c>
      <c r="E28" s="7" t="str">
        <f>'Política de stock'!E28</f>
        <v>Vladimirsky</v>
      </c>
      <c r="F28" s="7" t="str">
        <f>'Política de stock'!V28</f>
        <v>Cantilever de caños y barras</v>
      </c>
      <c r="G28" s="11">
        <f>'Política de stock'!G28</f>
        <v>0.5293595833</v>
      </c>
      <c r="H28" s="11">
        <f>'Política de stock'!N28</f>
        <v>0.4235041667</v>
      </c>
      <c r="I28" s="11">
        <f>'Política de stock'!U28</f>
        <v>35.42350417</v>
      </c>
      <c r="J28" s="13">
        <f t="shared" si="1"/>
        <v>66.91765915</v>
      </c>
      <c r="K28" s="14">
        <f>'Política de stock'!K28</f>
        <v>10</v>
      </c>
      <c r="L28" s="7" t="str">
        <f>IF(K28&gt;=UmbLT,"Alto","Bajo")</f>
        <v>Alto</v>
      </c>
      <c r="M28" s="16">
        <f>IF('Política de stock'!F28&gt;0,COUNTIFS('Política de stock'!$D$5:$D$119,D28,'Política de stock'!$F$5:$F$119,"&lt;"&amp;'Política de stock'!F28)/COUNTIF('Política de stock'!$D$5:$D$119,D28),0)</f>
        <v>0.4</v>
      </c>
      <c r="N28" s="7" t="str">
        <f>IF(M28&gt;=UmbVol,"Alto","Bajo")</f>
        <v>Bajo</v>
      </c>
      <c r="O28" s="7" t="str">
        <f t="shared" si="2"/>
        <v>Media</v>
      </c>
      <c r="P28" s="11">
        <f>'Política de stock'!X28</f>
        <v>0.5903917361</v>
      </c>
      <c r="Q28" s="5">
        <v>5.0</v>
      </c>
      <c r="R28" s="5">
        <v>3.0</v>
      </c>
      <c r="S28" s="17">
        <f t="shared" si="3"/>
        <v>0.9839862269</v>
      </c>
      <c r="T28" s="5"/>
      <c r="U28" s="7" t="str">
        <f>IF(T28&lt;&gt;"",T28,IF(S28&lt;=UmbCajon,"Puesto de trabajo","Almacén"))</f>
        <v>Almacén</v>
      </c>
      <c r="V28" s="15">
        <f t="shared" si="4"/>
        <v>1</v>
      </c>
      <c r="W28" s="11">
        <f t="shared" si="5"/>
        <v>5</v>
      </c>
      <c r="X28" s="11">
        <f>W28*CoefCirc</f>
        <v>7.5</v>
      </c>
      <c r="Y28" s="7"/>
      <c r="Z28" s="11">
        <f t="shared" si="6"/>
        <v>7.500028</v>
      </c>
      <c r="AA28" s="7" t="str">
        <f t="shared" si="7"/>
        <v>Cantilever de caños y barras|Almacén|66,917659</v>
      </c>
    </row>
    <row r="29" ht="15.75" customHeight="1">
      <c r="A29" s="7" t="str">
        <f>'Política de stock'!A29</f>
        <v>P25</v>
      </c>
      <c r="B29" s="7" t="str">
        <f>'Política de stock'!B29</f>
        <v>MP-70</v>
      </c>
      <c r="C29" s="7" t="str">
        <f>'Política de stock'!C29</f>
        <v>Arandela de tope del eje</v>
      </c>
      <c r="D29" s="7" t="str">
        <f>'Política de stock'!D29</f>
        <v>u</v>
      </c>
      <c r="E29" s="7" t="str">
        <f>'Política de stock'!E29</f>
        <v>Hierros Parrotta</v>
      </c>
      <c r="F29" s="7" t="str">
        <f>'Política de stock'!V29</f>
        <v>Rack de insumos de montaje (carros)</v>
      </c>
      <c r="G29" s="11">
        <f>'Política de stock'!G29</f>
        <v>30.2417175</v>
      </c>
      <c r="H29" s="11">
        <f>'Política de stock'!N29</f>
        <v>24.193375</v>
      </c>
      <c r="I29" s="11">
        <f>'Política de stock'!U29</f>
        <v>1024.193375</v>
      </c>
      <c r="J29" s="13">
        <f t="shared" si="1"/>
        <v>33.86690505</v>
      </c>
      <c r="K29" s="14">
        <f>'Política de stock'!K29</f>
        <v>10</v>
      </c>
      <c r="L29" s="7" t="str">
        <f>IF(K29&gt;=UmbLT,"Alto","Bajo")</f>
        <v>Alto</v>
      </c>
      <c r="M29" s="16">
        <f>IF('Política de stock'!F29&gt;0,COUNTIFS('Política de stock'!$D$5:$D$119,D29,'Política de stock'!$F$5:$F$119,"&lt;"&amp;'Política de stock'!F29)/COUNTIF('Política de stock'!$D$5:$D$119,D29),0)</f>
        <v>0.5421686747</v>
      </c>
      <c r="N29" s="7" t="str">
        <f>IF(M29&gt;=UmbVol,"Alto","Bajo")</f>
        <v>Alto</v>
      </c>
      <c r="O29" s="7" t="str">
        <f t="shared" si="2"/>
        <v>Alta</v>
      </c>
      <c r="P29" s="11">
        <f>'Política de stock'!X29</f>
        <v>0.05120966875</v>
      </c>
      <c r="Q29" s="5">
        <v>0.6</v>
      </c>
      <c r="R29" s="5">
        <v>5.0</v>
      </c>
      <c r="S29" s="17">
        <f t="shared" si="3"/>
        <v>0.00614516025</v>
      </c>
      <c r="T29" s="5"/>
      <c r="U29" s="7" t="str">
        <f>IF(T29&lt;&gt;"",T29,IF(S29&lt;=UmbCajon,"Puesto de trabajo","Almacén"))</f>
        <v>Puesto de trabajo</v>
      </c>
      <c r="V29" s="15">
        <f t="shared" si="4"/>
        <v>0</v>
      </c>
      <c r="W29" s="11">
        <f t="shared" si="5"/>
        <v>0</v>
      </c>
      <c r="X29" s="11">
        <f>W29*CoefCirc</f>
        <v>0</v>
      </c>
      <c r="Y29" s="7"/>
      <c r="Z29" s="11">
        <f t="shared" si="6"/>
        <v>0.000029</v>
      </c>
      <c r="AA29" s="7" t="str">
        <f t="shared" si="7"/>
        <v>Rack de insumos de montaje (carros)|Puesto de trabajo|33,866905</v>
      </c>
    </row>
    <row r="30" ht="15.75" customHeight="1">
      <c r="A30" s="7" t="str">
        <f>'Política de stock'!A30</f>
        <v>P26</v>
      </c>
      <c r="B30" s="7" t="str">
        <f>'Política de stock'!B30</f>
        <v>MP-71</v>
      </c>
      <c r="C30" s="7" t="str">
        <f>'Política de stock'!C30</f>
        <v>Pasador partido del eje</v>
      </c>
      <c r="D30" s="7" t="str">
        <f>'Política de stock'!D30</f>
        <v>u</v>
      </c>
      <c r="E30" s="7" t="str">
        <f>'Política de stock'!E30</f>
        <v>Hierros Parrotta</v>
      </c>
      <c r="F30" s="7" t="str">
        <f>'Política de stock'!V30</f>
        <v>Rack de insumos de montaje (carros)</v>
      </c>
      <c r="G30" s="11">
        <f>'Política de stock'!G30</f>
        <v>15.12085875</v>
      </c>
      <c r="H30" s="11">
        <f>'Política de stock'!N30</f>
        <v>12.0967125</v>
      </c>
      <c r="I30" s="11">
        <f>'Política de stock'!U30</f>
        <v>1012.096713</v>
      </c>
      <c r="J30" s="13">
        <f t="shared" si="1"/>
        <v>66.93381171</v>
      </c>
      <c r="K30" s="14">
        <f>'Política de stock'!K30</f>
        <v>10</v>
      </c>
      <c r="L30" s="7" t="str">
        <f>IF(K30&gt;=UmbLT,"Alto","Bajo")</f>
        <v>Alto</v>
      </c>
      <c r="M30" s="16">
        <f>IF('Política de stock'!F30&gt;0,COUNTIFS('Política de stock'!$D$5:$D$119,D30,'Política de stock'!$F$5:$F$119,"&lt;"&amp;'Política de stock'!F30)/COUNTIF('Política de stock'!$D$5:$D$119,D30),0)</f>
        <v>0.4819277108</v>
      </c>
      <c r="N30" s="7" t="str">
        <f>IF(M30&gt;=UmbVol,"Alto","Bajo")</f>
        <v>Bajo</v>
      </c>
      <c r="O30" s="7" t="str">
        <f t="shared" si="2"/>
        <v>Media</v>
      </c>
      <c r="P30" s="11">
        <f>'Política de stock'!X30</f>
        <v>0.05060483563</v>
      </c>
      <c r="Q30" s="5">
        <v>0.6</v>
      </c>
      <c r="R30" s="5">
        <v>5.0</v>
      </c>
      <c r="S30" s="17">
        <f t="shared" si="3"/>
        <v>0.006072580275</v>
      </c>
      <c r="T30" s="5"/>
      <c r="U30" s="7" t="str">
        <f>IF(T30&lt;&gt;"",T30,IF(S30&lt;=UmbCajon,"Puesto de trabajo","Almacén"))</f>
        <v>Puesto de trabajo</v>
      </c>
      <c r="V30" s="15">
        <f t="shared" si="4"/>
        <v>0</v>
      </c>
      <c r="W30" s="11">
        <f t="shared" si="5"/>
        <v>0</v>
      </c>
      <c r="X30" s="11">
        <f>W30*CoefCirc</f>
        <v>0</v>
      </c>
      <c r="Y30" s="7"/>
      <c r="Z30" s="11">
        <f t="shared" si="6"/>
        <v>0.00003</v>
      </c>
      <c r="AA30" s="7" t="str">
        <f t="shared" si="7"/>
        <v>Rack de insumos de montaje (carros)|Puesto de trabajo|66,933812</v>
      </c>
    </row>
    <row r="31" ht="15.75" customHeight="1">
      <c r="A31" s="7" t="str">
        <f>'Política de stock'!A31</f>
        <v>P27</v>
      </c>
      <c r="B31" s="7" t="str">
        <f>'Política de stock'!B31</f>
        <v>MP-54/300</v>
      </c>
      <c r="C31" s="7" t="str">
        <f>'Política de stock'!C31</f>
        <v>Rueda Ø300 × 50, buje 3/4" (carro 25 kg)</v>
      </c>
      <c r="D31" s="7" t="str">
        <f>'Política de stock'!D31</f>
        <v>u</v>
      </c>
      <c r="E31" s="7" t="str">
        <f>'Política de stock'!E31</f>
        <v>Ruedar</v>
      </c>
      <c r="F31" s="7" t="str">
        <f>'Política de stock'!V31</f>
        <v>Rack de insumos de montaje (carros)</v>
      </c>
      <c r="G31" s="11">
        <f>'Política de stock'!G31</f>
        <v>3.777254583</v>
      </c>
      <c r="H31" s="11">
        <f>'Política de stock'!N31</f>
        <v>4.53270625</v>
      </c>
      <c r="I31" s="11">
        <f>'Política de stock'!U31</f>
        <v>148.5327063</v>
      </c>
      <c r="J31" s="13">
        <f t="shared" si="1"/>
        <v>39.322927</v>
      </c>
      <c r="K31" s="14">
        <f>'Política de stock'!K31</f>
        <v>15</v>
      </c>
      <c r="L31" s="7" t="str">
        <f>IF(K31&gt;=UmbLT,"Alto","Bajo")</f>
        <v>Alto</v>
      </c>
      <c r="M31" s="16">
        <f>IF('Política de stock'!F31&gt;0,COUNTIFS('Política de stock'!$D$5:$D$119,D31,'Política de stock'!$F$5:$F$119,"&lt;"&amp;'Política de stock'!F31)/COUNTIF('Política de stock'!$D$5:$D$119,D31),0)</f>
        <v>0.2771084337</v>
      </c>
      <c r="N31" s="7" t="str">
        <f>IF(M31&gt;=UmbVol,"Alto","Bajo")</f>
        <v>Bajo</v>
      </c>
      <c r="O31" s="7" t="str">
        <f t="shared" si="2"/>
        <v>Media</v>
      </c>
      <c r="P31" s="11">
        <f>'Política de stock'!X31</f>
        <v>1.031477127</v>
      </c>
      <c r="Q31" s="5">
        <f>HuellaPallet</f>
        <v>1.2</v>
      </c>
      <c r="R31" s="5">
        <f>NivPallet</f>
        <v>4</v>
      </c>
      <c r="S31" s="17">
        <f t="shared" si="3"/>
        <v>0.309443138</v>
      </c>
      <c r="T31" s="5"/>
      <c r="U31" s="7" t="str">
        <f>IF(T31&lt;&gt;"",T31,IF(S31&lt;=UmbCajon,"Puesto de trabajo","Almacén"))</f>
        <v>Almacén</v>
      </c>
      <c r="V31" s="15">
        <f t="shared" si="4"/>
        <v>2</v>
      </c>
      <c r="W31" s="11">
        <f t="shared" si="5"/>
        <v>1.2</v>
      </c>
      <c r="X31" s="11">
        <f>W31*CoefCirc</f>
        <v>1.8</v>
      </c>
      <c r="Y31" s="7"/>
      <c r="Z31" s="11">
        <f t="shared" si="6"/>
        <v>1.800031</v>
      </c>
      <c r="AA31" s="7" t="str">
        <f t="shared" si="7"/>
        <v>Rack de insumos de montaje (carros)|Almacén|39,322927</v>
      </c>
    </row>
    <row r="32" ht="15.75" customHeight="1">
      <c r="A32" s="7" t="str">
        <f>'Política de stock'!A32</f>
        <v>P28</v>
      </c>
      <c r="B32" s="7" t="str">
        <f>'Política de stock'!B32</f>
        <v>MP-54/350</v>
      </c>
      <c r="C32" s="7" t="str">
        <f>'Política de stock'!C32</f>
        <v>Rueda Ø350 × 60, buje 1" (carro 50 kg)</v>
      </c>
      <c r="D32" s="7" t="str">
        <f>'Política de stock'!D32</f>
        <v>u</v>
      </c>
      <c r="E32" s="7" t="str">
        <f>'Política de stock'!E32</f>
        <v>Ruedar</v>
      </c>
      <c r="F32" s="7" t="str">
        <f>'Política de stock'!V32</f>
        <v>Rack de insumos de montaje (carros)</v>
      </c>
      <c r="G32" s="11">
        <f>'Política de stock'!G32</f>
        <v>8.320517083</v>
      </c>
      <c r="H32" s="11">
        <f>'Política de stock'!N32</f>
        <v>9.98464375</v>
      </c>
      <c r="I32" s="11">
        <f>'Política de stock'!U32</f>
        <v>225.9846438</v>
      </c>
      <c r="J32" s="13">
        <f t="shared" si="1"/>
        <v>27.15992786</v>
      </c>
      <c r="K32" s="14">
        <f>'Política de stock'!K32</f>
        <v>15</v>
      </c>
      <c r="L32" s="7" t="str">
        <f>IF(K32&gt;=UmbLT,"Alto","Bajo")</f>
        <v>Alto</v>
      </c>
      <c r="M32" s="16">
        <f>IF('Política de stock'!F32&gt;0,COUNTIFS('Política de stock'!$D$5:$D$119,D32,'Política de stock'!$F$5:$F$119,"&lt;"&amp;'Política de stock'!F32)/COUNTIF('Política de stock'!$D$5:$D$119,D32),0)</f>
        <v>0.4337349398</v>
      </c>
      <c r="N32" s="7" t="str">
        <f>IF(M32&gt;=UmbVol,"Alto","Bajo")</f>
        <v>Bajo</v>
      </c>
      <c r="O32" s="7" t="str">
        <f t="shared" si="2"/>
        <v>Media</v>
      </c>
      <c r="P32" s="11">
        <f>'Política de stock'!X32</f>
        <v>1.569337804</v>
      </c>
      <c r="Q32" s="5">
        <f>HuellaPallet</f>
        <v>1.2</v>
      </c>
      <c r="R32" s="5">
        <f>NivPallet</f>
        <v>4</v>
      </c>
      <c r="S32" s="17">
        <f t="shared" si="3"/>
        <v>0.4708013411</v>
      </c>
      <c r="T32" s="5"/>
      <c r="U32" s="7" t="str">
        <f>IF(T32&lt;&gt;"",T32,IF(S32&lt;=UmbCajon,"Puesto de trabajo","Almacén"))</f>
        <v>Almacén</v>
      </c>
      <c r="V32" s="15">
        <f t="shared" si="4"/>
        <v>2</v>
      </c>
      <c r="W32" s="11">
        <f t="shared" si="5"/>
        <v>1.2</v>
      </c>
      <c r="X32" s="11">
        <f>W32*CoefCirc</f>
        <v>1.8</v>
      </c>
      <c r="Y32" s="7"/>
      <c r="Z32" s="11">
        <f t="shared" si="6"/>
        <v>1.800032</v>
      </c>
      <c r="AA32" s="7" t="str">
        <f t="shared" si="7"/>
        <v>Rack de insumos de montaje (carros)|Almacén|27,159928</v>
      </c>
    </row>
    <row r="33" ht="15.75" customHeight="1">
      <c r="A33" s="7" t="str">
        <f>'Política de stock'!A33</f>
        <v>P29</v>
      </c>
      <c r="B33" s="7" t="str">
        <f>'Política de stock'!B33</f>
        <v>MP-54/400</v>
      </c>
      <c r="C33" s="7" t="str">
        <f>'Política de stock'!C33</f>
        <v>Rueda Ø400 × 60, buje 1" (carros 70 y 100 kg)</v>
      </c>
      <c r="D33" s="7" t="str">
        <f>'Política de stock'!D33</f>
        <v>u</v>
      </c>
      <c r="E33" s="7" t="str">
        <f>'Política de stock'!E33</f>
        <v>Escanort</v>
      </c>
      <c r="F33" s="7" t="str">
        <f>'Política de stock'!V33</f>
        <v>Rack de insumos de montaje (carros)</v>
      </c>
      <c r="G33" s="11">
        <f>'Política de stock'!G33</f>
        <v>3.0230875</v>
      </c>
      <c r="H33" s="11">
        <f>'Política de stock'!N33</f>
        <v>3.6277125</v>
      </c>
      <c r="I33" s="11">
        <f>'Política de stock'!U33</f>
        <v>75.6277125</v>
      </c>
      <c r="J33" s="13">
        <f t="shared" si="1"/>
        <v>25.01671305</v>
      </c>
      <c r="K33" s="14">
        <f>'Política de stock'!K33</f>
        <v>15</v>
      </c>
      <c r="L33" s="7" t="str">
        <f>IF(K33&gt;=UmbLT,"Alto","Bajo")</f>
        <v>Alto</v>
      </c>
      <c r="M33" s="16">
        <f>IF('Política de stock'!F33&gt;0,COUNTIFS('Política de stock'!$D$5:$D$119,D33,'Política de stock'!$F$5:$F$119,"&lt;"&amp;'Política de stock'!F33)/COUNTIF('Política de stock'!$D$5:$D$119,D33),0)</f>
        <v>0.2530120482</v>
      </c>
      <c r="N33" s="7" t="str">
        <f>IF(M33&gt;=UmbVol,"Alto","Bajo")</f>
        <v>Bajo</v>
      </c>
      <c r="O33" s="7" t="str">
        <f t="shared" si="2"/>
        <v>Media</v>
      </c>
      <c r="P33" s="11">
        <f>'Política de stock'!X33</f>
        <v>0.5251924479</v>
      </c>
      <c r="Q33" s="5">
        <f>HuellaPallet</f>
        <v>1.2</v>
      </c>
      <c r="R33" s="5">
        <f>NivPallet</f>
        <v>4</v>
      </c>
      <c r="S33" s="17">
        <f t="shared" si="3"/>
        <v>0.1575577344</v>
      </c>
      <c r="T33" s="5"/>
      <c r="U33" s="7" t="str">
        <f>IF(T33&lt;&gt;"",T33,IF(S33&lt;=UmbCajon,"Puesto de trabajo","Almacén"))</f>
        <v>Almacén</v>
      </c>
      <c r="V33" s="15">
        <f t="shared" si="4"/>
        <v>1</v>
      </c>
      <c r="W33" s="11">
        <f t="shared" si="5"/>
        <v>1.2</v>
      </c>
      <c r="X33" s="11">
        <f>W33*CoefCirc</f>
        <v>1.8</v>
      </c>
      <c r="Y33" s="7"/>
      <c r="Z33" s="11">
        <f t="shared" si="6"/>
        <v>1.800033</v>
      </c>
      <c r="AA33" s="7" t="str">
        <f t="shared" si="7"/>
        <v>Rack de insumos de montaje (carros)|Almacén|25,016713</v>
      </c>
    </row>
    <row r="34" ht="15.75" customHeight="1">
      <c r="A34" s="7" t="str">
        <f>'Política de stock'!A34</f>
        <v>P30</v>
      </c>
      <c r="B34" s="7" t="str">
        <f>'Política de stock'!B34</f>
        <v>MP-23</v>
      </c>
      <c r="C34" s="7" t="str">
        <f>'Política de stock'!C34</f>
        <v>Alambre MAG ER70S-6 Ø0,9 mm (manuales)</v>
      </c>
      <c r="D34" s="7" t="str">
        <f>'Política de stock'!D34</f>
        <v>kg</v>
      </c>
      <c r="E34" s="7" t="str">
        <f>'Política de stock'!E34</f>
        <v>Conarco (ESAB)</v>
      </c>
      <c r="F34" s="7" t="str">
        <f>'Política de stock'!V34</f>
        <v>Insumos de soldadura y superficie</v>
      </c>
      <c r="G34" s="11">
        <f>'Política de stock'!G34</f>
        <v>25.18424875</v>
      </c>
      <c r="H34" s="11">
        <f>'Política de stock'!N34</f>
        <v>47.88800625</v>
      </c>
      <c r="I34" s="11">
        <f>'Política de stock'!U34</f>
        <v>947.8880063</v>
      </c>
      <c r="J34" s="13">
        <f t="shared" si="1"/>
        <v>37.63812912</v>
      </c>
      <c r="K34" s="14">
        <f>'Política de stock'!K34</f>
        <v>5</v>
      </c>
      <c r="L34" s="7" t="str">
        <f>IF(K34&gt;=UmbLT,"Alto","Bajo")</f>
        <v>Bajo</v>
      </c>
      <c r="M34" s="16">
        <f>IF('Política de stock'!F34&gt;0,COUNTIFS('Política de stock'!$D$5:$D$119,D34,'Política de stock'!$F$5:$F$119,"&lt;"&amp;'Política de stock'!F34)/COUNTIF('Política de stock'!$D$5:$D$119,D34),0)</f>
        <v>0.4705882353</v>
      </c>
      <c r="N34" s="7" t="str">
        <f>IF(M34&gt;=UmbVol,"Alto","Bajo")</f>
        <v>Bajo</v>
      </c>
      <c r="O34" s="7" t="str">
        <f t="shared" si="2"/>
        <v>Baja</v>
      </c>
      <c r="P34" s="11">
        <f>'Política de stock'!X34</f>
        <v>1.053208896</v>
      </c>
      <c r="Q34" s="5">
        <f>HuellaPallet</f>
        <v>1.2</v>
      </c>
      <c r="R34" s="5">
        <f>NivPallet</f>
        <v>4</v>
      </c>
      <c r="S34" s="17">
        <f t="shared" si="3"/>
        <v>0.3159626688</v>
      </c>
      <c r="T34" s="5"/>
      <c r="U34" s="7" t="str">
        <f>IF(T34&lt;&gt;"",T34,IF(S34&lt;=UmbCajon,"Puesto de trabajo","Almacén"))</f>
        <v>Almacén</v>
      </c>
      <c r="V34" s="15">
        <f t="shared" si="4"/>
        <v>2</v>
      </c>
      <c r="W34" s="11">
        <f t="shared" si="5"/>
        <v>1.2</v>
      </c>
      <c r="X34" s="11">
        <f>W34*CoefCirc</f>
        <v>1.8</v>
      </c>
      <c r="Y34" s="7"/>
      <c r="Z34" s="11">
        <f t="shared" si="6"/>
        <v>1.800034</v>
      </c>
      <c r="AA34" s="7" t="str">
        <f t="shared" si="7"/>
        <v>Insumos de soldadura y superficie|Almacén|37,638129</v>
      </c>
    </row>
    <row r="35" ht="15.75" customHeight="1">
      <c r="A35" s="7" t="str">
        <f>'Política de stock'!A35</f>
        <v>P31</v>
      </c>
      <c r="B35" s="7" t="str">
        <f>'Política de stock'!B35</f>
        <v>MP-24</v>
      </c>
      <c r="C35" s="7" t="str">
        <f>'Política de stock'!C35</f>
        <v>Alambre MAG ER70S-6 Ø1,0 mm (carros)</v>
      </c>
      <c r="D35" s="7" t="str">
        <f>'Política de stock'!D35</f>
        <v>kg</v>
      </c>
      <c r="E35" s="7" t="str">
        <f>'Política de stock'!E35</f>
        <v>Conarco (ESAB)</v>
      </c>
      <c r="F35" s="7" t="str">
        <f>'Política de stock'!V35</f>
        <v>Rack de insumos de montaje (carros)</v>
      </c>
      <c r="G35" s="11">
        <f>'Política de stock'!G35</f>
        <v>5.78461</v>
      </c>
      <c r="H35" s="11">
        <f>'Política de stock'!N35</f>
        <v>2.31385</v>
      </c>
      <c r="I35" s="11">
        <f>'Política de stock'!U35</f>
        <v>902.31385</v>
      </c>
      <c r="J35" s="13">
        <f t="shared" si="1"/>
        <v>155.9852522</v>
      </c>
      <c r="K35" s="14">
        <f>'Política de stock'!K35</f>
        <v>5</v>
      </c>
      <c r="L35" s="7" t="str">
        <f>IF(K35&gt;=UmbLT,"Alto","Bajo")</f>
        <v>Bajo</v>
      </c>
      <c r="M35" s="16">
        <f>IF('Política de stock'!F35&gt;0,COUNTIFS('Política de stock'!$D$5:$D$119,D35,'Política de stock'!$F$5:$F$119,"&lt;"&amp;'Política de stock'!F35)/COUNTIF('Política de stock'!$D$5:$D$119,D35),0)</f>
        <v>0.1764705882</v>
      </c>
      <c r="N35" s="7" t="str">
        <f>IF(M35&gt;=UmbVol,"Alto","Bajo")</f>
        <v>Bajo</v>
      </c>
      <c r="O35" s="7" t="str">
        <f t="shared" si="2"/>
        <v>Baja</v>
      </c>
      <c r="P35" s="11">
        <f>'Política de stock'!X35</f>
        <v>1.002570944</v>
      </c>
      <c r="Q35" s="5">
        <f>HuellaPallet</f>
        <v>1.2</v>
      </c>
      <c r="R35" s="5">
        <f>NivPallet</f>
        <v>4</v>
      </c>
      <c r="S35" s="17">
        <f t="shared" si="3"/>
        <v>0.3007712833</v>
      </c>
      <c r="T35" s="5"/>
      <c r="U35" s="7" t="str">
        <f>IF(T35&lt;&gt;"",T35,IF(S35&lt;=UmbCajon,"Puesto de trabajo","Almacén"))</f>
        <v>Almacén</v>
      </c>
      <c r="V35" s="15">
        <f t="shared" si="4"/>
        <v>2</v>
      </c>
      <c r="W35" s="11">
        <f t="shared" si="5"/>
        <v>1.2</v>
      </c>
      <c r="X35" s="11">
        <f>W35*CoefCirc</f>
        <v>1.8</v>
      </c>
      <c r="Y35" s="7"/>
      <c r="Z35" s="11">
        <f t="shared" si="6"/>
        <v>1.800035</v>
      </c>
      <c r="AA35" s="7" t="str">
        <f t="shared" si="7"/>
        <v>Rack de insumos de montaje (carros)|Almacén|155,985252</v>
      </c>
    </row>
    <row r="36" ht="15.75" customHeight="1">
      <c r="A36" s="7" t="str">
        <f>'Política de stock'!A36</f>
        <v>P32</v>
      </c>
      <c r="B36" s="7" t="str">
        <f>'Política de stock'!B36</f>
        <v>MP-25</v>
      </c>
      <c r="C36" s="7" t="str">
        <f>'Política de stock'!C36</f>
        <v>Gas MAG Ar + 8 % CO₂ (Arcal 21)</v>
      </c>
      <c r="D36" s="7" t="str">
        <f>'Política de stock'!D36</f>
        <v>m³</v>
      </c>
      <c r="E36" s="7" t="str">
        <f>'Política de stock'!E36</f>
        <v>Air Liquide</v>
      </c>
      <c r="F36" s="7" t="str">
        <f>'Política de stock'!V36</f>
        <v>Jaula de gases</v>
      </c>
      <c r="G36" s="11">
        <f>'Política de stock'!G36</f>
        <v>33.44078042</v>
      </c>
      <c r="H36" s="11">
        <f>'Política de stock'!N36</f>
        <v>12.01637458</v>
      </c>
      <c r="I36" s="11">
        <f>'Política de stock'!U36</f>
        <v>243.0163746</v>
      </c>
      <c r="J36" s="13">
        <f t="shared" si="1"/>
        <v>7.267066485</v>
      </c>
      <c r="K36" s="14">
        <f>'Política de stock'!K36</f>
        <v>1</v>
      </c>
      <c r="L36" s="7" t="str">
        <f>IF(K36&gt;=UmbLT,"Alto","Bajo")</f>
        <v>Bajo</v>
      </c>
      <c r="M36" s="16">
        <f>IF('Política de stock'!F36&gt;0,COUNTIFS('Política de stock'!$D$5:$D$119,D36,'Política de stock'!$F$5:$F$119,"&lt;"&amp;'Política de stock'!F36)/COUNTIF('Política de stock'!$D$5:$D$119,D36),0)</f>
        <v>0.5</v>
      </c>
      <c r="N36" s="7" t="str">
        <f>IF(M36&gt;=UmbVol,"Alto","Bajo")</f>
        <v>Alto</v>
      </c>
      <c r="O36" s="7" t="str">
        <f t="shared" si="2"/>
        <v>Media</v>
      </c>
      <c r="P36" s="11">
        <f>'Política de stock'!X36</f>
        <v>2.104037875</v>
      </c>
      <c r="Q36" s="5">
        <v>1.5</v>
      </c>
      <c r="R36" s="5">
        <v>1.0</v>
      </c>
      <c r="S36" s="17">
        <f t="shared" si="3"/>
        <v>3.156056813</v>
      </c>
      <c r="T36" s="5"/>
      <c r="U36" s="7" t="str">
        <f>IF(T36&lt;&gt;"",T36,IF(S36&lt;=UmbCajon,"Puesto de trabajo","Almacén"))</f>
        <v>Almacén</v>
      </c>
      <c r="V36" s="15">
        <f t="shared" si="4"/>
        <v>3</v>
      </c>
      <c r="W36" s="11">
        <f t="shared" si="5"/>
        <v>4.5</v>
      </c>
      <c r="X36" s="11">
        <f>W36*CoefCirc</f>
        <v>6.75</v>
      </c>
      <c r="Y36" s="7" t="s">
        <v>652</v>
      </c>
      <c r="Z36" s="11">
        <f t="shared" si="6"/>
        <v>6.750036</v>
      </c>
      <c r="AA36" s="7" t="str">
        <f t="shared" si="7"/>
        <v>Jaula de gases|Almacén|7,267066</v>
      </c>
    </row>
    <row r="37" ht="15.75" customHeight="1">
      <c r="A37" s="7" t="str">
        <f>'Política de stock'!A37</f>
        <v>P33</v>
      </c>
      <c r="B37" s="7" t="str">
        <f>'Política de stock'!B37</f>
        <v>MP-92</v>
      </c>
      <c r="C37" s="7" t="str">
        <f>'Política de stock'!C37</f>
        <v>Disco de sensitiva 355 mm</v>
      </c>
      <c r="D37" s="7" t="str">
        <f>'Política de stock'!D37</f>
        <v>u</v>
      </c>
      <c r="E37" s="7" t="str">
        <f>'Política de stock'!E37</f>
        <v>Norton / Pferd</v>
      </c>
      <c r="F37" s="7" t="str">
        <f>'Política de stock'!V37</f>
        <v>Insumos de soldadura y superficie</v>
      </c>
      <c r="G37" s="11">
        <f>'Política de stock'!G37</f>
        <v>0.11340625</v>
      </c>
      <c r="H37" s="11">
        <f>'Política de stock'!N37</f>
        <v>0.04536875</v>
      </c>
      <c r="I37" s="11">
        <f>'Política de stock'!U37</f>
        <v>25.04536875</v>
      </c>
      <c r="J37" s="13">
        <f t="shared" si="1"/>
        <v>220.8464591</v>
      </c>
      <c r="K37" s="14">
        <f>'Política de stock'!K37</f>
        <v>5</v>
      </c>
      <c r="L37" s="7" t="str">
        <f>IF(K37&gt;=UmbLT,"Alto","Bajo")</f>
        <v>Bajo</v>
      </c>
      <c r="M37" s="16">
        <f>IF('Política de stock'!F37&gt;0,COUNTIFS('Política de stock'!$D$5:$D$119,D37,'Política de stock'!$F$5:$F$119,"&lt;"&amp;'Política de stock'!F37)/COUNTIF('Política de stock'!$D$5:$D$119,D37),0)</f>
        <v>0.03614457831</v>
      </c>
      <c r="N37" s="7" t="str">
        <f>IF(M37&gt;=UmbVol,"Alto","Bajo")</f>
        <v>Bajo</v>
      </c>
      <c r="O37" s="7" t="str">
        <f t="shared" si="2"/>
        <v>Baja</v>
      </c>
      <c r="P37" s="11">
        <f>'Política de stock'!X37</f>
        <v>0.100181475</v>
      </c>
      <c r="Q37" s="5">
        <v>0.6</v>
      </c>
      <c r="R37" s="5">
        <v>5.0</v>
      </c>
      <c r="S37" s="17">
        <f t="shared" si="3"/>
        <v>0.012021777</v>
      </c>
      <c r="T37" s="5"/>
      <c r="U37" s="7" t="str">
        <f>IF(T37&lt;&gt;"",T37,IF(S37&lt;=UmbCajon,"Puesto de trabajo","Almacén"))</f>
        <v>Puesto de trabajo</v>
      </c>
      <c r="V37" s="15">
        <f t="shared" si="4"/>
        <v>0</v>
      </c>
      <c r="W37" s="11">
        <f t="shared" si="5"/>
        <v>0</v>
      </c>
      <c r="X37" s="11">
        <f>W37*CoefCirc</f>
        <v>0</v>
      </c>
      <c r="Y37" s="7"/>
      <c r="Z37" s="11">
        <f t="shared" si="6"/>
        <v>0.000037</v>
      </c>
      <c r="AA37" s="7" t="str">
        <f t="shared" si="7"/>
        <v>Insumos de soldadura y superficie|Puesto de trabajo|220,846459</v>
      </c>
    </row>
    <row r="38" ht="15.75" customHeight="1">
      <c r="A38" s="7" t="str">
        <f>'Política de stock'!A38</f>
        <v>P34</v>
      </c>
      <c r="B38" s="7" t="str">
        <f>'Política de stock'!B38</f>
        <v>MP-27</v>
      </c>
      <c r="C38" s="7" t="str">
        <f>'Política de stock'!C38</f>
        <v>Disco de corte 115 × 1,0 mm</v>
      </c>
      <c r="D38" s="7" t="str">
        <f>'Política de stock'!D38</f>
        <v>u</v>
      </c>
      <c r="E38" s="7" t="str">
        <f>'Política de stock'!E38</f>
        <v>Norton / Pferd</v>
      </c>
      <c r="F38" s="7" t="str">
        <f>'Política de stock'!V38</f>
        <v>Insumos de soldadura y superficie</v>
      </c>
      <c r="G38" s="11">
        <f>'Política de stock'!G38</f>
        <v>0.41496875</v>
      </c>
      <c r="H38" s="11">
        <f>'Política de stock'!N38</f>
        <v>0.16598125</v>
      </c>
      <c r="I38" s="11">
        <f>'Política de stock'!U38</f>
        <v>25.16598125</v>
      </c>
      <c r="J38" s="13">
        <f t="shared" si="1"/>
        <v>60.64548535</v>
      </c>
      <c r="K38" s="14">
        <f>'Política de stock'!K38</f>
        <v>5</v>
      </c>
      <c r="L38" s="7" t="str">
        <f>IF(K38&gt;=UmbLT,"Alto","Bajo")</f>
        <v>Bajo</v>
      </c>
      <c r="M38" s="16">
        <f>IF('Política de stock'!F38&gt;0,COUNTIFS('Política de stock'!$D$5:$D$119,D38,'Política de stock'!$F$5:$F$119,"&lt;"&amp;'Política de stock'!F38)/COUNTIF('Política de stock'!$D$5:$D$119,D38),0)</f>
        <v>0.06024096386</v>
      </c>
      <c r="N38" s="7" t="str">
        <f>IF(M38&gt;=UmbVol,"Alto","Bajo")</f>
        <v>Bajo</v>
      </c>
      <c r="O38" s="7" t="str">
        <f t="shared" si="2"/>
        <v>Baja</v>
      </c>
      <c r="P38" s="11">
        <f>'Política de stock'!X38</f>
        <v>0.100663925</v>
      </c>
      <c r="Q38" s="5">
        <v>0.6</v>
      </c>
      <c r="R38" s="5">
        <v>5.0</v>
      </c>
      <c r="S38" s="17">
        <f t="shared" si="3"/>
        <v>0.012079671</v>
      </c>
      <c r="T38" s="5"/>
      <c r="U38" s="7" t="str">
        <f>IF(T38&lt;&gt;"",T38,IF(S38&lt;=UmbCajon,"Puesto de trabajo","Almacén"))</f>
        <v>Puesto de trabajo</v>
      </c>
      <c r="V38" s="15">
        <f t="shared" si="4"/>
        <v>0</v>
      </c>
      <c r="W38" s="11">
        <f t="shared" si="5"/>
        <v>0</v>
      </c>
      <c r="X38" s="11">
        <f>W38*CoefCirc</f>
        <v>0</v>
      </c>
      <c r="Y38" s="7"/>
      <c r="Z38" s="11">
        <f t="shared" si="6"/>
        <v>0.000038</v>
      </c>
      <c r="AA38" s="7" t="str">
        <f t="shared" si="7"/>
        <v>Insumos de soldadura y superficie|Puesto de trabajo|60,645485</v>
      </c>
    </row>
    <row r="39" ht="15.75" customHeight="1">
      <c r="A39" s="7" t="str">
        <f>'Política de stock'!A39</f>
        <v>P35</v>
      </c>
      <c r="B39" s="7" t="str">
        <f>'Política de stock'!B39</f>
        <v>MP-93</v>
      </c>
      <c r="C39" s="7" t="str">
        <f>'Política de stock'!C39</f>
        <v>Disco flap 115 mm grano 60</v>
      </c>
      <c r="D39" s="7" t="str">
        <f>'Política de stock'!D39</f>
        <v>u</v>
      </c>
      <c r="E39" s="7" t="str">
        <f>'Política de stock'!E39</f>
        <v>Norton / Pferd</v>
      </c>
      <c r="F39" s="7" t="str">
        <f>'Política de stock'!V39</f>
        <v>Insumos de soldadura y superficie</v>
      </c>
      <c r="G39" s="11">
        <f>'Política de stock'!G39</f>
        <v>0.09429166667</v>
      </c>
      <c r="H39" s="11">
        <f>'Política de stock'!N39</f>
        <v>0.03771666667</v>
      </c>
      <c r="I39" s="11">
        <f>'Política de stock'!U39</f>
        <v>25.03771667</v>
      </c>
      <c r="J39" s="13">
        <f t="shared" si="1"/>
        <v>265.5347768</v>
      </c>
      <c r="K39" s="14">
        <f>'Política de stock'!K39</f>
        <v>5</v>
      </c>
      <c r="L39" s="7" t="str">
        <f>IF(K39&gt;=UmbLT,"Alto","Bajo")</f>
        <v>Bajo</v>
      </c>
      <c r="M39" s="16">
        <f>IF('Política de stock'!F39&gt;0,COUNTIFS('Política de stock'!$D$5:$D$119,D39,'Política de stock'!$F$5:$F$119,"&lt;"&amp;'Política de stock'!F39)/COUNTIF('Política de stock'!$D$5:$D$119,D39),0)</f>
        <v>0.02409638554</v>
      </c>
      <c r="N39" s="7" t="str">
        <f>IF(M39&gt;=UmbVol,"Alto","Bajo")</f>
        <v>Bajo</v>
      </c>
      <c r="O39" s="7" t="str">
        <f t="shared" si="2"/>
        <v>Baja</v>
      </c>
      <c r="P39" s="11">
        <f>'Política de stock'!X39</f>
        <v>0.1001508667</v>
      </c>
      <c r="Q39" s="5">
        <v>0.6</v>
      </c>
      <c r="R39" s="5">
        <v>5.0</v>
      </c>
      <c r="S39" s="17">
        <f t="shared" si="3"/>
        <v>0.012018104</v>
      </c>
      <c r="T39" s="5"/>
      <c r="U39" s="7" t="str">
        <f>IF(T39&lt;&gt;"",T39,IF(S39&lt;=UmbCajon,"Puesto de trabajo","Almacén"))</f>
        <v>Puesto de trabajo</v>
      </c>
      <c r="V39" s="15">
        <f t="shared" si="4"/>
        <v>0</v>
      </c>
      <c r="W39" s="11">
        <f t="shared" si="5"/>
        <v>0</v>
      </c>
      <c r="X39" s="11">
        <f>W39*CoefCirc</f>
        <v>0</v>
      </c>
      <c r="Y39" s="7"/>
      <c r="Z39" s="11">
        <f t="shared" si="6"/>
        <v>0.000039</v>
      </c>
      <c r="AA39" s="7" t="str">
        <f t="shared" si="7"/>
        <v>Insumos de soldadura y superficie|Puesto de trabajo|265,534777</v>
      </c>
    </row>
    <row r="40" ht="15.75" customHeight="1">
      <c r="A40" s="7" t="str">
        <f>'Política de stock'!A40</f>
        <v>P36</v>
      </c>
      <c r="B40" s="7" t="str">
        <f>'Política de stock'!B40</f>
        <v>MP-94</v>
      </c>
      <c r="C40" s="7" t="str">
        <f>'Política de stock'!C40</f>
        <v>Mecha de acero rápido 4,5 mm</v>
      </c>
      <c r="D40" s="7" t="str">
        <f>'Política de stock'!D40</f>
        <v>u</v>
      </c>
      <c r="E40" s="7" t="str">
        <f>'Política de stock'!E40</f>
        <v>Ferretería industrial</v>
      </c>
      <c r="F40" s="7" t="str">
        <f>'Política de stock'!V40</f>
        <v>Insumos de soldadura y superficie</v>
      </c>
      <c r="G40" s="11">
        <f>'Política de stock'!G40</f>
        <v>0.07560416667</v>
      </c>
      <c r="H40" s="11">
        <f>'Política de stock'!N40</f>
        <v>0.03025416667</v>
      </c>
      <c r="I40" s="11">
        <f>'Política de stock'!U40</f>
        <v>25.03025417</v>
      </c>
      <c r="J40" s="13">
        <f t="shared" si="1"/>
        <v>331.0697713</v>
      </c>
      <c r="K40" s="14">
        <f>'Política de stock'!K40</f>
        <v>5</v>
      </c>
      <c r="L40" s="7" t="str">
        <f>IF(K40&gt;=UmbLT,"Alto","Bajo")</f>
        <v>Bajo</v>
      </c>
      <c r="M40" s="16">
        <f>IF('Política de stock'!F40&gt;0,COUNTIFS('Política de stock'!$D$5:$D$119,D40,'Política de stock'!$F$5:$F$119,"&lt;"&amp;'Política de stock'!F40)/COUNTIF('Política de stock'!$D$5:$D$119,D40),0)</f>
        <v>0.01204819277</v>
      </c>
      <c r="N40" s="7" t="str">
        <f>IF(M40&gt;=UmbVol,"Alto","Bajo")</f>
        <v>Bajo</v>
      </c>
      <c r="O40" s="7" t="str">
        <f t="shared" si="2"/>
        <v>Baja</v>
      </c>
      <c r="P40" s="11">
        <f>'Política de stock'!X40</f>
        <v>0.1001210167</v>
      </c>
      <c r="Q40" s="5">
        <v>0.6</v>
      </c>
      <c r="R40" s="5">
        <v>5.0</v>
      </c>
      <c r="S40" s="17">
        <f t="shared" si="3"/>
        <v>0.012014522</v>
      </c>
      <c r="T40" s="5"/>
      <c r="U40" s="7" t="str">
        <f>IF(T40&lt;&gt;"",T40,IF(S40&lt;=UmbCajon,"Puesto de trabajo","Almacén"))</f>
        <v>Puesto de trabajo</v>
      </c>
      <c r="V40" s="15">
        <f t="shared" si="4"/>
        <v>0</v>
      </c>
      <c r="W40" s="11">
        <f t="shared" si="5"/>
        <v>0</v>
      </c>
      <c r="X40" s="11">
        <f>W40*CoefCirc</f>
        <v>0</v>
      </c>
      <c r="Y40" s="7"/>
      <c r="Z40" s="11">
        <f t="shared" si="6"/>
        <v>0.00004</v>
      </c>
      <c r="AA40" s="7" t="str">
        <f t="shared" si="7"/>
        <v>Insumos de soldadura y superficie|Puesto de trabajo|331,069771</v>
      </c>
    </row>
    <row r="41" ht="15.75" customHeight="1">
      <c r="A41" s="7" t="str">
        <f>'Política de stock'!A41</f>
        <v>P37</v>
      </c>
      <c r="B41" s="7" t="str">
        <f>'Política de stock'!B41</f>
        <v>MP-95</v>
      </c>
      <c r="C41" s="7" t="str">
        <f>'Política de stock'!C41</f>
        <v>Spray antiproyecciones 400 ml</v>
      </c>
      <c r="D41" s="7" t="str">
        <f>'Política de stock'!D41</f>
        <v>u</v>
      </c>
      <c r="E41" s="7" t="str">
        <f>'Política de stock'!E41</f>
        <v>Würth Argentina</v>
      </c>
      <c r="F41" s="7" t="str">
        <f>'Política de stock'!V41</f>
        <v>Insumos de soldadura y superficie</v>
      </c>
      <c r="G41" s="11">
        <f>'Política de stock'!G41</f>
        <v>0.0323075</v>
      </c>
      <c r="H41" s="11">
        <f>'Política de stock'!N41</f>
        <v>0.0129125</v>
      </c>
      <c r="I41" s="11">
        <f>'Política de stock'!U41</f>
        <v>25.0129125</v>
      </c>
      <c r="J41" s="13">
        <f t="shared" si="1"/>
        <v>774.2138048</v>
      </c>
      <c r="K41" s="14">
        <f>'Política de stock'!K41</f>
        <v>5</v>
      </c>
      <c r="L41" s="7" t="str">
        <f>IF(K41&gt;=UmbLT,"Alto","Bajo")</f>
        <v>Bajo</v>
      </c>
      <c r="M41" s="16">
        <f>IF('Política de stock'!F41&gt;0,COUNTIFS('Política de stock'!$D$5:$D$119,D41,'Política de stock'!$F$5:$F$119,"&lt;"&amp;'Política de stock'!F41)/COUNTIF('Política de stock'!$D$5:$D$119,D41),0)</f>
        <v>0</v>
      </c>
      <c r="N41" s="7" t="str">
        <f>IF(M41&gt;=UmbVol,"Alto","Bajo")</f>
        <v>Bajo</v>
      </c>
      <c r="O41" s="7" t="str">
        <f t="shared" si="2"/>
        <v>Baja</v>
      </c>
      <c r="P41" s="11">
        <f>'Política de stock'!X41</f>
        <v>0.10005165</v>
      </c>
      <c r="Q41" s="5">
        <v>0.6</v>
      </c>
      <c r="R41" s="5">
        <v>5.0</v>
      </c>
      <c r="S41" s="17">
        <f t="shared" si="3"/>
        <v>0.012006198</v>
      </c>
      <c r="T41" s="5"/>
      <c r="U41" s="7" t="str">
        <f>IF(T41&lt;&gt;"",T41,IF(S41&lt;=UmbCajon,"Puesto de trabajo","Almacén"))</f>
        <v>Puesto de trabajo</v>
      </c>
      <c r="V41" s="15">
        <f t="shared" si="4"/>
        <v>0</v>
      </c>
      <c r="W41" s="11">
        <f t="shared" si="5"/>
        <v>0</v>
      </c>
      <c r="X41" s="11">
        <f>W41*CoefCirc</f>
        <v>0</v>
      </c>
      <c r="Y41" s="7"/>
      <c r="Z41" s="11">
        <f t="shared" si="6"/>
        <v>0.000041</v>
      </c>
      <c r="AA41" s="7" t="str">
        <f t="shared" si="7"/>
        <v>Insumos de soldadura y superficie|Puesto de trabajo|774,213805</v>
      </c>
    </row>
    <row r="42" ht="15.75" customHeight="1">
      <c r="A42" s="7" t="str">
        <f>'Política de stock'!A42</f>
        <v>P38</v>
      </c>
      <c r="B42" s="7" t="str">
        <f>'Política de stock'!B42</f>
        <v>MP-28</v>
      </c>
      <c r="C42" s="7" t="str">
        <f>'Política de stock'!C42</f>
        <v>Granalla de acero S330 / S390</v>
      </c>
      <c r="D42" s="7" t="str">
        <f>'Política de stock'!D42</f>
        <v>kg</v>
      </c>
      <c r="E42" s="7" t="str">
        <f>'Política de stock'!E42</f>
        <v>CyM Materiales</v>
      </c>
      <c r="F42" s="7" t="str">
        <f>'Política de stock'!V42</f>
        <v>Insumos de soldadura y superficie</v>
      </c>
      <c r="G42" s="11">
        <f>'Política de stock'!G42</f>
        <v>95.31113375</v>
      </c>
      <c r="H42" s="11">
        <f>'Política de stock'!N42</f>
        <v>270.2307038</v>
      </c>
      <c r="I42" s="11">
        <f>'Política de stock'!U42</f>
        <v>9270.230704</v>
      </c>
      <c r="J42" s="13">
        <f t="shared" si="1"/>
        <v>97.2628311</v>
      </c>
      <c r="K42" s="14">
        <f>'Política de stock'!K42</f>
        <v>7</v>
      </c>
      <c r="L42" s="7" t="str">
        <f>IF(K42&gt;=UmbLT,"Alto","Bajo")</f>
        <v>Bajo</v>
      </c>
      <c r="M42" s="16">
        <f>IF('Política de stock'!F42&gt;0,COUNTIFS('Política de stock'!$D$5:$D$119,D42,'Política de stock'!$F$5:$F$119,"&lt;"&amp;'Política de stock'!F42)/COUNTIF('Política de stock'!$D$5:$D$119,D42),0)</f>
        <v>0.6470588235</v>
      </c>
      <c r="N42" s="7" t="str">
        <f>IF(M42&gt;=UmbVol,"Alto","Bajo")</f>
        <v>Alto</v>
      </c>
      <c r="O42" s="7" t="str">
        <f t="shared" si="2"/>
        <v>Media</v>
      </c>
      <c r="P42" s="11">
        <f>'Política de stock'!X42</f>
        <v>9.270230704</v>
      </c>
      <c r="Q42" s="5">
        <f>HuellaPallet</f>
        <v>1.2</v>
      </c>
      <c r="R42" s="5">
        <f>NivPallet</f>
        <v>4</v>
      </c>
      <c r="S42" s="17">
        <f t="shared" si="3"/>
        <v>2.781069211</v>
      </c>
      <c r="T42" s="5"/>
      <c r="U42" s="7" t="str">
        <f>IF(T42&lt;&gt;"",T42,IF(S42&lt;=UmbCajon,"Puesto de trabajo","Almacén"))</f>
        <v>Almacén</v>
      </c>
      <c r="V42" s="15">
        <f t="shared" si="4"/>
        <v>10</v>
      </c>
      <c r="W42" s="11">
        <f t="shared" si="5"/>
        <v>3.6</v>
      </c>
      <c r="X42" s="11">
        <f>W42*CoefCirc</f>
        <v>5.4</v>
      </c>
      <c r="Y42" s="7"/>
      <c r="Z42" s="11">
        <f t="shared" si="6"/>
        <v>5.400042</v>
      </c>
      <c r="AA42" s="7" t="str">
        <f t="shared" si="7"/>
        <v>Insumos de soldadura y superficie|Almacén|97,262831</v>
      </c>
    </row>
    <row r="43" ht="15.75" customHeight="1">
      <c r="A43" s="7" t="str">
        <f>'Política de stock'!A43</f>
        <v>P39</v>
      </c>
      <c r="B43" s="7" t="str">
        <f>'Política de stock'!B43</f>
        <v>MP-31</v>
      </c>
      <c r="C43" s="7" t="str">
        <f>'Política de stock'!C43</f>
        <v>Pintura en polvo poliéster rojo 03-1-050</v>
      </c>
      <c r="D43" s="7" t="str">
        <f>'Política de stock'!D43</f>
        <v>kg</v>
      </c>
      <c r="E43" s="7" t="str">
        <f>'Política de stock'!E43</f>
        <v>Sinteplast</v>
      </c>
      <c r="F43" s="7" t="str">
        <f>'Política de stock'!V43</f>
        <v>Depósito de polvo químico</v>
      </c>
      <c r="G43" s="11">
        <f>'Política de stock'!G43</f>
        <v>15.0396475</v>
      </c>
      <c r="H43" s="11">
        <f>'Política de stock'!N43</f>
        <v>56.739425</v>
      </c>
      <c r="I43" s="11">
        <f>'Política de stock'!U43</f>
        <v>656.739425</v>
      </c>
      <c r="J43" s="13">
        <f t="shared" si="1"/>
        <v>43.66720862</v>
      </c>
      <c r="K43" s="14">
        <f>'Política de stock'!K43</f>
        <v>10</v>
      </c>
      <c r="L43" s="7" t="str">
        <f>IF(K43&gt;=UmbLT,"Alto","Bajo")</f>
        <v>Alto</v>
      </c>
      <c r="M43" s="16">
        <f>IF('Política de stock'!F43&gt;0,COUNTIFS('Política de stock'!$D$5:$D$119,D43,'Política de stock'!$F$5:$F$119,"&lt;"&amp;'Política de stock'!F43)/COUNTIF('Política de stock'!$D$5:$D$119,D43),0)</f>
        <v>0.3529411765</v>
      </c>
      <c r="N43" s="7" t="str">
        <f>IF(M43&gt;=UmbVol,"Alto","Bajo")</f>
        <v>Bajo</v>
      </c>
      <c r="O43" s="7" t="str">
        <f t="shared" si="2"/>
        <v>Media</v>
      </c>
      <c r="P43" s="11">
        <f>'Política de stock'!X43</f>
        <v>1.094565708</v>
      </c>
      <c r="Q43" s="5">
        <f>HuellaPallet</f>
        <v>1.2</v>
      </c>
      <c r="R43" s="5">
        <f>NivPallet</f>
        <v>4</v>
      </c>
      <c r="S43" s="17">
        <f t="shared" si="3"/>
        <v>0.3283697125</v>
      </c>
      <c r="T43" s="5"/>
      <c r="U43" s="7" t="str">
        <f>IF(T43&lt;&gt;"",T43,IF(S43&lt;=UmbCajon,"Puesto de trabajo","Almacén"))</f>
        <v>Almacén</v>
      </c>
      <c r="V43" s="15">
        <f t="shared" si="4"/>
        <v>2</v>
      </c>
      <c r="W43" s="11">
        <f t="shared" si="5"/>
        <v>1.2</v>
      </c>
      <c r="X43" s="11">
        <f>W43*CoefCirc</f>
        <v>1.8</v>
      </c>
      <c r="Y43" s="7"/>
      <c r="Z43" s="11">
        <f t="shared" si="6"/>
        <v>1.800043</v>
      </c>
      <c r="AA43" s="7" t="str">
        <f t="shared" si="7"/>
        <v>Depósito de polvo químico|Almacén|43,667209</v>
      </c>
    </row>
    <row r="44" ht="15.75" customHeight="1">
      <c r="A44" s="7" t="str">
        <f>'Política de stock'!A44</f>
        <v>P40</v>
      </c>
      <c r="B44" s="7" t="str">
        <f>'Política de stock'!B44</f>
        <v>MP-33</v>
      </c>
      <c r="C44" s="7" t="str">
        <f>'Política de stock'!C44</f>
        <v>Polvo ABC 60 (manuales y sus recargas)</v>
      </c>
      <c r="D44" s="7" t="str">
        <f>'Política de stock'!D44</f>
        <v>kg</v>
      </c>
      <c r="E44" s="7" t="str">
        <f>'Política de stock'!E44</f>
        <v>DEMSA</v>
      </c>
      <c r="F44" s="7" t="str">
        <f>'Política de stock'!V44</f>
        <v>Depósito de polvo químico</v>
      </c>
      <c r="G44" s="11">
        <f>'Política de stock'!G44</f>
        <v>1205.184573</v>
      </c>
      <c r="H44" s="11">
        <f>'Política de stock'!N44</f>
        <v>2343.254883</v>
      </c>
      <c r="I44" s="11">
        <f>'Política de stock'!U44</f>
        <v>10343.25488</v>
      </c>
      <c r="J44" s="13">
        <f t="shared" si="1"/>
        <v>8.582299441</v>
      </c>
      <c r="K44" s="14">
        <f>'Política de stock'!K44</f>
        <v>7</v>
      </c>
      <c r="L44" s="7" t="str">
        <f>IF(K44&gt;=UmbLT,"Alto","Bajo")</f>
        <v>Bajo</v>
      </c>
      <c r="M44" s="16">
        <f>IF('Política de stock'!F44&gt;0,COUNTIFS('Política de stock'!$D$5:$D$119,D44,'Política de stock'!$F$5:$F$119,"&lt;"&amp;'Política de stock'!F44)/COUNTIF('Política de stock'!$D$5:$D$119,D44),0)</f>
        <v>0.9411764706</v>
      </c>
      <c r="N44" s="7" t="str">
        <f>IF(M44&gt;=UmbVol,"Alto","Bajo")</f>
        <v>Alto</v>
      </c>
      <c r="O44" s="7" t="str">
        <f t="shared" si="2"/>
        <v>Media</v>
      </c>
      <c r="P44" s="11">
        <f>'Política de stock'!X44</f>
        <v>5.171627441</v>
      </c>
      <c r="Q44" s="5">
        <v>2.0</v>
      </c>
      <c r="R44" s="5">
        <f>NivPallet</f>
        <v>4</v>
      </c>
      <c r="S44" s="17">
        <f t="shared" si="3"/>
        <v>2.585813721</v>
      </c>
      <c r="T44" s="5"/>
      <c r="U44" s="7" t="str">
        <f>IF(T44&lt;&gt;"",T44,IF(S44&lt;=UmbCajon,"Puesto de trabajo","Almacén"))</f>
        <v>Almacén</v>
      </c>
      <c r="V44" s="15">
        <f t="shared" si="4"/>
        <v>6</v>
      </c>
      <c r="W44" s="11">
        <f t="shared" si="5"/>
        <v>4</v>
      </c>
      <c r="X44" s="11">
        <f>W44*CoefCirc</f>
        <v>6</v>
      </c>
      <c r="Y44" s="7"/>
      <c r="Z44" s="11">
        <f t="shared" si="6"/>
        <v>6.000044</v>
      </c>
      <c r="AA44" s="7" t="str">
        <f t="shared" si="7"/>
        <v>Depósito de polvo químico|Almacén|8,582299</v>
      </c>
    </row>
    <row r="45" ht="15.75" customHeight="1">
      <c r="A45" s="7" t="str">
        <f>'Política de stock'!A45</f>
        <v>P41</v>
      </c>
      <c r="B45" s="7" t="str">
        <f>'Política de stock'!B45</f>
        <v>MP-33B</v>
      </c>
      <c r="C45" s="7" t="str">
        <f>'Política de stock'!C45</f>
        <v>Polvo ABC 90 (carros y sus recargas)</v>
      </c>
      <c r="D45" s="7" t="str">
        <f>'Política de stock'!D45</f>
        <v>kg</v>
      </c>
      <c r="E45" s="7" t="str">
        <f>'Política de stock'!E45</f>
        <v>DEMSA</v>
      </c>
      <c r="F45" s="7" t="str">
        <f>'Política de stock'!V45</f>
        <v>Depósito de polvo químico</v>
      </c>
      <c r="G45" s="11">
        <f>'Política de stock'!G45</f>
        <v>435.2927167</v>
      </c>
      <c r="H45" s="11">
        <f>'Política de stock'!N45</f>
        <v>214.4680183</v>
      </c>
      <c r="I45" s="11">
        <f>'Política de stock'!U45</f>
        <v>3214.468018</v>
      </c>
      <c r="J45" s="13">
        <f t="shared" si="1"/>
        <v>7.384612458</v>
      </c>
      <c r="K45" s="14">
        <f>'Política de stock'!K45</f>
        <v>7</v>
      </c>
      <c r="L45" s="7" t="str">
        <f>IF(K45&gt;=UmbLT,"Alto","Bajo")</f>
        <v>Bajo</v>
      </c>
      <c r="M45" s="16">
        <f>IF('Política de stock'!F45&gt;0,COUNTIFS('Política de stock'!$D$5:$D$119,D45,'Política de stock'!$F$5:$F$119,"&lt;"&amp;'Política de stock'!F45)/COUNTIF('Política de stock'!$D$5:$D$119,D45),0)</f>
        <v>0.8823529412</v>
      </c>
      <c r="N45" s="7" t="str">
        <f>IF(M45&gt;=UmbVol,"Alto","Bajo")</f>
        <v>Alto</v>
      </c>
      <c r="O45" s="7" t="str">
        <f t="shared" si="2"/>
        <v>Media</v>
      </c>
      <c r="P45" s="11">
        <f>'Política de stock'!X45</f>
        <v>1.607234009</v>
      </c>
      <c r="Q45" s="5">
        <v>2.0</v>
      </c>
      <c r="R45" s="5">
        <f>NivPallet</f>
        <v>4</v>
      </c>
      <c r="S45" s="17">
        <f t="shared" si="3"/>
        <v>0.8036170046</v>
      </c>
      <c r="T45" s="5"/>
      <c r="U45" s="7" t="str">
        <f>IF(T45&lt;&gt;"",T45,IF(S45&lt;=UmbCajon,"Puesto de trabajo","Almacén"))</f>
        <v>Almacén</v>
      </c>
      <c r="V45" s="15">
        <f t="shared" si="4"/>
        <v>2</v>
      </c>
      <c r="W45" s="11">
        <f t="shared" si="5"/>
        <v>2</v>
      </c>
      <c r="X45" s="11">
        <f>W45*CoefCirc</f>
        <v>3</v>
      </c>
      <c r="Y45" s="7"/>
      <c r="Z45" s="11">
        <f t="shared" si="6"/>
        <v>3.000045</v>
      </c>
      <c r="AA45" s="7" t="str">
        <f t="shared" si="7"/>
        <v>Depósito de polvo químico|Almacén|7,384612</v>
      </c>
    </row>
    <row r="46" ht="15.75" customHeight="1">
      <c r="A46" s="7" t="str">
        <f>'Política de stock'!A46</f>
        <v>P42</v>
      </c>
      <c r="B46" s="7" t="str">
        <f>'Política de stock'!B46</f>
        <v>MP-34</v>
      </c>
      <c r="C46" s="7" t="str">
        <f>'Política de stock'!C46</f>
        <v>Nitrógeno seco</v>
      </c>
      <c r="D46" s="7" t="str">
        <f>'Política de stock'!D46</f>
        <v>m³</v>
      </c>
      <c r="E46" s="7" t="str">
        <f>'Política de stock'!E46</f>
        <v>Air Liquide</v>
      </c>
      <c r="F46" s="7" t="str">
        <f>'Política de stock'!V46</f>
        <v>Jaula de gases</v>
      </c>
      <c r="G46" s="11">
        <f>'Política de stock'!G46</f>
        <v>16.90961375</v>
      </c>
      <c r="H46" s="11">
        <f>'Política de stock'!N46</f>
        <v>2.02036625</v>
      </c>
      <c r="I46" s="11">
        <f>'Política de stock'!U46</f>
        <v>222.0203663</v>
      </c>
      <c r="J46" s="13">
        <f t="shared" si="1"/>
        <v>13.12983073</v>
      </c>
      <c r="K46" s="14">
        <f>'Política de stock'!K46</f>
        <v>1</v>
      </c>
      <c r="L46" s="7" t="str">
        <f>IF(K46&gt;=UmbLT,"Alto","Bajo")</f>
        <v>Bajo</v>
      </c>
      <c r="M46" s="16">
        <f>IF('Política de stock'!F46&gt;0,COUNTIFS('Política de stock'!$D$5:$D$119,D46,'Política de stock'!$F$5:$F$119,"&lt;"&amp;'Política de stock'!F46)/COUNTIF('Política de stock'!$D$5:$D$119,D46),0)</f>
        <v>0</v>
      </c>
      <c r="N46" s="7" t="str">
        <f>IF(M46&gt;=UmbVol,"Alto","Bajo")</f>
        <v>Bajo</v>
      </c>
      <c r="O46" s="7" t="str">
        <f t="shared" si="2"/>
        <v>Baja</v>
      </c>
      <c r="P46" s="11">
        <f>'Política de stock'!X46</f>
        <v>2.155537536</v>
      </c>
      <c r="Q46" s="5">
        <v>1.5</v>
      </c>
      <c r="R46" s="5">
        <v>1.0</v>
      </c>
      <c r="S46" s="17">
        <f t="shared" si="3"/>
        <v>3.233306305</v>
      </c>
      <c r="T46" s="5"/>
      <c r="U46" s="7" t="str">
        <f>IF(T46&lt;&gt;"",T46,IF(S46&lt;=UmbCajon,"Puesto de trabajo","Almacén"))</f>
        <v>Almacén</v>
      </c>
      <c r="V46" s="15">
        <f t="shared" si="4"/>
        <v>3</v>
      </c>
      <c r="W46" s="11">
        <f t="shared" si="5"/>
        <v>4.5</v>
      </c>
      <c r="X46" s="11">
        <f>W46*CoefCirc</f>
        <v>6.75</v>
      </c>
      <c r="Y46" s="7" t="s">
        <v>652</v>
      </c>
      <c r="Z46" s="11">
        <f t="shared" si="6"/>
        <v>6.750046</v>
      </c>
      <c r="AA46" s="7" t="str">
        <f t="shared" si="7"/>
        <v>Jaula de gases|Almacén|13,129831</v>
      </c>
    </row>
    <row r="47" ht="15.75" customHeight="1">
      <c r="A47" s="7" t="str">
        <f>'Política de stock'!A47</f>
        <v>P43</v>
      </c>
      <c r="B47" s="7" t="str">
        <f>'Política de stock'!B47</f>
        <v>MP-35</v>
      </c>
      <c r="C47" s="7" t="str">
        <f>'Política de stock'!C47</f>
        <v>Polvo BC (recargas)</v>
      </c>
      <c r="D47" s="7" t="str">
        <f>'Política de stock'!D47</f>
        <v>kg</v>
      </c>
      <c r="E47" s="7" t="str">
        <f>'Política de stock'!E47</f>
        <v>Polvex</v>
      </c>
      <c r="F47" s="7" t="str">
        <f>'Política de stock'!V47</f>
        <v>Depósito de polvo químico</v>
      </c>
      <c r="G47" s="11">
        <f>'Política de stock'!G47</f>
        <v>3.59628875</v>
      </c>
      <c r="H47" s="11">
        <f>'Política de stock'!N47</f>
        <v>0.000008749999999</v>
      </c>
      <c r="I47" s="11">
        <f>'Política de stock'!U47</f>
        <v>225.0000088</v>
      </c>
      <c r="J47" s="13">
        <f t="shared" si="1"/>
        <v>62.56450035</v>
      </c>
      <c r="K47" s="14">
        <f>'Política de stock'!K47</f>
        <v>7</v>
      </c>
      <c r="L47" s="7" t="str">
        <f>IF(K47&gt;=UmbLT,"Alto","Bajo")</f>
        <v>Bajo</v>
      </c>
      <c r="M47" s="16">
        <f>IF('Política de stock'!F47&gt;0,COUNTIFS('Política de stock'!$D$5:$D$119,D47,'Política de stock'!$F$5:$F$119,"&lt;"&amp;'Política de stock'!F47)/COUNTIF('Política de stock'!$D$5:$D$119,D47),0)</f>
        <v>0.05882352941</v>
      </c>
      <c r="N47" s="7" t="str">
        <f>IF(M47&gt;=UmbVol,"Alto","Bajo")</f>
        <v>Bajo</v>
      </c>
      <c r="O47" s="7" t="str">
        <f t="shared" si="2"/>
        <v>Baja</v>
      </c>
      <c r="P47" s="11">
        <f>'Política de stock'!X47</f>
        <v>0.2250000088</v>
      </c>
      <c r="Q47" s="5">
        <f>HuellaPallet</f>
        <v>1.2</v>
      </c>
      <c r="R47" s="5">
        <f>NivPallet</f>
        <v>4</v>
      </c>
      <c r="S47" s="17">
        <f t="shared" si="3"/>
        <v>0.06750000263</v>
      </c>
      <c r="T47" s="5"/>
      <c r="U47" s="7" t="str">
        <f>IF(T47&lt;&gt;"",T47,IF(S47&lt;=UmbCajon,"Puesto de trabajo","Almacén"))</f>
        <v>Puesto de trabajo</v>
      </c>
      <c r="V47" s="15">
        <f t="shared" si="4"/>
        <v>0</v>
      </c>
      <c r="W47" s="11">
        <f t="shared" si="5"/>
        <v>0</v>
      </c>
      <c r="X47" s="11">
        <f>W47*CoefCirc</f>
        <v>0</v>
      </c>
      <c r="Y47" s="7"/>
      <c r="Z47" s="11">
        <f t="shared" si="6"/>
        <v>0.000047</v>
      </c>
      <c r="AA47" s="7" t="str">
        <f t="shared" si="7"/>
        <v>Depósito de polvo químico|Puesto de trabajo|62,5645</v>
      </c>
    </row>
    <row r="48" ht="15.75" customHeight="1">
      <c r="A48" s="7" t="str">
        <f>'Política de stock'!A48</f>
        <v>P44</v>
      </c>
      <c r="B48" s="7" t="str">
        <f>'Política de stock'!B48</f>
        <v>MP-36</v>
      </c>
      <c r="C48" s="7" t="str">
        <f>'Política de stock'!C48</f>
        <v>Polvo clase D (recargas)</v>
      </c>
      <c r="D48" s="7" t="str">
        <f>'Política de stock'!D48</f>
        <v>kg</v>
      </c>
      <c r="E48" s="7" t="str">
        <f>'Política de stock'!E48</f>
        <v>DEMSA</v>
      </c>
      <c r="F48" s="7" t="str">
        <f>'Política de stock'!V48</f>
        <v>Depósito de polvo químico</v>
      </c>
      <c r="G48" s="11">
        <f>'Política de stock'!G48</f>
        <v>5.765654167</v>
      </c>
      <c r="H48" s="11">
        <f>'Política de stock'!N48</f>
        <v>0.00001250000001</v>
      </c>
      <c r="I48" s="11">
        <f>'Política de stock'!U48</f>
        <v>700.0000125</v>
      </c>
      <c r="J48" s="13">
        <f t="shared" si="1"/>
        <v>121.4086021</v>
      </c>
      <c r="K48" s="14">
        <f>'Política de stock'!K48</f>
        <v>15</v>
      </c>
      <c r="L48" s="7" t="str">
        <f>IF(K48&gt;=UmbLT,"Alto","Bajo")</f>
        <v>Alto</v>
      </c>
      <c r="M48" s="16">
        <f>IF('Política de stock'!F48&gt;0,COUNTIFS('Política de stock'!$D$5:$D$119,D48,'Política de stock'!$F$5:$F$119,"&lt;"&amp;'Política de stock'!F48)/COUNTIF('Política de stock'!$D$5:$D$119,D48),0)</f>
        <v>0.1176470588</v>
      </c>
      <c r="N48" s="7" t="str">
        <f>IF(M48&gt;=UmbVol,"Alto","Bajo")</f>
        <v>Bajo</v>
      </c>
      <c r="O48" s="7" t="str">
        <f t="shared" si="2"/>
        <v>Media</v>
      </c>
      <c r="P48" s="11">
        <f>'Política de stock'!X48</f>
        <v>0.7000000125</v>
      </c>
      <c r="Q48" s="5">
        <f>HuellaPallet</f>
        <v>1.2</v>
      </c>
      <c r="R48" s="5">
        <f>NivPallet</f>
        <v>4</v>
      </c>
      <c r="S48" s="17">
        <f t="shared" si="3"/>
        <v>0.2100000038</v>
      </c>
      <c r="T48" s="5"/>
      <c r="U48" s="7" t="str">
        <f>IF(T48&lt;&gt;"",T48,IF(S48&lt;=UmbCajon,"Puesto de trabajo","Almacén"))</f>
        <v>Almacén</v>
      </c>
      <c r="V48" s="15">
        <f t="shared" si="4"/>
        <v>1</v>
      </c>
      <c r="W48" s="11">
        <f t="shared" si="5"/>
        <v>1.2</v>
      </c>
      <c r="X48" s="11">
        <f>W48*CoefCirc</f>
        <v>1.8</v>
      </c>
      <c r="Y48" s="7"/>
      <c r="Z48" s="11">
        <f t="shared" si="6"/>
        <v>1.800048</v>
      </c>
      <c r="AA48" s="7" t="str">
        <f t="shared" si="7"/>
        <v>Depósito de polvo químico|Almacén|121,408602</v>
      </c>
    </row>
    <row r="49" ht="15.75" customHeight="1">
      <c r="A49" s="7" t="str">
        <f>'Política de stock'!A49</f>
        <v>P45</v>
      </c>
      <c r="B49" s="7" t="str">
        <f>'Política de stock'!B49</f>
        <v>MP-37</v>
      </c>
      <c r="C49" s="7" t="str">
        <f>'Política de stock'!C49</f>
        <v>CO₂ líquido (recargas)</v>
      </c>
      <c r="D49" s="7" t="str">
        <f>'Política de stock'!D49</f>
        <v>kg</v>
      </c>
      <c r="E49" s="7" t="str">
        <f>'Política de stock'!E49</f>
        <v>Air Liquide</v>
      </c>
      <c r="F49" s="7" t="str">
        <f>'Política de stock'!V49</f>
        <v>Jaula de gases</v>
      </c>
      <c r="G49" s="11">
        <f>'Política de stock'!G49</f>
        <v>12.26434333</v>
      </c>
      <c r="H49" s="11">
        <f>'Política de stock'!N49</f>
        <v>0.000001666666668</v>
      </c>
      <c r="I49" s="11">
        <f>'Política de stock'!U49</f>
        <v>125.0000017</v>
      </c>
      <c r="J49" s="13">
        <f t="shared" si="1"/>
        <v>10.19214794</v>
      </c>
      <c r="K49" s="14">
        <f>'Política de stock'!K49</f>
        <v>1</v>
      </c>
      <c r="L49" s="7" t="str">
        <f>IF(K49&gt;=UmbLT,"Alto","Bajo")</f>
        <v>Bajo</v>
      </c>
      <c r="M49" s="16">
        <f>IF('Política de stock'!F49&gt;0,COUNTIFS('Política de stock'!$D$5:$D$119,D49,'Política de stock'!$F$5:$F$119,"&lt;"&amp;'Política de stock'!F49)/COUNTIF('Política de stock'!$D$5:$D$119,D49),0)</f>
        <v>0.2352941176</v>
      </c>
      <c r="N49" s="7" t="str">
        <f>IF(M49&gt;=UmbVol,"Alto","Bajo")</f>
        <v>Bajo</v>
      </c>
      <c r="O49" s="7" t="str">
        <f t="shared" si="2"/>
        <v>Baja</v>
      </c>
      <c r="P49" s="11">
        <f>'Política de stock'!X49</f>
        <v>5.000000067</v>
      </c>
      <c r="Q49" s="5">
        <v>0.25</v>
      </c>
      <c r="R49" s="5">
        <v>1.0</v>
      </c>
      <c r="S49" s="17">
        <f t="shared" si="3"/>
        <v>1.250000017</v>
      </c>
      <c r="T49" s="5"/>
      <c r="U49" s="7" t="str">
        <f>IF(T49&lt;&gt;"",T49,IF(S49&lt;=UmbCajon,"Puesto de trabajo","Almacén"))</f>
        <v>Almacén</v>
      </c>
      <c r="V49" s="15">
        <f t="shared" si="4"/>
        <v>6</v>
      </c>
      <c r="W49" s="11">
        <f t="shared" si="5"/>
        <v>1.5</v>
      </c>
      <c r="X49" s="11">
        <f>W49*CoefCirc</f>
        <v>2.25</v>
      </c>
      <c r="Y49" s="7" t="s">
        <v>652</v>
      </c>
      <c r="Z49" s="11">
        <f t="shared" si="6"/>
        <v>2.250049</v>
      </c>
      <c r="AA49" s="7" t="str">
        <f t="shared" si="7"/>
        <v>Jaula de gases|Almacén|10,192148</v>
      </c>
    </row>
    <row r="50" ht="15.75" customHeight="1">
      <c r="A50" s="7" t="str">
        <f>'Política de stock'!A50</f>
        <v>P46</v>
      </c>
      <c r="B50" s="7" t="str">
        <f>'Política de stock'!B50</f>
        <v>MP-38</v>
      </c>
      <c r="C50" s="7" t="str">
        <f>'Política de stock'!C50</f>
        <v>Agente limpio HCFC-123 (recargas)</v>
      </c>
      <c r="D50" s="7" t="str">
        <f>'Política de stock'!D50</f>
        <v>kg</v>
      </c>
      <c r="E50" s="7" t="str">
        <f>'Política de stock'!E50</f>
        <v>Polvex / DEMSA</v>
      </c>
      <c r="F50" s="7" t="str">
        <f>'Política de stock'!V50</f>
        <v>Insumos de recargas</v>
      </c>
      <c r="G50" s="11">
        <f>'Política de stock'!G50</f>
        <v>0.9172845833</v>
      </c>
      <c r="H50" s="11">
        <f>'Política de stock'!N50</f>
        <v>0.0000125</v>
      </c>
      <c r="I50" s="11">
        <f>'Política de stock'!U50</f>
        <v>100.0000125</v>
      </c>
      <c r="J50" s="13">
        <f t="shared" si="1"/>
        <v>109.0174351</v>
      </c>
      <c r="K50" s="14">
        <f>'Política de stock'!K50</f>
        <v>30</v>
      </c>
      <c r="L50" s="7" t="str">
        <f>IF(K50&gt;=UmbLT,"Alto","Bajo")</f>
        <v>Alto</v>
      </c>
      <c r="M50" s="16">
        <f>IF('Política de stock'!F50&gt;0,COUNTIFS('Política de stock'!$D$5:$D$119,D50,'Política de stock'!$F$5:$F$119,"&lt;"&amp;'Política de stock'!F50)/COUNTIF('Política de stock'!$D$5:$D$119,D50),0)</f>
        <v>0</v>
      </c>
      <c r="N50" s="7" t="str">
        <f>IF(M50&gt;=UmbVol,"Alto","Bajo")</f>
        <v>Bajo</v>
      </c>
      <c r="O50" s="7" t="str">
        <f t="shared" si="2"/>
        <v>Media</v>
      </c>
      <c r="P50" s="11">
        <f>'Política de stock'!X50</f>
        <v>2.00000025</v>
      </c>
      <c r="Q50" s="5">
        <f>HuellaPallet</f>
        <v>1.2</v>
      </c>
      <c r="R50" s="5">
        <v>1.0</v>
      </c>
      <c r="S50" s="17">
        <f t="shared" si="3"/>
        <v>2.4000003</v>
      </c>
      <c r="T50" s="5"/>
      <c r="U50" s="7" t="str">
        <f>IF(T50&lt;&gt;"",T50,IF(S50&lt;=UmbCajon,"Puesto de trabajo","Almacén"))</f>
        <v>Almacén</v>
      </c>
      <c r="V50" s="15">
        <f t="shared" si="4"/>
        <v>3</v>
      </c>
      <c r="W50" s="11">
        <f t="shared" si="5"/>
        <v>3.6</v>
      </c>
      <c r="X50" s="11">
        <f>W50*CoefCirc</f>
        <v>5.4</v>
      </c>
      <c r="Y50" s="7"/>
      <c r="Z50" s="11">
        <f t="shared" si="6"/>
        <v>5.40005</v>
      </c>
      <c r="AA50" s="7" t="str">
        <f t="shared" si="7"/>
        <v>Insumos de recargas|Almacén|109,017435</v>
      </c>
    </row>
    <row r="51" ht="15.75" customHeight="1">
      <c r="A51" s="7" t="str">
        <f>'Política de stock'!A51</f>
        <v>P47</v>
      </c>
      <c r="B51" s="7" t="str">
        <f>'Política de stock'!B51</f>
        <v>MP-40</v>
      </c>
      <c r="C51" s="7" t="str">
        <f>'Política de stock'!C51</f>
        <v>Concentrado AFFF 3 % (recargas)</v>
      </c>
      <c r="D51" s="7" t="str">
        <f>'Política de stock'!D51</f>
        <v>L</v>
      </c>
      <c r="E51" s="7" t="str">
        <f>'Política de stock'!E51</f>
        <v>Polvex</v>
      </c>
      <c r="F51" s="7" t="str">
        <f>'Política de stock'!V51</f>
        <v>Insumos de recargas</v>
      </c>
      <c r="G51" s="11">
        <f>'Política de stock'!G51</f>
        <v>2.50554125</v>
      </c>
      <c r="H51" s="11">
        <f>'Política de stock'!N51</f>
        <v>0</v>
      </c>
      <c r="I51" s="11">
        <f>'Política de stock'!U51</f>
        <v>160</v>
      </c>
      <c r="J51" s="13">
        <f t="shared" si="1"/>
        <v>63.85845773</v>
      </c>
      <c r="K51" s="14">
        <f>'Política de stock'!K51</f>
        <v>7</v>
      </c>
      <c r="L51" s="7" t="str">
        <f>IF(K51&gt;=UmbLT,"Alto","Bajo")</f>
        <v>Bajo</v>
      </c>
      <c r="M51" s="16">
        <f>IF('Política de stock'!F51&gt;0,COUNTIFS('Política de stock'!$D$5:$D$119,D51,'Política de stock'!$F$5:$F$119,"&lt;"&amp;'Política de stock'!F51)/COUNTIF('Política de stock'!$D$5:$D$119,D51),0)</f>
        <v>0.3333333333</v>
      </c>
      <c r="N51" s="7" t="str">
        <f>IF(M51&gt;=UmbVol,"Alto","Bajo")</f>
        <v>Bajo</v>
      </c>
      <c r="O51" s="7" t="str">
        <f t="shared" si="2"/>
        <v>Baja</v>
      </c>
      <c r="P51" s="11">
        <f>'Política de stock'!X51</f>
        <v>0.3333333333</v>
      </c>
      <c r="Q51" s="5">
        <f>HuellaPallet</f>
        <v>1.2</v>
      </c>
      <c r="R51" s="5">
        <v>1.0</v>
      </c>
      <c r="S51" s="17">
        <f t="shared" si="3"/>
        <v>0.4</v>
      </c>
      <c r="T51" s="5"/>
      <c r="U51" s="7" t="str">
        <f>IF(T51&lt;&gt;"",T51,IF(S51&lt;=UmbCajon,"Puesto de trabajo","Almacén"))</f>
        <v>Almacén</v>
      </c>
      <c r="V51" s="15">
        <f t="shared" si="4"/>
        <v>1</v>
      </c>
      <c r="W51" s="11">
        <f t="shared" si="5"/>
        <v>1.2</v>
      </c>
      <c r="X51" s="11">
        <f>W51*CoefCirc</f>
        <v>1.8</v>
      </c>
      <c r="Y51" s="7"/>
      <c r="Z51" s="11">
        <f t="shared" si="6"/>
        <v>1.800051</v>
      </c>
      <c r="AA51" s="7" t="str">
        <f t="shared" si="7"/>
        <v>Insumos de recargas|Almacén|63,858458</v>
      </c>
    </row>
    <row r="52" ht="15.75" customHeight="1">
      <c r="A52" s="7" t="str">
        <f>'Política de stock'!A52</f>
        <v>P48</v>
      </c>
      <c r="B52" s="7" t="str">
        <f>'Política de stock'!B52</f>
        <v>MP-41</v>
      </c>
      <c r="C52" s="7" t="str">
        <f>'Política de stock'!C52</f>
        <v>Acetato de potasio Gastro K (recargas)</v>
      </c>
      <c r="D52" s="7" t="str">
        <f>'Política de stock'!D52</f>
        <v>L</v>
      </c>
      <c r="E52" s="7" t="str">
        <f>'Política de stock'!E52</f>
        <v>Polvex</v>
      </c>
      <c r="F52" s="7" t="str">
        <f>'Política de stock'!V52</f>
        <v>Insumos de recargas</v>
      </c>
      <c r="G52" s="11">
        <f>'Política de stock'!G52</f>
        <v>36.59960917</v>
      </c>
      <c r="H52" s="11">
        <f>'Política de stock'!N52</f>
        <v>0.000005833333319</v>
      </c>
      <c r="I52" s="11">
        <f>'Política de stock'!U52</f>
        <v>740.0000058</v>
      </c>
      <c r="J52" s="13">
        <f t="shared" si="1"/>
        <v>20.2187953</v>
      </c>
      <c r="K52" s="14">
        <f>'Política de stock'!K52</f>
        <v>7</v>
      </c>
      <c r="L52" s="7" t="str">
        <f>IF(K52&gt;=UmbLT,"Alto","Bajo")</f>
        <v>Bajo</v>
      </c>
      <c r="M52" s="16">
        <f>IF('Política de stock'!F52&gt;0,COUNTIFS('Política de stock'!$D$5:$D$119,D52,'Política de stock'!$F$5:$F$119,"&lt;"&amp;'Política de stock'!F52)/COUNTIF('Política de stock'!$D$5:$D$119,D52),0)</f>
        <v>0.6666666667</v>
      </c>
      <c r="N52" s="7" t="str">
        <f>IF(M52&gt;=UmbVol,"Alto","Bajo")</f>
        <v>Alto</v>
      </c>
      <c r="O52" s="7" t="str">
        <f t="shared" si="2"/>
        <v>Media</v>
      </c>
      <c r="P52" s="11">
        <f>'Política de stock'!X52</f>
        <v>1.541666679</v>
      </c>
      <c r="Q52" s="5">
        <f>HuellaPallet</f>
        <v>1.2</v>
      </c>
      <c r="R52" s="5">
        <v>1.0</v>
      </c>
      <c r="S52" s="17">
        <f t="shared" si="3"/>
        <v>1.850000015</v>
      </c>
      <c r="T52" s="5"/>
      <c r="U52" s="7" t="str">
        <f>IF(T52&lt;&gt;"",T52,IF(S52&lt;=UmbCajon,"Puesto de trabajo","Almacén"))</f>
        <v>Almacén</v>
      </c>
      <c r="V52" s="15">
        <f t="shared" si="4"/>
        <v>2</v>
      </c>
      <c r="W52" s="11">
        <f t="shared" si="5"/>
        <v>2.4</v>
      </c>
      <c r="X52" s="11">
        <f>W52*CoefCirc</f>
        <v>3.6</v>
      </c>
      <c r="Y52" s="7"/>
      <c r="Z52" s="11">
        <f t="shared" si="6"/>
        <v>3.600052</v>
      </c>
      <c r="AA52" s="7" t="str">
        <f t="shared" si="7"/>
        <v>Insumos de recargas|Almacén|20,218795</v>
      </c>
    </row>
    <row r="53" ht="15.75" customHeight="1">
      <c r="A53" s="7" t="str">
        <f>'Política de stock'!A53</f>
        <v>P49</v>
      </c>
      <c r="B53" s="7" t="str">
        <f>'Política de stock'!B53</f>
        <v>MP-42</v>
      </c>
      <c r="C53" s="7" t="str">
        <f>'Política de stock'!C53</f>
        <v>Válvula HZ M-22 con tubo de pesca (1 kg)</v>
      </c>
      <c r="D53" s="7" t="str">
        <f>'Política de stock'!D53</f>
        <v>u</v>
      </c>
      <c r="E53" s="7" t="str">
        <f>'Política de stock'!E53</f>
        <v>Polvex (HZ)</v>
      </c>
      <c r="F53" s="7" t="str">
        <f>'Política de stock'!V53</f>
        <v>Insumos de montaje (manuales)</v>
      </c>
      <c r="G53" s="11">
        <f>'Política de stock'!G53</f>
        <v>133.6359963</v>
      </c>
      <c r="H53" s="11">
        <f>'Política de stock'!N53</f>
        <v>1175.996775</v>
      </c>
      <c r="I53" s="11">
        <f>'Política de stock'!U53</f>
        <v>7175.996775</v>
      </c>
      <c r="J53" s="13">
        <f t="shared" si="1"/>
        <v>53.69808268</v>
      </c>
      <c r="K53" s="14">
        <f>'Política de stock'!K53</f>
        <v>20</v>
      </c>
      <c r="L53" s="7" t="str">
        <f>IF(K53&gt;=UmbLT,"Alto","Bajo")</f>
        <v>Alto</v>
      </c>
      <c r="M53" s="16">
        <f>IF('Política de stock'!F53&gt;0,COUNTIFS('Política de stock'!$D$5:$D$119,D53,'Política de stock'!$F$5:$F$119,"&lt;"&amp;'Política de stock'!F53)/COUNTIF('Política de stock'!$D$5:$D$119,D53),0)</f>
        <v>0.6024096386</v>
      </c>
      <c r="N53" s="7" t="str">
        <f>IF(M53&gt;=UmbVol,"Alto","Bajo")</f>
        <v>Alto</v>
      </c>
      <c r="O53" s="7" t="str">
        <f t="shared" si="2"/>
        <v>Alta</v>
      </c>
      <c r="P53" s="11">
        <f>'Política de stock'!X53</f>
        <v>2.391998925</v>
      </c>
      <c r="Q53" s="5">
        <f>HuellaPallet</f>
        <v>1.2</v>
      </c>
      <c r="R53" s="5">
        <f>NivPallet</f>
        <v>4</v>
      </c>
      <c r="S53" s="17">
        <f t="shared" si="3"/>
        <v>0.7175996775</v>
      </c>
      <c r="T53" s="5"/>
      <c r="U53" s="7" t="str">
        <f>IF(T53&lt;&gt;"",T53,IF(S53&lt;=UmbCajon,"Puesto de trabajo","Almacén"))</f>
        <v>Almacén</v>
      </c>
      <c r="V53" s="15">
        <f t="shared" si="4"/>
        <v>3</v>
      </c>
      <c r="W53" s="11">
        <f t="shared" si="5"/>
        <v>1.2</v>
      </c>
      <c r="X53" s="11">
        <f>W53*CoefCirc</f>
        <v>1.8</v>
      </c>
      <c r="Y53" s="7"/>
      <c r="Z53" s="11">
        <f t="shared" si="6"/>
        <v>1.800053</v>
      </c>
      <c r="AA53" s="7" t="str">
        <f t="shared" si="7"/>
        <v>Insumos de montaje (manuales)|Almacén|53,698083</v>
      </c>
    </row>
    <row r="54" ht="15.75" customHeight="1">
      <c r="A54" s="7" t="str">
        <f>'Política de stock'!A54</f>
        <v>P50</v>
      </c>
      <c r="B54" s="7" t="str">
        <f>'Política de stock'!B54</f>
        <v>MP-43</v>
      </c>
      <c r="C54" s="7" t="str">
        <f>'Política de stock'!C54</f>
        <v>Válvula HZ M-30 con resorte (2,5 a 10 kg)</v>
      </c>
      <c r="D54" s="7" t="str">
        <f>'Política de stock'!D54</f>
        <v>u</v>
      </c>
      <c r="E54" s="7" t="str">
        <f>'Política de stock'!E54</f>
        <v>Polvex (HZ)</v>
      </c>
      <c r="F54" s="7" t="str">
        <f>'Política de stock'!V54</f>
        <v>Insumos de montaje (manuales)</v>
      </c>
      <c r="G54" s="11">
        <f>'Política de stock'!G54</f>
        <v>173.8240067</v>
      </c>
      <c r="H54" s="11">
        <f>'Política de stock'!N54</f>
        <v>1112.473667</v>
      </c>
      <c r="I54" s="11">
        <f>'Política de stock'!U54</f>
        <v>7112.473667</v>
      </c>
      <c r="J54" s="13">
        <f t="shared" si="1"/>
        <v>40.91767186</v>
      </c>
      <c r="K54" s="14">
        <f>'Política de stock'!K54</f>
        <v>20</v>
      </c>
      <c r="L54" s="7" t="str">
        <f>IF(K54&gt;=UmbLT,"Alto","Bajo")</f>
        <v>Alto</v>
      </c>
      <c r="M54" s="16">
        <f>IF('Política de stock'!F54&gt;0,COUNTIFS('Política de stock'!$D$5:$D$119,D54,'Política de stock'!$F$5:$F$119,"&lt;"&amp;'Política de stock'!F54)/COUNTIF('Política de stock'!$D$5:$D$119,D54),0)</f>
        <v>0.7108433735</v>
      </c>
      <c r="N54" s="7" t="str">
        <f>IF(M54&gt;=UmbVol,"Alto","Bajo")</f>
        <v>Alto</v>
      </c>
      <c r="O54" s="7" t="str">
        <f t="shared" si="2"/>
        <v>Alta</v>
      </c>
      <c r="P54" s="11">
        <f>'Política de stock'!X54</f>
        <v>4.741649111</v>
      </c>
      <c r="Q54" s="5">
        <f>HuellaPallet</f>
        <v>1.2</v>
      </c>
      <c r="R54" s="5">
        <f>NivPallet</f>
        <v>4</v>
      </c>
      <c r="S54" s="17">
        <f t="shared" si="3"/>
        <v>1.422494733</v>
      </c>
      <c r="T54" s="5"/>
      <c r="U54" s="7" t="str">
        <f>IF(T54&lt;&gt;"",T54,IF(S54&lt;=UmbCajon,"Puesto de trabajo","Almacén"))</f>
        <v>Almacén</v>
      </c>
      <c r="V54" s="15">
        <f t="shared" si="4"/>
        <v>5</v>
      </c>
      <c r="W54" s="11">
        <f t="shared" si="5"/>
        <v>2.4</v>
      </c>
      <c r="X54" s="11">
        <f>W54*CoefCirc</f>
        <v>3.6</v>
      </c>
      <c r="Y54" s="7"/>
      <c r="Z54" s="11">
        <f t="shared" si="6"/>
        <v>3.600054</v>
      </c>
      <c r="AA54" s="7" t="str">
        <f t="shared" si="7"/>
        <v>Insumos de montaje (manuales)|Almacén|40,917672</v>
      </c>
    </row>
    <row r="55" ht="15.75" customHeight="1">
      <c r="A55" s="7" t="str">
        <f>'Política de stock'!A55</f>
        <v>P51</v>
      </c>
      <c r="B55" s="7" t="str">
        <f>'Política de stock'!B55</f>
        <v>MP-44/25</v>
      </c>
      <c r="C55" s="7" t="str">
        <f>'Política de stock'!C55</f>
        <v>Válvula HZ de carro 25 kg</v>
      </c>
      <c r="D55" s="7" t="str">
        <f>'Política de stock'!D55</f>
        <v>u</v>
      </c>
      <c r="E55" s="7" t="str">
        <f>'Política de stock'!E55</f>
        <v>Polvex (HZ)</v>
      </c>
      <c r="F55" s="7" t="str">
        <f>'Política de stock'!V55</f>
        <v>Rack de insumos de montaje (carros)</v>
      </c>
      <c r="G55" s="11">
        <f>'Política de stock'!G55</f>
        <v>1.888627083</v>
      </c>
      <c r="H55" s="11">
        <f>'Política de stock'!N55</f>
        <v>3.021758333</v>
      </c>
      <c r="I55" s="11">
        <f>'Política de stock'!U55</f>
        <v>53.02175833</v>
      </c>
      <c r="J55" s="13">
        <f t="shared" si="1"/>
        <v>28.07423382</v>
      </c>
      <c r="K55" s="14">
        <f>'Política de stock'!K55</f>
        <v>20</v>
      </c>
      <c r="L55" s="7" t="str">
        <f>IF(K55&gt;=UmbLT,"Alto","Bajo")</f>
        <v>Alto</v>
      </c>
      <c r="M55" s="16">
        <f>IF('Política de stock'!F55&gt;0,COUNTIFS('Política de stock'!$D$5:$D$119,D55,'Política de stock'!$F$5:$F$119,"&lt;"&amp;'Política de stock'!F55)/COUNTIF('Política de stock'!$D$5:$D$119,D55),0)</f>
        <v>0.2048192771</v>
      </c>
      <c r="N55" s="7" t="str">
        <f>IF(M55&gt;=UmbVol,"Alto","Bajo")</f>
        <v>Bajo</v>
      </c>
      <c r="O55" s="7" t="str">
        <f t="shared" si="2"/>
        <v>Media</v>
      </c>
      <c r="P55" s="11">
        <f>'Política de stock'!X55</f>
        <v>0.2651087917</v>
      </c>
      <c r="Q55" s="5">
        <v>0.6</v>
      </c>
      <c r="R55" s="5">
        <v>5.0</v>
      </c>
      <c r="S55" s="17">
        <f t="shared" si="3"/>
        <v>0.031813055</v>
      </c>
      <c r="T55" s="5"/>
      <c r="U55" s="7" t="str">
        <f>IF(T55&lt;&gt;"",T55,IF(S55&lt;=UmbCajon,"Puesto de trabajo","Almacén"))</f>
        <v>Puesto de trabajo</v>
      </c>
      <c r="V55" s="15">
        <f t="shared" si="4"/>
        <v>0</v>
      </c>
      <c r="W55" s="11">
        <f t="shared" si="5"/>
        <v>0</v>
      </c>
      <c r="X55" s="11">
        <f>W55*CoefCirc</f>
        <v>0</v>
      </c>
      <c r="Y55" s="7"/>
      <c r="Z55" s="11">
        <f t="shared" si="6"/>
        <v>0.000055</v>
      </c>
      <c r="AA55" s="7" t="str">
        <f t="shared" si="7"/>
        <v>Rack de insumos de montaje (carros)|Puesto de trabajo|28,074234</v>
      </c>
    </row>
    <row r="56" ht="15.75" customHeight="1">
      <c r="A56" s="7" t="str">
        <f>'Política de stock'!A56</f>
        <v>P52</v>
      </c>
      <c r="B56" s="7" t="str">
        <f>'Política de stock'!B56</f>
        <v>MP-44/50</v>
      </c>
      <c r="C56" s="7" t="str">
        <f>'Política de stock'!C56</f>
        <v>Válvula HZ de carro 50-70-100 kg</v>
      </c>
      <c r="D56" s="7" t="str">
        <f>'Política de stock'!D56</f>
        <v>u</v>
      </c>
      <c r="E56" s="7" t="str">
        <f>'Política de stock'!E56</f>
        <v>Polvex (HZ)</v>
      </c>
      <c r="F56" s="7" t="str">
        <f>'Política de stock'!V56</f>
        <v>Rack de insumos de montaje (carros)</v>
      </c>
      <c r="G56" s="11">
        <f>'Política de stock'!G56</f>
        <v>5.671802083</v>
      </c>
      <c r="H56" s="11">
        <f>'Política de stock'!N56</f>
        <v>9.074858333</v>
      </c>
      <c r="I56" s="11">
        <f>'Política de stock'!U56</f>
        <v>139.0748583</v>
      </c>
      <c r="J56" s="13">
        <f t="shared" si="1"/>
        <v>24.52040045</v>
      </c>
      <c r="K56" s="14">
        <f>'Política de stock'!K56</f>
        <v>20</v>
      </c>
      <c r="L56" s="7" t="str">
        <f>IF(K56&gt;=UmbLT,"Alto","Bajo")</f>
        <v>Alto</v>
      </c>
      <c r="M56" s="16">
        <f>IF('Política de stock'!F56&gt;0,COUNTIFS('Política de stock'!$D$5:$D$119,D56,'Política de stock'!$F$5:$F$119,"&lt;"&amp;'Política de stock'!F56)/COUNTIF('Política de stock'!$D$5:$D$119,D56),0)</f>
        <v>0.3373493976</v>
      </c>
      <c r="N56" s="7" t="str">
        <f>IF(M56&gt;=UmbVol,"Alto","Bajo")</f>
        <v>Bajo</v>
      </c>
      <c r="O56" s="7" t="str">
        <f t="shared" si="2"/>
        <v>Media</v>
      </c>
      <c r="P56" s="11">
        <f>'Política de stock'!X56</f>
        <v>0.6953742917</v>
      </c>
      <c r="Q56" s="5">
        <v>0.6</v>
      </c>
      <c r="R56" s="5">
        <v>5.0</v>
      </c>
      <c r="S56" s="17">
        <f t="shared" si="3"/>
        <v>0.083444915</v>
      </c>
      <c r="T56" s="5"/>
      <c r="U56" s="7" t="str">
        <f>IF(T56&lt;&gt;"",T56,IF(S56&lt;=UmbCajon,"Puesto de trabajo","Almacén"))</f>
        <v>Puesto de trabajo</v>
      </c>
      <c r="V56" s="15">
        <f t="shared" si="4"/>
        <v>0</v>
      </c>
      <c r="W56" s="11">
        <f t="shared" si="5"/>
        <v>0</v>
      </c>
      <c r="X56" s="11">
        <f>W56*CoefCirc</f>
        <v>0</v>
      </c>
      <c r="Y56" s="7"/>
      <c r="Z56" s="11">
        <f t="shared" si="6"/>
        <v>0.000056</v>
      </c>
      <c r="AA56" s="7" t="str">
        <f t="shared" si="7"/>
        <v>Rack de insumos de montaje (carros)|Puesto de trabajo|24,5204</v>
      </c>
    </row>
    <row r="57" ht="15.75" customHeight="1">
      <c r="A57" s="7" t="str">
        <f>'Política de stock'!A57</f>
        <v>P53</v>
      </c>
      <c r="B57" s="7" t="str">
        <f>'Política de stock'!B57</f>
        <v>MP-45</v>
      </c>
      <c r="C57" s="7" t="str">
        <f>'Política de stock'!C57</f>
        <v>Manómetro 1,4 MPa</v>
      </c>
      <c r="D57" s="7" t="str">
        <f>'Política de stock'!D57</f>
        <v>u</v>
      </c>
      <c r="E57" s="7" t="str">
        <f>'Política de stock'!E57</f>
        <v>Yukon</v>
      </c>
      <c r="F57" s="7" t="str">
        <f>'Política de stock'!V57</f>
        <v>Insumos de montaje (manuales)</v>
      </c>
      <c r="G57" s="11">
        <f>'Política de stock'!G57</f>
        <v>315.0204321</v>
      </c>
      <c r="H57" s="11">
        <f>'Política de stock'!N57</f>
        <v>2300.567058</v>
      </c>
      <c r="I57" s="11">
        <f>'Política de stock'!U57</f>
        <v>11000.56706</v>
      </c>
      <c r="J57" s="13">
        <f t="shared" si="1"/>
        <v>34.92017005</v>
      </c>
      <c r="K57" s="14">
        <f>'Política de stock'!K57</f>
        <v>20</v>
      </c>
      <c r="L57" s="7" t="str">
        <f>IF(K57&gt;=UmbLT,"Alto","Bajo")</f>
        <v>Alto</v>
      </c>
      <c r="M57" s="16">
        <f>IF('Política de stock'!F57&gt;0,COUNTIFS('Política de stock'!$D$5:$D$119,D57,'Política de stock'!$F$5:$F$119,"&lt;"&amp;'Política de stock'!F57)/COUNTIF('Política de stock'!$D$5:$D$119,D57),0)</f>
        <v>0.7710843373</v>
      </c>
      <c r="N57" s="7" t="str">
        <f>IF(M57&gt;=UmbVol,"Alto","Bajo")</f>
        <v>Alto</v>
      </c>
      <c r="O57" s="7" t="str">
        <f t="shared" si="2"/>
        <v>Alta</v>
      </c>
      <c r="P57" s="11">
        <f>'Política de stock'!X57</f>
        <v>3.666855686</v>
      </c>
      <c r="Q57" s="5">
        <f>HuellaPallet</f>
        <v>1.2</v>
      </c>
      <c r="R57" s="5">
        <f>NivPallet</f>
        <v>4</v>
      </c>
      <c r="S57" s="17">
        <f t="shared" si="3"/>
        <v>1.100056706</v>
      </c>
      <c r="T57" s="5"/>
      <c r="U57" s="7" t="str">
        <f>IF(T57&lt;&gt;"",T57,IF(S57&lt;=UmbCajon,"Puesto de trabajo","Almacén"))</f>
        <v>Almacén</v>
      </c>
      <c r="V57" s="15">
        <f t="shared" si="4"/>
        <v>4</v>
      </c>
      <c r="W57" s="11">
        <f t="shared" si="5"/>
        <v>1.2</v>
      </c>
      <c r="X57" s="11">
        <f>W57*CoefCirc</f>
        <v>1.8</v>
      </c>
      <c r="Y57" s="7"/>
      <c r="Z57" s="11">
        <f t="shared" si="6"/>
        <v>1.800057</v>
      </c>
      <c r="AA57" s="7" t="str">
        <f t="shared" si="7"/>
        <v>Insumos de montaje (manuales)|Almacén|34,92017</v>
      </c>
    </row>
    <row r="58" ht="15.75" customHeight="1">
      <c r="A58" s="7" t="str">
        <f>'Política de stock'!A58</f>
        <v>P54</v>
      </c>
      <c r="B58" s="7" t="str">
        <f>'Política de stock'!B58</f>
        <v>MP-48/ABC1</v>
      </c>
      <c r="C58" s="7" t="str">
        <f>'Política de stock'!C58</f>
        <v>Tobera ABC 1 kg</v>
      </c>
      <c r="D58" s="7" t="str">
        <f>'Política de stock'!D58</f>
        <v>u</v>
      </c>
      <c r="E58" s="7" t="str">
        <f>'Política de stock'!E58</f>
        <v>Yukon</v>
      </c>
      <c r="F58" s="7" t="str">
        <f>'Política de stock'!V58</f>
        <v>Insumos de montaje (manuales)</v>
      </c>
      <c r="G58" s="11">
        <f>'Política de stock'!G58</f>
        <v>133.6359963</v>
      </c>
      <c r="H58" s="11">
        <f>'Política de stock'!N58</f>
        <v>881.9975813</v>
      </c>
      <c r="I58" s="11">
        <f>'Política de stock'!U58</f>
        <v>4731.997581</v>
      </c>
      <c r="J58" s="13">
        <f t="shared" si="1"/>
        <v>35.40960306</v>
      </c>
      <c r="K58" s="14">
        <f>'Política de stock'!K58</f>
        <v>15</v>
      </c>
      <c r="L58" s="7" t="str">
        <f>IF(K58&gt;=UmbLT,"Alto","Bajo")</f>
        <v>Alto</v>
      </c>
      <c r="M58" s="16">
        <f>IF('Política de stock'!F58&gt;0,COUNTIFS('Política de stock'!$D$5:$D$119,D58,'Política de stock'!$F$5:$F$119,"&lt;"&amp;'Política de stock'!F58)/COUNTIF('Política de stock'!$D$5:$D$119,D58),0)</f>
        <v>0.6024096386</v>
      </c>
      <c r="N58" s="7" t="str">
        <f>IF(M58&gt;=UmbVol,"Alto","Bajo")</f>
        <v>Alto</v>
      </c>
      <c r="O58" s="7" t="str">
        <f t="shared" si="2"/>
        <v>Alta</v>
      </c>
      <c r="P58" s="11">
        <f>'Política de stock'!X58</f>
        <v>3.154665054</v>
      </c>
      <c r="Q58" s="5">
        <f>HuellaPallet</f>
        <v>1.2</v>
      </c>
      <c r="R58" s="5">
        <f>NivPallet</f>
        <v>4</v>
      </c>
      <c r="S58" s="17">
        <f t="shared" si="3"/>
        <v>0.9463995163</v>
      </c>
      <c r="T58" s="5"/>
      <c r="U58" s="7" t="str">
        <f>IF(T58&lt;&gt;"",T58,IF(S58&lt;=UmbCajon,"Puesto de trabajo","Almacén"))</f>
        <v>Almacén</v>
      </c>
      <c r="V58" s="15">
        <f t="shared" si="4"/>
        <v>4</v>
      </c>
      <c r="W58" s="11">
        <f t="shared" si="5"/>
        <v>1.2</v>
      </c>
      <c r="X58" s="11">
        <f>W58*CoefCirc</f>
        <v>1.8</v>
      </c>
      <c r="Y58" s="7"/>
      <c r="Z58" s="11">
        <f t="shared" si="6"/>
        <v>1.800058</v>
      </c>
      <c r="AA58" s="7" t="str">
        <f t="shared" si="7"/>
        <v>Insumos de montaje (manuales)|Almacén|35,409603</v>
      </c>
    </row>
    <row r="59" ht="15.75" customHeight="1">
      <c r="A59" s="7" t="str">
        <f>'Política de stock'!A59</f>
        <v>P55</v>
      </c>
      <c r="B59" s="7" t="str">
        <f>'Política de stock'!B59</f>
        <v>MP-48/ABC2.5</v>
      </c>
      <c r="C59" s="7" t="str">
        <f>'Política de stock'!C59</f>
        <v>Manguera con tobera ABC 2,5 kg</v>
      </c>
      <c r="D59" s="7" t="str">
        <f>'Política de stock'!D59</f>
        <v>u</v>
      </c>
      <c r="E59" s="7" t="str">
        <f>'Política de stock'!E59</f>
        <v>Yukon</v>
      </c>
      <c r="F59" s="7" t="str">
        <f>'Política de stock'!V59</f>
        <v>Insumos de montaje (manuales)</v>
      </c>
      <c r="G59" s="11">
        <f>'Política de stock'!G59</f>
        <v>30.93691</v>
      </c>
      <c r="H59" s="11">
        <f>'Política de stock'!N59</f>
        <v>148.49715</v>
      </c>
      <c r="I59" s="11">
        <f>'Política de stock'!U59</f>
        <v>998.49715</v>
      </c>
      <c r="J59" s="13">
        <f t="shared" si="1"/>
        <v>32.27527087</v>
      </c>
      <c r="K59" s="14">
        <f>'Política de stock'!K59</f>
        <v>15</v>
      </c>
      <c r="L59" s="7" t="str">
        <f>IF(K59&gt;=UmbLT,"Alto","Bajo")</f>
        <v>Alto</v>
      </c>
      <c r="M59" s="16">
        <f>IF('Política de stock'!F59&gt;0,COUNTIFS('Política de stock'!$D$5:$D$119,D59,'Política de stock'!$F$5:$F$119,"&lt;"&amp;'Política de stock'!F59)/COUNTIF('Política de stock'!$D$5:$D$119,D59),0)</f>
        <v>0.5542168675</v>
      </c>
      <c r="N59" s="7" t="str">
        <f>IF(M59&gt;=UmbVol,"Alto","Bajo")</f>
        <v>Alto</v>
      </c>
      <c r="O59" s="7" t="str">
        <f t="shared" si="2"/>
        <v>Alta</v>
      </c>
      <c r="P59" s="11">
        <f>'Política de stock'!X59</f>
        <v>0.6656647667</v>
      </c>
      <c r="Q59" s="5">
        <f>HuellaPallet</f>
        <v>1.2</v>
      </c>
      <c r="R59" s="5">
        <f>NivPallet</f>
        <v>4</v>
      </c>
      <c r="S59" s="17">
        <f t="shared" si="3"/>
        <v>0.19969943</v>
      </c>
      <c r="T59" s="5"/>
      <c r="U59" s="7" t="str">
        <f>IF(T59&lt;&gt;"",T59,IF(S59&lt;=UmbCajon,"Puesto de trabajo","Almacén"))</f>
        <v>Almacén</v>
      </c>
      <c r="V59" s="15">
        <f t="shared" si="4"/>
        <v>1</v>
      </c>
      <c r="W59" s="11">
        <f t="shared" si="5"/>
        <v>1.2</v>
      </c>
      <c r="X59" s="11">
        <f>W59*CoefCirc</f>
        <v>1.8</v>
      </c>
      <c r="Y59" s="7"/>
      <c r="Z59" s="11">
        <f t="shared" si="6"/>
        <v>1.800059</v>
      </c>
      <c r="AA59" s="7" t="str">
        <f t="shared" si="7"/>
        <v>Insumos de montaje (manuales)|Almacén|32,275271</v>
      </c>
    </row>
    <row r="60" ht="15.75" customHeight="1">
      <c r="A60" s="7" t="str">
        <f>'Política de stock'!A60</f>
        <v>P56</v>
      </c>
      <c r="B60" s="7" t="str">
        <f>'Política de stock'!B60</f>
        <v>MP-48/ABC5</v>
      </c>
      <c r="C60" s="7" t="str">
        <f>'Política de stock'!C60</f>
        <v>Manguera con tobera ABC 5 kg</v>
      </c>
      <c r="D60" s="7" t="str">
        <f>'Política de stock'!D60</f>
        <v>u</v>
      </c>
      <c r="E60" s="7" t="str">
        <f>'Política de stock'!E60</f>
        <v>Yukon</v>
      </c>
      <c r="F60" s="7" t="str">
        <f>'Política de stock'!V60</f>
        <v>Insumos de montaje (manuales)</v>
      </c>
      <c r="G60" s="11">
        <f>'Política de stock'!G60</f>
        <v>135.2068383</v>
      </c>
      <c r="H60" s="11">
        <f>'Política de stock'!N60</f>
        <v>648.9928</v>
      </c>
      <c r="I60" s="11">
        <f>'Política de stock'!U60</f>
        <v>4248.9928</v>
      </c>
      <c r="J60" s="13">
        <f t="shared" si="1"/>
        <v>31.42587204</v>
      </c>
      <c r="K60" s="14">
        <f>'Política de stock'!K60</f>
        <v>15</v>
      </c>
      <c r="L60" s="7" t="str">
        <f>IF(K60&gt;=UmbLT,"Alto","Bajo")</f>
        <v>Alto</v>
      </c>
      <c r="M60" s="16">
        <f>IF('Política de stock'!F60&gt;0,COUNTIFS('Política de stock'!$D$5:$D$119,D60,'Política de stock'!$F$5:$F$119,"&lt;"&amp;'Política de stock'!F60)/COUNTIF('Política de stock'!$D$5:$D$119,D60),0)</f>
        <v>0.6626506024</v>
      </c>
      <c r="N60" s="7" t="str">
        <f>IF(M60&gt;=UmbVol,"Alto","Bajo")</f>
        <v>Alto</v>
      </c>
      <c r="O60" s="7" t="str">
        <f t="shared" si="2"/>
        <v>Alta</v>
      </c>
      <c r="P60" s="11">
        <f>'Política de stock'!X60</f>
        <v>2.832661867</v>
      </c>
      <c r="Q60" s="5">
        <f>HuellaPallet</f>
        <v>1.2</v>
      </c>
      <c r="R60" s="5">
        <f>NivPallet</f>
        <v>4</v>
      </c>
      <c r="S60" s="17">
        <f t="shared" si="3"/>
        <v>0.84979856</v>
      </c>
      <c r="T60" s="5"/>
      <c r="U60" s="7" t="str">
        <f>IF(T60&lt;&gt;"",T60,IF(S60&lt;=UmbCajon,"Puesto de trabajo","Almacén"))</f>
        <v>Almacén</v>
      </c>
      <c r="V60" s="15">
        <f t="shared" si="4"/>
        <v>3</v>
      </c>
      <c r="W60" s="11">
        <f t="shared" si="5"/>
        <v>1.2</v>
      </c>
      <c r="X60" s="11">
        <f>W60*CoefCirc</f>
        <v>1.8</v>
      </c>
      <c r="Y60" s="7"/>
      <c r="Z60" s="11">
        <f t="shared" si="6"/>
        <v>1.80006</v>
      </c>
      <c r="AA60" s="7" t="str">
        <f t="shared" si="7"/>
        <v>Insumos de montaje (manuales)|Almacén|31,425872</v>
      </c>
    </row>
    <row r="61" ht="15.75" customHeight="1">
      <c r="A61" s="7" t="str">
        <f>'Política de stock'!A61</f>
        <v>P57</v>
      </c>
      <c r="B61" s="7" t="str">
        <f>'Política de stock'!B61</f>
        <v>MP-48/ABC10</v>
      </c>
      <c r="C61" s="7" t="str">
        <f>'Política de stock'!C61</f>
        <v>Manguera con tobera ABC 10 kg</v>
      </c>
      <c r="D61" s="7" t="str">
        <f>'Política de stock'!D61</f>
        <v>u</v>
      </c>
      <c r="E61" s="7" t="str">
        <f>'Política de stock'!E61</f>
        <v>Yukon</v>
      </c>
      <c r="F61" s="7" t="str">
        <f>'Política de stock'!V61</f>
        <v>Insumos de montaje (manuales)</v>
      </c>
      <c r="G61" s="11">
        <f>'Política de stock'!G61</f>
        <v>7.680257917</v>
      </c>
      <c r="H61" s="11">
        <f>'Política de stock'!N61</f>
        <v>36.86523125</v>
      </c>
      <c r="I61" s="11">
        <f>'Política de stock'!U61</f>
        <v>286.8652313</v>
      </c>
      <c r="J61" s="13">
        <f t="shared" si="1"/>
        <v>37.3509893</v>
      </c>
      <c r="K61" s="14">
        <f>'Política de stock'!K61</f>
        <v>15</v>
      </c>
      <c r="L61" s="7" t="str">
        <f>IF(K61&gt;=UmbLT,"Alto","Bajo")</f>
        <v>Alto</v>
      </c>
      <c r="M61" s="16">
        <f>IF('Política de stock'!F61&gt;0,COUNTIFS('Política de stock'!$D$5:$D$119,D61,'Política de stock'!$F$5:$F$119,"&lt;"&amp;'Política de stock'!F61)/COUNTIF('Política de stock'!$D$5:$D$119,D61),0)</f>
        <v>0.3975903614</v>
      </c>
      <c r="N61" s="7" t="str">
        <f>IF(M61&gt;=UmbVol,"Alto","Bajo")</f>
        <v>Bajo</v>
      </c>
      <c r="O61" s="7" t="str">
        <f t="shared" si="2"/>
        <v>Media</v>
      </c>
      <c r="P61" s="11">
        <f>'Política de stock'!X61</f>
        <v>0.1912434875</v>
      </c>
      <c r="Q61" s="5">
        <f>HuellaPallet</f>
        <v>1.2</v>
      </c>
      <c r="R61" s="5">
        <f>NivPallet</f>
        <v>4</v>
      </c>
      <c r="S61" s="17">
        <f t="shared" si="3"/>
        <v>0.05737304625</v>
      </c>
      <c r="T61" s="5"/>
      <c r="U61" s="7" t="str">
        <f>IF(T61&lt;&gt;"",T61,IF(S61&lt;=UmbCajon,"Puesto de trabajo","Almacén"))</f>
        <v>Puesto de trabajo</v>
      </c>
      <c r="V61" s="15">
        <f t="shared" si="4"/>
        <v>0</v>
      </c>
      <c r="W61" s="11">
        <f t="shared" si="5"/>
        <v>0</v>
      </c>
      <c r="X61" s="11">
        <f>W61*CoefCirc</f>
        <v>0</v>
      </c>
      <c r="Y61" s="7"/>
      <c r="Z61" s="11">
        <f t="shared" si="6"/>
        <v>0.000061</v>
      </c>
      <c r="AA61" s="7" t="str">
        <f t="shared" si="7"/>
        <v>Insumos de montaje (manuales)|Puesto de trabajo|37,350989</v>
      </c>
    </row>
    <row r="62" ht="15.75" customHeight="1">
      <c r="A62" s="7" t="str">
        <f>'Política de stock'!A62</f>
        <v>P58</v>
      </c>
      <c r="B62" s="7" t="str">
        <f>'Política de stock'!B62</f>
        <v>MP-49/ABC25</v>
      </c>
      <c r="C62" s="7" t="str">
        <f>'Política de stock'!C62</f>
        <v>Manguera con válvula esférica y tobera, carro 25 kg</v>
      </c>
      <c r="D62" s="7" t="str">
        <f>'Política de stock'!D62</f>
        <v>u</v>
      </c>
      <c r="E62" s="7" t="str">
        <f>'Política de stock'!E62</f>
        <v>Yukon</v>
      </c>
      <c r="F62" s="7" t="str">
        <f>'Política de stock'!V62</f>
        <v>Rack de insumos de montaje (carros)</v>
      </c>
      <c r="G62" s="11">
        <f>'Política de stock'!G62</f>
        <v>1.888627083</v>
      </c>
      <c r="H62" s="11">
        <f>'Política de stock'!N62</f>
        <v>2.26631875</v>
      </c>
      <c r="I62" s="11">
        <f>'Política de stock'!U62</f>
        <v>52.26631875</v>
      </c>
      <c r="J62" s="13">
        <f t="shared" si="1"/>
        <v>27.67423978</v>
      </c>
      <c r="K62" s="14">
        <f>'Política de stock'!K62</f>
        <v>15</v>
      </c>
      <c r="L62" s="7" t="str">
        <f>IF(K62&gt;=UmbLT,"Alto","Bajo")</f>
        <v>Alto</v>
      </c>
      <c r="M62" s="16">
        <f>IF('Política de stock'!F62&gt;0,COUNTIFS('Política de stock'!$D$5:$D$119,D62,'Política de stock'!$F$5:$F$119,"&lt;"&amp;'Política de stock'!F62)/COUNTIF('Política de stock'!$D$5:$D$119,D62),0)</f>
        <v>0.2048192771</v>
      </c>
      <c r="N62" s="7" t="str">
        <f>IF(M62&gt;=UmbVol,"Alto","Bajo")</f>
        <v>Bajo</v>
      </c>
      <c r="O62" s="7" t="str">
        <f t="shared" si="2"/>
        <v>Media</v>
      </c>
      <c r="P62" s="11">
        <f>'Política de stock'!X62</f>
        <v>0.4355526563</v>
      </c>
      <c r="Q62" s="5">
        <v>0.6</v>
      </c>
      <c r="R62" s="5">
        <v>5.0</v>
      </c>
      <c r="S62" s="17">
        <f t="shared" si="3"/>
        <v>0.05226631875</v>
      </c>
      <c r="T62" s="5"/>
      <c r="U62" s="7" t="str">
        <f>IF(T62&lt;&gt;"",T62,IF(S62&lt;=UmbCajon,"Puesto de trabajo","Almacén"))</f>
        <v>Puesto de trabajo</v>
      </c>
      <c r="V62" s="15">
        <f t="shared" si="4"/>
        <v>0</v>
      </c>
      <c r="W62" s="11">
        <f t="shared" si="5"/>
        <v>0</v>
      </c>
      <c r="X62" s="11">
        <f>W62*CoefCirc</f>
        <v>0</v>
      </c>
      <c r="Y62" s="7"/>
      <c r="Z62" s="11">
        <f t="shared" si="6"/>
        <v>0.000062</v>
      </c>
      <c r="AA62" s="7" t="str">
        <f t="shared" si="7"/>
        <v>Rack de insumos de montaje (carros)|Puesto de trabajo|27,67424</v>
      </c>
    </row>
    <row r="63" ht="15.75" customHeight="1">
      <c r="A63" s="7" t="str">
        <f>'Política de stock'!A63</f>
        <v>P59</v>
      </c>
      <c r="B63" s="7" t="str">
        <f>'Política de stock'!B63</f>
        <v>MP-49/ABC50</v>
      </c>
      <c r="C63" s="7" t="str">
        <f>'Política de stock'!C63</f>
        <v>Manguera con válvula esférica y tobera, carro 50 kg</v>
      </c>
      <c r="D63" s="7" t="str">
        <f>'Política de stock'!D63</f>
        <v>u</v>
      </c>
      <c r="E63" s="7" t="str">
        <f>'Política de stock'!E63</f>
        <v>Yukon</v>
      </c>
      <c r="F63" s="7" t="str">
        <f>'Política de stock'!V63</f>
        <v>Rack de insumos de montaje (carros)</v>
      </c>
      <c r="G63" s="11">
        <f>'Política de stock'!G63</f>
        <v>4.160258333</v>
      </c>
      <c r="H63" s="11">
        <f>'Política de stock'!N63</f>
        <v>4.992325</v>
      </c>
      <c r="I63" s="11">
        <f>'Política de stock'!U63</f>
        <v>94.992325</v>
      </c>
      <c r="J63" s="13">
        <f t="shared" si="1"/>
        <v>22.83327558</v>
      </c>
      <c r="K63" s="14">
        <f>'Política de stock'!K63</f>
        <v>15</v>
      </c>
      <c r="L63" s="7" t="str">
        <f>IF(K63&gt;=UmbLT,"Alto","Bajo")</f>
        <v>Alto</v>
      </c>
      <c r="M63" s="16">
        <f>IF('Política de stock'!F63&gt;0,COUNTIFS('Política de stock'!$D$5:$D$119,D63,'Política de stock'!$F$5:$F$119,"&lt;"&amp;'Política de stock'!F63)/COUNTIF('Política de stock'!$D$5:$D$119,D63),0)</f>
        <v>0.3012048193</v>
      </c>
      <c r="N63" s="7" t="str">
        <f>IF(M63&gt;=UmbVol,"Alto","Bajo")</f>
        <v>Bajo</v>
      </c>
      <c r="O63" s="7" t="str">
        <f t="shared" si="2"/>
        <v>Media</v>
      </c>
      <c r="P63" s="11">
        <f>'Política de stock'!X63</f>
        <v>0.7916027083</v>
      </c>
      <c r="Q63" s="5">
        <v>0.6</v>
      </c>
      <c r="R63" s="5">
        <v>5.0</v>
      </c>
      <c r="S63" s="17">
        <f t="shared" si="3"/>
        <v>0.094992325</v>
      </c>
      <c r="T63" s="5"/>
      <c r="U63" s="7" t="str">
        <f>IF(T63&lt;&gt;"",T63,IF(S63&lt;=UmbCajon,"Puesto de trabajo","Almacén"))</f>
        <v>Puesto de trabajo</v>
      </c>
      <c r="V63" s="15">
        <f t="shared" si="4"/>
        <v>0</v>
      </c>
      <c r="W63" s="11">
        <f t="shared" si="5"/>
        <v>0</v>
      </c>
      <c r="X63" s="11">
        <f>W63*CoefCirc</f>
        <v>0</v>
      </c>
      <c r="Y63" s="7"/>
      <c r="Z63" s="11">
        <f t="shared" si="6"/>
        <v>0.000063</v>
      </c>
      <c r="AA63" s="7" t="str">
        <f t="shared" si="7"/>
        <v>Rack de insumos de montaje (carros)|Puesto de trabajo|22,833276</v>
      </c>
    </row>
    <row r="64" ht="15.75" customHeight="1">
      <c r="A64" s="7" t="str">
        <f>'Política de stock'!A64</f>
        <v>P60</v>
      </c>
      <c r="B64" s="7" t="str">
        <f>'Política de stock'!B64</f>
        <v>MP-49/ABC70</v>
      </c>
      <c r="C64" s="7" t="str">
        <f>'Política de stock'!C64</f>
        <v>Manguera con válvula esférica y tobera, carro 70 kg</v>
      </c>
      <c r="D64" s="7" t="str">
        <f>'Política de stock'!D64</f>
        <v>u</v>
      </c>
      <c r="E64" s="7" t="str">
        <f>'Política de stock'!E64</f>
        <v>Yukon</v>
      </c>
      <c r="F64" s="7" t="str">
        <f>'Política de stock'!V64</f>
        <v>Rack de insumos de montaje (carros)</v>
      </c>
      <c r="G64" s="11">
        <f>'Política de stock'!G64</f>
        <v>0.90654125</v>
      </c>
      <c r="H64" s="11">
        <f>'Política de stock'!N64</f>
        <v>1.08785625</v>
      </c>
      <c r="I64" s="11">
        <f>'Política de stock'!U64</f>
        <v>21.08785625</v>
      </c>
      <c r="J64" s="13">
        <f t="shared" si="1"/>
        <v>23.26188273</v>
      </c>
      <c r="K64" s="14">
        <f>'Política de stock'!K64</f>
        <v>15</v>
      </c>
      <c r="L64" s="7" t="str">
        <f>IF(K64&gt;=UmbLT,"Alto","Bajo")</f>
        <v>Alto</v>
      </c>
      <c r="M64" s="16">
        <f>IF('Política de stock'!F64&gt;0,COUNTIFS('Política de stock'!$D$5:$D$119,D64,'Política de stock'!$F$5:$F$119,"&lt;"&amp;'Política de stock'!F64)/COUNTIF('Política de stock'!$D$5:$D$119,D64),0)</f>
        <v>0.1204819277</v>
      </c>
      <c r="N64" s="7" t="str">
        <f>IF(M64&gt;=UmbVol,"Alto","Bajo")</f>
        <v>Bajo</v>
      </c>
      <c r="O64" s="7" t="str">
        <f t="shared" si="2"/>
        <v>Media</v>
      </c>
      <c r="P64" s="11">
        <f>'Política de stock'!X64</f>
        <v>0.1757321354</v>
      </c>
      <c r="Q64" s="5">
        <v>0.6</v>
      </c>
      <c r="R64" s="5">
        <v>5.0</v>
      </c>
      <c r="S64" s="17">
        <f t="shared" si="3"/>
        <v>0.02108785625</v>
      </c>
      <c r="T64" s="5"/>
      <c r="U64" s="7" t="str">
        <f>IF(T64&lt;&gt;"",T64,IF(S64&lt;=UmbCajon,"Puesto de trabajo","Almacén"))</f>
        <v>Puesto de trabajo</v>
      </c>
      <c r="V64" s="15">
        <f t="shared" si="4"/>
        <v>0</v>
      </c>
      <c r="W64" s="11">
        <f t="shared" si="5"/>
        <v>0</v>
      </c>
      <c r="X64" s="11">
        <f>W64*CoefCirc</f>
        <v>0</v>
      </c>
      <c r="Y64" s="7"/>
      <c r="Z64" s="11">
        <f t="shared" si="6"/>
        <v>0.000064</v>
      </c>
      <c r="AA64" s="7" t="str">
        <f t="shared" si="7"/>
        <v>Rack de insumos de montaje (carros)|Puesto de trabajo|23,261883</v>
      </c>
    </row>
    <row r="65" ht="15.75" customHeight="1">
      <c r="A65" s="7" t="str">
        <f>'Política de stock'!A65</f>
        <v>P61</v>
      </c>
      <c r="B65" s="7" t="str">
        <f>'Política de stock'!B65</f>
        <v>MP-49/ABC100</v>
      </c>
      <c r="C65" s="7" t="str">
        <f>'Política de stock'!C65</f>
        <v>Manguera con válvula esférica y tobera, carro 100 kg</v>
      </c>
      <c r="D65" s="7" t="str">
        <f>'Política de stock'!D65</f>
        <v>u</v>
      </c>
      <c r="E65" s="7" t="str">
        <f>'Política de stock'!E65</f>
        <v>Yukon</v>
      </c>
      <c r="F65" s="7" t="str">
        <f>'Política de stock'!V65</f>
        <v>Rack de insumos de montaje (carros)</v>
      </c>
      <c r="G65" s="11">
        <f>'Política de stock'!G65</f>
        <v>0.6050025</v>
      </c>
      <c r="H65" s="11">
        <f>'Política de stock'!N65</f>
        <v>0.7260375</v>
      </c>
      <c r="I65" s="11">
        <f>'Política de stock'!U65</f>
        <v>20.7260375</v>
      </c>
      <c r="J65" s="13">
        <f t="shared" si="1"/>
        <v>34.25777166</v>
      </c>
      <c r="K65" s="14">
        <f>'Política de stock'!K65</f>
        <v>15</v>
      </c>
      <c r="L65" s="7" t="str">
        <f>IF(K65&gt;=UmbLT,"Alto","Bajo")</f>
        <v>Alto</v>
      </c>
      <c r="M65" s="16">
        <f>IF('Política de stock'!F65&gt;0,COUNTIFS('Política de stock'!$D$5:$D$119,D65,'Política de stock'!$F$5:$F$119,"&lt;"&amp;'Política de stock'!F65)/COUNTIF('Política de stock'!$D$5:$D$119,D65),0)</f>
        <v>0.0843373494</v>
      </c>
      <c r="N65" s="7" t="str">
        <f>IF(M65&gt;=UmbVol,"Alto","Bajo")</f>
        <v>Bajo</v>
      </c>
      <c r="O65" s="7" t="str">
        <f t="shared" si="2"/>
        <v>Media</v>
      </c>
      <c r="P65" s="11">
        <f>'Política de stock'!X65</f>
        <v>0.1727169792</v>
      </c>
      <c r="Q65" s="5">
        <v>0.6</v>
      </c>
      <c r="R65" s="5">
        <v>5.0</v>
      </c>
      <c r="S65" s="17">
        <f t="shared" si="3"/>
        <v>0.0207260375</v>
      </c>
      <c r="T65" s="5"/>
      <c r="U65" s="7" t="str">
        <f>IF(T65&lt;&gt;"",T65,IF(S65&lt;=UmbCajon,"Puesto de trabajo","Almacén"))</f>
        <v>Puesto de trabajo</v>
      </c>
      <c r="V65" s="15">
        <f t="shared" si="4"/>
        <v>0</v>
      </c>
      <c r="W65" s="11">
        <f t="shared" si="5"/>
        <v>0</v>
      </c>
      <c r="X65" s="11">
        <f>W65*CoefCirc</f>
        <v>0</v>
      </c>
      <c r="Y65" s="7"/>
      <c r="Z65" s="11">
        <f t="shared" si="6"/>
        <v>0.000065</v>
      </c>
      <c r="AA65" s="7" t="str">
        <f t="shared" si="7"/>
        <v>Rack de insumos de montaje (carros)|Puesto de trabajo|34,257772</v>
      </c>
    </row>
    <row r="66" ht="15.75" customHeight="1">
      <c r="A66" s="7" t="str">
        <f>'Política de stock'!A66</f>
        <v>P62</v>
      </c>
      <c r="B66" s="7" t="str">
        <f>'Política de stock'!B66</f>
        <v>MP-50/M22</v>
      </c>
      <c r="C66" s="7" t="str">
        <f>'Política de stock'!C66</f>
        <v>Junta tórica del cuello M22</v>
      </c>
      <c r="D66" s="7" t="str">
        <f>'Política de stock'!D66</f>
        <v>u</v>
      </c>
      <c r="E66" s="7" t="str">
        <f>'Política de stock'!E66</f>
        <v>Argensold</v>
      </c>
      <c r="F66" s="7" t="str">
        <f>'Política de stock'!V66</f>
        <v>Insumos de montaje (manuales)</v>
      </c>
      <c r="G66" s="11">
        <f>'Política de stock'!G66</f>
        <v>133.6359963</v>
      </c>
      <c r="H66" s="11">
        <f>'Política de stock'!N66</f>
        <v>587.9983875</v>
      </c>
      <c r="I66" s="11">
        <f>'Política de stock'!U66</f>
        <v>4587.998388</v>
      </c>
      <c r="J66" s="13">
        <f t="shared" si="1"/>
        <v>34.33205511</v>
      </c>
      <c r="K66" s="14">
        <f>'Política de stock'!K66</f>
        <v>10</v>
      </c>
      <c r="L66" s="7" t="str">
        <f>IF(K66&gt;=UmbLT,"Alto","Bajo")</f>
        <v>Alto</v>
      </c>
      <c r="M66" s="16">
        <f>IF('Política de stock'!F66&gt;0,COUNTIFS('Política de stock'!$D$5:$D$119,D66,'Política de stock'!$F$5:$F$119,"&lt;"&amp;'Política de stock'!F66)/COUNTIF('Política de stock'!$D$5:$D$119,D66),0)</f>
        <v>0.6024096386</v>
      </c>
      <c r="N66" s="7" t="str">
        <f>IF(M66&gt;=UmbVol,"Alto","Bajo")</f>
        <v>Alto</v>
      </c>
      <c r="O66" s="7" t="str">
        <f t="shared" si="2"/>
        <v>Alta</v>
      </c>
      <c r="P66" s="11">
        <f>'Política de stock'!X66</f>
        <v>0.2293999194</v>
      </c>
      <c r="Q66" s="5">
        <v>0.6</v>
      </c>
      <c r="R66" s="5">
        <v>5.0</v>
      </c>
      <c r="S66" s="17">
        <f t="shared" si="3"/>
        <v>0.02752799033</v>
      </c>
      <c r="T66" s="5"/>
      <c r="U66" s="7" t="str">
        <f>IF(T66&lt;&gt;"",T66,IF(S66&lt;=UmbCajon,"Puesto de trabajo","Almacén"))</f>
        <v>Puesto de trabajo</v>
      </c>
      <c r="V66" s="15">
        <f t="shared" si="4"/>
        <v>0</v>
      </c>
      <c r="W66" s="11">
        <f t="shared" si="5"/>
        <v>0</v>
      </c>
      <c r="X66" s="11">
        <f>W66*CoefCirc</f>
        <v>0</v>
      </c>
      <c r="Y66" s="7"/>
      <c r="Z66" s="11">
        <f t="shared" si="6"/>
        <v>0.000066</v>
      </c>
      <c r="AA66" s="7" t="str">
        <f t="shared" si="7"/>
        <v>Insumos de montaje (manuales)|Puesto de trabajo|34,332055</v>
      </c>
    </row>
    <row r="67" ht="15.75" customHeight="1">
      <c r="A67" s="7" t="str">
        <f>'Política de stock'!A67</f>
        <v>P63</v>
      </c>
      <c r="B67" s="7" t="str">
        <f>'Política de stock'!B67</f>
        <v>MP-50/M30</v>
      </c>
      <c r="C67" s="7" t="str">
        <f>'Política de stock'!C67</f>
        <v>Junta tórica del cuello M30</v>
      </c>
      <c r="D67" s="7" t="str">
        <f>'Política de stock'!D67</f>
        <v>u</v>
      </c>
      <c r="E67" s="7" t="str">
        <f>'Política de stock'!E67</f>
        <v>Argensold</v>
      </c>
      <c r="F67" s="7" t="str">
        <f>'Política de stock'!V67</f>
        <v>Insumos de montaje (manuales)</v>
      </c>
      <c r="G67" s="11">
        <f>'Política de stock'!G67</f>
        <v>179.8728921</v>
      </c>
      <c r="H67" s="11">
        <f>'Política de stock'!N67</f>
        <v>561.0759292</v>
      </c>
      <c r="I67" s="11">
        <f>'Política de stock'!U67</f>
        <v>5561.075929</v>
      </c>
      <c r="J67" s="13">
        <f t="shared" si="1"/>
        <v>30.91669826</v>
      </c>
      <c r="K67" s="14">
        <f>'Política de stock'!K67</f>
        <v>10</v>
      </c>
      <c r="L67" s="7" t="str">
        <f>IF(K67&gt;=UmbLT,"Alto","Bajo")</f>
        <v>Alto</v>
      </c>
      <c r="M67" s="16">
        <f>IF('Política de stock'!F67&gt;0,COUNTIFS('Política de stock'!$D$5:$D$119,D67,'Política de stock'!$F$5:$F$119,"&lt;"&amp;'Política de stock'!F67)/COUNTIF('Política de stock'!$D$5:$D$119,D67),0)</f>
        <v>0.734939759</v>
      </c>
      <c r="N67" s="7" t="str">
        <f>IF(M67&gt;=UmbVol,"Alto","Bajo")</f>
        <v>Alto</v>
      </c>
      <c r="O67" s="7" t="str">
        <f t="shared" si="2"/>
        <v>Alta</v>
      </c>
      <c r="P67" s="11">
        <f>'Política de stock'!X67</f>
        <v>0.2780537965</v>
      </c>
      <c r="Q67" s="5">
        <v>0.6</v>
      </c>
      <c r="R67" s="5">
        <v>5.0</v>
      </c>
      <c r="S67" s="17">
        <f t="shared" si="3"/>
        <v>0.03336645558</v>
      </c>
      <c r="T67" s="5"/>
      <c r="U67" s="7" t="str">
        <f>IF(T67&lt;&gt;"",T67,IF(S67&lt;=UmbCajon,"Puesto de trabajo","Almacén"))</f>
        <v>Puesto de trabajo</v>
      </c>
      <c r="V67" s="15">
        <f t="shared" si="4"/>
        <v>0</v>
      </c>
      <c r="W67" s="11">
        <f t="shared" si="5"/>
        <v>0</v>
      </c>
      <c r="X67" s="11">
        <f>W67*CoefCirc</f>
        <v>0</v>
      </c>
      <c r="Y67" s="7"/>
      <c r="Z67" s="11">
        <f t="shared" si="6"/>
        <v>0.000067</v>
      </c>
      <c r="AA67" s="7" t="str">
        <f t="shared" si="7"/>
        <v>Insumos de montaje (manuales)|Puesto de trabajo|30,916698</v>
      </c>
    </row>
    <row r="68" ht="15.75" customHeight="1">
      <c r="A68" s="7" t="str">
        <f>'Política de stock'!A68</f>
        <v>P64</v>
      </c>
      <c r="B68" s="7" t="str">
        <f>'Política de stock'!B68</f>
        <v>MP-50/2½</v>
      </c>
      <c r="C68" s="7" t="str">
        <f>'Política de stock'!C68</f>
        <v>Junta tórica del cuello 2½"</v>
      </c>
      <c r="D68" s="7" t="str">
        <f>'Política de stock'!D68</f>
        <v>u</v>
      </c>
      <c r="E68" s="7" t="str">
        <f>'Política de stock'!E68</f>
        <v>Argensold</v>
      </c>
      <c r="F68" s="7" t="str">
        <f>'Política de stock'!V68</f>
        <v>Rack de insumos de montaje (carros)</v>
      </c>
      <c r="G68" s="11">
        <f>'Política de stock'!G68</f>
        <v>1.51154375</v>
      </c>
      <c r="H68" s="11">
        <f>'Política de stock'!N68</f>
        <v>1.2092125</v>
      </c>
      <c r="I68" s="11">
        <f>'Política de stock'!U68</f>
        <v>1001.209213</v>
      </c>
      <c r="J68" s="13">
        <f t="shared" si="1"/>
        <v>662.3752786</v>
      </c>
      <c r="K68" s="14">
        <f>'Política de stock'!K68</f>
        <v>10</v>
      </c>
      <c r="L68" s="7" t="str">
        <f>IF(K68&gt;=UmbLT,"Alto","Bajo")</f>
        <v>Alto</v>
      </c>
      <c r="M68" s="16">
        <f>IF('Política de stock'!F68&gt;0,COUNTIFS('Política de stock'!$D$5:$D$119,D68,'Política de stock'!$F$5:$F$119,"&lt;"&amp;'Política de stock'!F68)/COUNTIF('Política de stock'!$D$5:$D$119,D68),0)</f>
        <v>0.1807228916</v>
      </c>
      <c r="N68" s="7" t="str">
        <f>IF(M68&gt;=UmbVol,"Alto","Bajo")</f>
        <v>Bajo</v>
      </c>
      <c r="O68" s="7" t="str">
        <f t="shared" si="2"/>
        <v>Media</v>
      </c>
      <c r="P68" s="11">
        <f>'Política de stock'!X68</f>
        <v>0.05006046063</v>
      </c>
      <c r="Q68" s="5">
        <v>0.6</v>
      </c>
      <c r="R68" s="5">
        <v>5.0</v>
      </c>
      <c r="S68" s="17">
        <f t="shared" si="3"/>
        <v>0.006007255275</v>
      </c>
      <c r="T68" s="5"/>
      <c r="U68" s="7" t="str">
        <f>IF(T68&lt;&gt;"",T68,IF(S68&lt;=UmbCajon,"Puesto de trabajo","Almacén"))</f>
        <v>Puesto de trabajo</v>
      </c>
      <c r="V68" s="15">
        <f t="shared" si="4"/>
        <v>0</v>
      </c>
      <c r="W68" s="11">
        <f t="shared" si="5"/>
        <v>0</v>
      </c>
      <c r="X68" s="11">
        <f>W68*CoefCirc</f>
        <v>0</v>
      </c>
      <c r="Y68" s="7"/>
      <c r="Z68" s="11">
        <f t="shared" si="6"/>
        <v>0.000068</v>
      </c>
      <c r="AA68" s="7" t="str">
        <f t="shared" si="7"/>
        <v>Rack de insumos de montaje (carros)|Puesto de trabajo|662,375279</v>
      </c>
    </row>
    <row r="69" ht="15.75" customHeight="1">
      <c r="A69" s="7" t="str">
        <f>'Política de stock'!A69</f>
        <v>P65</v>
      </c>
      <c r="B69" s="7" t="str">
        <f>'Política de stock'!B69</f>
        <v>MP-50/OT</v>
      </c>
      <c r="C69" s="7" t="str">
        <f>'Política de stock'!C69</f>
        <v>Junta tórica del cuello (recargas, surtido por medida)</v>
      </c>
      <c r="D69" s="7" t="str">
        <f>'Política de stock'!D69</f>
        <v>u</v>
      </c>
      <c r="E69" s="7" t="str">
        <f>'Política de stock'!E69</f>
        <v>Matafuegos Iglesias</v>
      </c>
      <c r="F69" s="7" t="str">
        <f>'Política de stock'!V69</f>
        <v>Insumos de recargas</v>
      </c>
      <c r="G69" s="11">
        <f>'Política de stock'!G69</f>
        <v>506.5236975</v>
      </c>
      <c r="H69" s="11">
        <f>'Política de stock'!N69</f>
        <v>0</v>
      </c>
      <c r="I69" s="11">
        <f>'Política de stock'!U69</f>
        <v>11000</v>
      </c>
      <c r="J69" s="13">
        <f t="shared" si="1"/>
        <v>21.71665423</v>
      </c>
      <c r="K69" s="14">
        <f>'Política de stock'!K69</f>
        <v>10</v>
      </c>
      <c r="L69" s="7" t="str">
        <f>IF(K69&gt;=UmbLT,"Alto","Bajo")</f>
        <v>Alto</v>
      </c>
      <c r="M69" s="16">
        <f>IF('Política de stock'!F69&gt;0,COUNTIFS('Política de stock'!$D$5:$D$119,D69,'Política de stock'!$F$5:$F$119,"&lt;"&amp;'Política de stock'!F69)/COUNTIF('Política de stock'!$D$5:$D$119,D69),0)</f>
        <v>0.8795180723</v>
      </c>
      <c r="N69" s="7" t="str">
        <f>IF(M69&gt;=UmbVol,"Alto","Bajo")</f>
        <v>Alto</v>
      </c>
      <c r="O69" s="7" t="str">
        <f t="shared" si="2"/>
        <v>Alta</v>
      </c>
      <c r="P69" s="11">
        <f>'Política de stock'!X69</f>
        <v>0.55</v>
      </c>
      <c r="Q69" s="5">
        <v>0.6</v>
      </c>
      <c r="R69" s="5">
        <v>5.0</v>
      </c>
      <c r="S69" s="17">
        <f t="shared" si="3"/>
        <v>0.066</v>
      </c>
      <c r="T69" s="5"/>
      <c r="U69" s="7" t="str">
        <f>IF(T69&lt;&gt;"",T69,IF(S69&lt;=UmbCajon,"Puesto de trabajo","Almacén"))</f>
        <v>Puesto de trabajo</v>
      </c>
      <c r="V69" s="15">
        <f t="shared" si="4"/>
        <v>0</v>
      </c>
      <c r="W69" s="11">
        <f t="shared" si="5"/>
        <v>0</v>
      </c>
      <c r="X69" s="11">
        <f>W69*CoefCirc</f>
        <v>0</v>
      </c>
      <c r="Y69" s="7"/>
      <c r="Z69" s="11">
        <f t="shared" si="6"/>
        <v>0.000069</v>
      </c>
      <c r="AA69" s="7" t="str">
        <f t="shared" si="7"/>
        <v>Insumos de recargas|Puesto de trabajo|21,716654</v>
      </c>
    </row>
    <row r="70" ht="15.75" customHeight="1">
      <c r="A70" s="7" t="str">
        <f>'Política de stock'!A70</f>
        <v>P66</v>
      </c>
      <c r="B70" s="7" t="str">
        <f>'Política de stock'!B70</f>
        <v>MP-52/ABC2.5</v>
      </c>
      <c r="C70" s="7" t="str">
        <f>'Política de stock'!C70</f>
        <v>Soporte de pared ABC 2,5 kg</v>
      </c>
      <c r="D70" s="7" t="str">
        <f>'Política de stock'!D70</f>
        <v>u</v>
      </c>
      <c r="E70" s="7" t="str">
        <f>'Política de stock'!E70</f>
        <v>Maxiseguridad</v>
      </c>
      <c r="F70" s="7" t="str">
        <f>'Política de stock'!V70</f>
        <v>Insumos de montaje (manuales)</v>
      </c>
      <c r="G70" s="11">
        <f>'Política de stock'!G70</f>
        <v>30.93691</v>
      </c>
      <c r="H70" s="11">
        <f>'Política de stock'!N70</f>
        <v>148.49715</v>
      </c>
      <c r="I70" s="11">
        <f>'Política de stock'!U70</f>
        <v>1048.49715</v>
      </c>
      <c r="J70" s="13">
        <f t="shared" si="1"/>
        <v>33.8914633</v>
      </c>
      <c r="K70" s="14">
        <f>'Política de stock'!K70</f>
        <v>15</v>
      </c>
      <c r="L70" s="7" t="str">
        <f>IF(K70&gt;=UmbLT,"Alto","Bajo")</f>
        <v>Alto</v>
      </c>
      <c r="M70" s="16">
        <f>IF('Política de stock'!F70&gt;0,COUNTIFS('Política de stock'!$D$5:$D$119,D70,'Política de stock'!$F$5:$F$119,"&lt;"&amp;'Política de stock'!F70)/COUNTIF('Política de stock'!$D$5:$D$119,D70),0)</f>
        <v>0.5542168675</v>
      </c>
      <c r="N70" s="7" t="str">
        <f>IF(M70&gt;=UmbVol,"Alto","Bajo")</f>
        <v>Alto</v>
      </c>
      <c r="O70" s="7" t="str">
        <f t="shared" si="2"/>
        <v>Alta</v>
      </c>
      <c r="P70" s="11">
        <f>'Política de stock'!X70</f>
        <v>0.34949905</v>
      </c>
      <c r="Q70" s="5">
        <f>HuellaPallet</f>
        <v>1.2</v>
      </c>
      <c r="R70" s="5">
        <f>NivPallet</f>
        <v>4</v>
      </c>
      <c r="S70" s="17">
        <f t="shared" si="3"/>
        <v>0.104849715</v>
      </c>
      <c r="T70" s="5"/>
      <c r="U70" s="7" t="str">
        <f>IF(T70&lt;&gt;"",T70,IF(S70&lt;=UmbCajon,"Puesto de trabajo","Almacén"))</f>
        <v>Almacén</v>
      </c>
      <c r="V70" s="15">
        <f t="shared" si="4"/>
        <v>1</v>
      </c>
      <c r="W70" s="11">
        <f t="shared" si="5"/>
        <v>1.2</v>
      </c>
      <c r="X70" s="11">
        <f>W70*CoefCirc</f>
        <v>1.8</v>
      </c>
      <c r="Y70" s="7"/>
      <c r="Z70" s="11">
        <f t="shared" si="6"/>
        <v>1.80007</v>
      </c>
      <c r="AA70" s="7" t="str">
        <f t="shared" si="7"/>
        <v>Insumos de montaje (manuales)|Almacén|33,891463</v>
      </c>
    </row>
    <row r="71" ht="15.75" customHeight="1">
      <c r="A71" s="7" t="str">
        <f>'Política de stock'!A71</f>
        <v>P67</v>
      </c>
      <c r="B71" s="7" t="str">
        <f>'Política de stock'!B71</f>
        <v>MP-52/ABC5</v>
      </c>
      <c r="C71" s="7" t="str">
        <f>'Política de stock'!C71</f>
        <v>Soporte de pared ABC 5 kg</v>
      </c>
      <c r="D71" s="7" t="str">
        <f>'Política de stock'!D71</f>
        <v>u</v>
      </c>
      <c r="E71" s="7" t="str">
        <f>'Política de stock'!E71</f>
        <v>Maxiseguridad</v>
      </c>
      <c r="F71" s="7" t="str">
        <f>'Política de stock'!V71</f>
        <v>Insumos de montaje (manuales)</v>
      </c>
      <c r="G71" s="11">
        <f>'Política de stock'!G71</f>
        <v>135.2068383</v>
      </c>
      <c r="H71" s="11">
        <f>'Política de stock'!N71</f>
        <v>648.9928</v>
      </c>
      <c r="I71" s="11">
        <f>'Política de stock'!U71</f>
        <v>4248.9928</v>
      </c>
      <c r="J71" s="13">
        <f t="shared" si="1"/>
        <v>31.42587204</v>
      </c>
      <c r="K71" s="14">
        <f>'Política de stock'!K71</f>
        <v>15</v>
      </c>
      <c r="L71" s="7" t="str">
        <f>IF(K71&gt;=UmbLT,"Alto","Bajo")</f>
        <v>Alto</v>
      </c>
      <c r="M71" s="16">
        <f>IF('Política de stock'!F71&gt;0,COUNTIFS('Política de stock'!$D$5:$D$119,D71,'Política de stock'!$F$5:$F$119,"&lt;"&amp;'Política de stock'!F71)/COUNTIF('Política de stock'!$D$5:$D$119,D71),0)</f>
        <v>0.6626506024</v>
      </c>
      <c r="N71" s="7" t="str">
        <f>IF(M71&gt;=UmbVol,"Alto","Bajo")</f>
        <v>Alto</v>
      </c>
      <c r="O71" s="7" t="str">
        <f t="shared" si="2"/>
        <v>Alta</v>
      </c>
      <c r="P71" s="11">
        <f>'Política de stock'!X71</f>
        <v>1.416330933</v>
      </c>
      <c r="Q71" s="5">
        <f>HuellaPallet</f>
        <v>1.2</v>
      </c>
      <c r="R71" s="5">
        <f>NivPallet</f>
        <v>4</v>
      </c>
      <c r="S71" s="17">
        <f t="shared" si="3"/>
        <v>0.42489928</v>
      </c>
      <c r="T71" s="5"/>
      <c r="U71" s="7" t="str">
        <f>IF(T71&lt;&gt;"",T71,IF(S71&lt;=UmbCajon,"Puesto de trabajo","Almacén"))</f>
        <v>Almacén</v>
      </c>
      <c r="V71" s="15">
        <f t="shared" si="4"/>
        <v>2</v>
      </c>
      <c r="W71" s="11">
        <f t="shared" si="5"/>
        <v>1.2</v>
      </c>
      <c r="X71" s="11">
        <f>W71*CoefCirc</f>
        <v>1.8</v>
      </c>
      <c r="Y71" s="7"/>
      <c r="Z71" s="11">
        <f t="shared" si="6"/>
        <v>1.800071</v>
      </c>
      <c r="AA71" s="7" t="str">
        <f t="shared" si="7"/>
        <v>Insumos de montaje (manuales)|Almacén|31,425872</v>
      </c>
    </row>
    <row r="72" ht="15.75" customHeight="1">
      <c r="A72" s="7" t="str">
        <f>'Política de stock'!A72</f>
        <v>P68</v>
      </c>
      <c r="B72" s="7" t="str">
        <f>'Política de stock'!B72</f>
        <v>MP-52/ABC10</v>
      </c>
      <c r="C72" s="7" t="str">
        <f>'Política de stock'!C72</f>
        <v>Soporte de pared ABC 10 kg</v>
      </c>
      <c r="D72" s="7" t="str">
        <f>'Política de stock'!D72</f>
        <v>u</v>
      </c>
      <c r="E72" s="7" t="str">
        <f>'Política de stock'!E72</f>
        <v>Maxiseguridad</v>
      </c>
      <c r="F72" s="7" t="str">
        <f>'Política de stock'!V72</f>
        <v>Insumos de montaje (manuales)</v>
      </c>
      <c r="G72" s="11">
        <f>'Política de stock'!G72</f>
        <v>7.680257917</v>
      </c>
      <c r="H72" s="11">
        <f>'Política de stock'!N72</f>
        <v>36.86523125</v>
      </c>
      <c r="I72" s="11">
        <f>'Política de stock'!U72</f>
        <v>336.8652313</v>
      </c>
      <c r="J72" s="13">
        <f t="shared" si="1"/>
        <v>43.86118733</v>
      </c>
      <c r="K72" s="14">
        <f>'Política de stock'!K72</f>
        <v>15</v>
      </c>
      <c r="L72" s="7" t="str">
        <f>IF(K72&gt;=UmbLT,"Alto","Bajo")</f>
        <v>Alto</v>
      </c>
      <c r="M72" s="16">
        <f>IF('Política de stock'!F72&gt;0,COUNTIFS('Política de stock'!$D$5:$D$119,D72,'Política de stock'!$F$5:$F$119,"&lt;"&amp;'Política de stock'!F72)/COUNTIF('Política de stock'!$D$5:$D$119,D72),0)</f>
        <v>0.3975903614</v>
      </c>
      <c r="N72" s="7" t="str">
        <f>IF(M72&gt;=UmbVol,"Alto","Bajo")</f>
        <v>Bajo</v>
      </c>
      <c r="O72" s="7" t="str">
        <f t="shared" si="2"/>
        <v>Media</v>
      </c>
      <c r="P72" s="11">
        <f>'Política de stock'!X72</f>
        <v>0.1122884104</v>
      </c>
      <c r="Q72" s="5">
        <f>HuellaPallet</f>
        <v>1.2</v>
      </c>
      <c r="R72" s="5">
        <f>NivPallet</f>
        <v>4</v>
      </c>
      <c r="S72" s="17">
        <f t="shared" si="3"/>
        <v>0.03368652313</v>
      </c>
      <c r="T72" s="5"/>
      <c r="U72" s="7" t="str">
        <f>IF(T72&lt;&gt;"",T72,IF(S72&lt;=UmbCajon,"Puesto de trabajo","Almacén"))</f>
        <v>Puesto de trabajo</v>
      </c>
      <c r="V72" s="15">
        <f t="shared" si="4"/>
        <v>0</v>
      </c>
      <c r="W72" s="11">
        <f t="shared" si="5"/>
        <v>0</v>
      </c>
      <c r="X72" s="11">
        <f>W72*CoefCirc</f>
        <v>0</v>
      </c>
      <c r="Y72" s="7"/>
      <c r="Z72" s="11">
        <f t="shared" si="6"/>
        <v>0.000072</v>
      </c>
      <c r="AA72" s="7" t="str">
        <f t="shared" si="7"/>
        <v>Insumos de montaje (manuales)|Puesto de trabajo|43,861187</v>
      </c>
    </row>
    <row r="73" ht="15.75" customHeight="1">
      <c r="A73" s="7" t="str">
        <f>'Política de stock'!A73</f>
        <v>P69</v>
      </c>
      <c r="B73" s="7" t="str">
        <f>'Política de stock'!B73</f>
        <v>MP-87</v>
      </c>
      <c r="C73" s="7" t="str">
        <f>'Política de stock'!C73</f>
        <v>Soporte vehicular (1 kg)</v>
      </c>
      <c r="D73" s="7" t="str">
        <f>'Política de stock'!D73</f>
        <v>u</v>
      </c>
      <c r="E73" s="7" t="str">
        <f>'Política de stock'!E73</f>
        <v>Maxiseguridad</v>
      </c>
      <c r="F73" s="7" t="str">
        <f>'Política de stock'!V73</f>
        <v>Insumos de montaje (manuales)</v>
      </c>
      <c r="G73" s="11">
        <f>'Política de stock'!G73</f>
        <v>133.6359963</v>
      </c>
      <c r="H73" s="11">
        <f>'Política de stock'!N73</f>
        <v>881.9975813</v>
      </c>
      <c r="I73" s="11">
        <f>'Política de stock'!U73</f>
        <v>4781.997581</v>
      </c>
      <c r="J73" s="13">
        <f t="shared" si="1"/>
        <v>35.78375374</v>
      </c>
      <c r="K73" s="14">
        <f>'Política de stock'!K73</f>
        <v>15</v>
      </c>
      <c r="L73" s="7" t="str">
        <f>IF(K73&gt;=UmbLT,"Alto","Bajo")</f>
        <v>Alto</v>
      </c>
      <c r="M73" s="16">
        <f>IF('Política de stock'!F73&gt;0,COUNTIFS('Política de stock'!$D$5:$D$119,D73,'Política de stock'!$F$5:$F$119,"&lt;"&amp;'Política de stock'!F73)/COUNTIF('Política de stock'!$D$5:$D$119,D73),0)</f>
        <v>0.6024096386</v>
      </c>
      <c r="N73" s="7" t="str">
        <f>IF(M73&gt;=UmbVol,"Alto","Bajo")</f>
        <v>Alto</v>
      </c>
      <c r="O73" s="7" t="str">
        <f t="shared" si="2"/>
        <v>Alta</v>
      </c>
      <c r="P73" s="11">
        <f>'Política de stock'!X73</f>
        <v>1.593999194</v>
      </c>
      <c r="Q73" s="5">
        <f>HuellaPallet</f>
        <v>1.2</v>
      </c>
      <c r="R73" s="5">
        <f>NivPallet</f>
        <v>4</v>
      </c>
      <c r="S73" s="17">
        <f t="shared" si="3"/>
        <v>0.4781997581</v>
      </c>
      <c r="T73" s="5"/>
      <c r="U73" s="7" t="str">
        <f>IF(T73&lt;&gt;"",T73,IF(S73&lt;=UmbCajon,"Puesto de trabajo","Almacén"))</f>
        <v>Almacén</v>
      </c>
      <c r="V73" s="15">
        <f t="shared" si="4"/>
        <v>2</v>
      </c>
      <c r="W73" s="11">
        <f t="shared" si="5"/>
        <v>1.2</v>
      </c>
      <c r="X73" s="11">
        <f>W73*CoefCirc</f>
        <v>1.8</v>
      </c>
      <c r="Y73" s="7"/>
      <c r="Z73" s="11">
        <f t="shared" si="6"/>
        <v>1.800073</v>
      </c>
      <c r="AA73" s="7" t="str">
        <f t="shared" si="7"/>
        <v>Insumos de montaje (manuales)|Almacén|35,783754</v>
      </c>
    </row>
    <row r="74" ht="15.75" customHeight="1">
      <c r="A74" s="7" t="str">
        <f>'Política de stock'!A74</f>
        <v>P70</v>
      </c>
      <c r="B74" s="7" t="str">
        <f>'Política de stock'!B74</f>
        <v>MP-86</v>
      </c>
      <c r="C74" s="7" t="str">
        <f>'Política de stock'!C74</f>
        <v>Tornillo y tarugo de fijación</v>
      </c>
      <c r="D74" s="7" t="str">
        <f>'Política de stock'!D74</f>
        <v>u</v>
      </c>
      <c r="E74" s="7" t="str">
        <f>'Política de stock'!E74</f>
        <v>Würth Argentina</v>
      </c>
      <c r="F74" s="7" t="str">
        <f>'Política de stock'!V74</f>
        <v>Insumos de montaje (manuales)</v>
      </c>
      <c r="G74" s="11">
        <f>'Política de stock'!G74</f>
        <v>347.6480129</v>
      </c>
      <c r="H74" s="11">
        <f>'Política de stock'!N74</f>
        <v>1112.473621</v>
      </c>
      <c r="I74" s="11">
        <f>'Política de stock'!U74</f>
        <v>11112.47362</v>
      </c>
      <c r="J74" s="13">
        <f t="shared" si="1"/>
        <v>31.96472641</v>
      </c>
      <c r="K74" s="14">
        <f>'Política de stock'!K74</f>
        <v>10</v>
      </c>
      <c r="L74" s="7" t="str">
        <f>IF(K74&gt;=UmbLT,"Alto","Bajo")</f>
        <v>Alto</v>
      </c>
      <c r="M74" s="16">
        <f>IF('Política de stock'!F74&gt;0,COUNTIFS('Política de stock'!$D$5:$D$119,D74,'Política de stock'!$F$5:$F$119,"&lt;"&amp;'Política de stock'!F74)/COUNTIF('Política de stock'!$D$5:$D$119,D74),0)</f>
        <v>0.843373494</v>
      </c>
      <c r="N74" s="7" t="str">
        <f>IF(M74&gt;=UmbVol,"Alto","Bajo")</f>
        <v>Alto</v>
      </c>
      <c r="O74" s="7" t="str">
        <f t="shared" si="2"/>
        <v>Alta</v>
      </c>
      <c r="P74" s="11">
        <f>'Política de stock'!X74</f>
        <v>0.555623681</v>
      </c>
      <c r="Q74" s="5">
        <v>0.6</v>
      </c>
      <c r="R74" s="5">
        <v>5.0</v>
      </c>
      <c r="S74" s="17">
        <f t="shared" si="3"/>
        <v>0.06667484173</v>
      </c>
      <c r="T74" s="5"/>
      <c r="U74" s="7" t="str">
        <f>IF(T74&lt;&gt;"",T74,IF(S74&lt;=UmbCajon,"Puesto de trabajo","Almacén"))</f>
        <v>Puesto de trabajo</v>
      </c>
      <c r="V74" s="15">
        <f t="shared" si="4"/>
        <v>0</v>
      </c>
      <c r="W74" s="11">
        <f t="shared" si="5"/>
        <v>0</v>
      </c>
      <c r="X74" s="11">
        <f>W74*CoefCirc</f>
        <v>0</v>
      </c>
      <c r="Y74" s="7"/>
      <c r="Z74" s="11">
        <f t="shared" si="6"/>
        <v>0.000074</v>
      </c>
      <c r="AA74" s="7" t="str">
        <f t="shared" si="7"/>
        <v>Insumos de montaje (manuales)|Puesto de trabajo|31,964726</v>
      </c>
    </row>
    <row r="75" ht="15.75" customHeight="1">
      <c r="A75" s="7" t="str">
        <f>'Política de stock'!A75</f>
        <v>P71</v>
      </c>
      <c r="B75" s="7" t="str">
        <f>'Política de stock'!B75</f>
        <v>MP-55</v>
      </c>
      <c r="C75" s="7" t="str">
        <f>'Política de stock'!C75</f>
        <v>Conjunto de seguridad de CO₂ (recargas)</v>
      </c>
      <c r="D75" s="7" t="str">
        <f>'Política de stock'!D75</f>
        <v>u</v>
      </c>
      <c r="E75" s="7" t="str">
        <f>'Política de stock'!E75</f>
        <v>Georgia</v>
      </c>
      <c r="F75" s="7" t="str">
        <f>'Política de stock'!V75</f>
        <v>Insumos de recargas</v>
      </c>
      <c r="G75" s="11">
        <f>'Política de stock'!G75</f>
        <v>15.39614958</v>
      </c>
      <c r="H75" s="11">
        <f>'Política de stock'!N75</f>
        <v>0.000006250000013</v>
      </c>
      <c r="I75" s="11">
        <f>'Política de stock'!U75</f>
        <v>1000.000006</v>
      </c>
      <c r="J75" s="13">
        <f t="shared" si="1"/>
        <v>64.95130492</v>
      </c>
      <c r="K75" s="14">
        <f>'Política de stock'!K75</f>
        <v>15</v>
      </c>
      <c r="L75" s="7" t="str">
        <f>IF(K75&gt;=UmbLT,"Alto","Bajo")</f>
        <v>Alto</v>
      </c>
      <c r="M75" s="16">
        <f>IF('Política de stock'!F75&gt;0,COUNTIFS('Política de stock'!$D$5:$D$119,D75,'Política de stock'!$F$5:$F$119,"&lt;"&amp;'Política de stock'!F75)/COUNTIF('Política de stock'!$D$5:$D$119,D75),0)</f>
        <v>0.4939759036</v>
      </c>
      <c r="N75" s="7" t="str">
        <f>IF(M75&gt;=UmbVol,"Alto","Bajo")</f>
        <v>Bajo</v>
      </c>
      <c r="O75" s="7" t="str">
        <f t="shared" si="2"/>
        <v>Media</v>
      </c>
      <c r="P75" s="11">
        <f>'Política de stock'!X75</f>
        <v>0.5000000031</v>
      </c>
      <c r="Q75" s="5">
        <v>0.6</v>
      </c>
      <c r="R75" s="5">
        <v>5.0</v>
      </c>
      <c r="S75" s="17">
        <f t="shared" si="3"/>
        <v>0.06000000038</v>
      </c>
      <c r="T75" s="5"/>
      <c r="U75" s="7" t="str">
        <f>IF(T75&lt;&gt;"",T75,IF(S75&lt;=UmbCajon,"Puesto de trabajo","Almacén"))</f>
        <v>Puesto de trabajo</v>
      </c>
      <c r="V75" s="15">
        <f t="shared" si="4"/>
        <v>0</v>
      </c>
      <c r="W75" s="11">
        <f t="shared" si="5"/>
        <v>0</v>
      </c>
      <c r="X75" s="11">
        <f>W75*CoefCirc</f>
        <v>0</v>
      </c>
      <c r="Y75" s="7"/>
      <c r="Z75" s="11">
        <f t="shared" si="6"/>
        <v>0.000075</v>
      </c>
      <c r="AA75" s="7" t="str">
        <f t="shared" si="7"/>
        <v>Insumos de recargas|Puesto de trabajo|64,951305</v>
      </c>
    </row>
    <row r="76" ht="15.75" customHeight="1">
      <c r="A76" s="7" t="str">
        <f>'Política de stock'!A76</f>
        <v>P72</v>
      </c>
      <c r="B76" s="7" t="str">
        <f>'Política de stock'!B76</f>
        <v>MP-56/ABC1</v>
      </c>
      <c r="C76" s="7" t="str">
        <f>'Política de stock'!C76</f>
        <v>Etiqueta de características ABC 1 kg</v>
      </c>
      <c r="D76" s="7" t="str">
        <f>'Política de stock'!D76</f>
        <v>u</v>
      </c>
      <c r="E76" s="7" t="str">
        <f>'Política de stock'!E76</f>
        <v>Astuprint</v>
      </c>
      <c r="F76" s="7" t="str">
        <f>'Política de stock'!V76</f>
        <v>Identificación</v>
      </c>
      <c r="G76" s="11">
        <f>'Política de stock'!G76</f>
        <v>133.6359963</v>
      </c>
      <c r="H76" s="11">
        <f>'Política de stock'!N76</f>
        <v>587.9983875</v>
      </c>
      <c r="I76" s="11">
        <f>'Política de stock'!U76</f>
        <v>4587.998388</v>
      </c>
      <c r="J76" s="13">
        <f t="shared" si="1"/>
        <v>34.33205511</v>
      </c>
      <c r="K76" s="14">
        <f>'Política de stock'!K76</f>
        <v>10</v>
      </c>
      <c r="L76" s="7" t="str">
        <f>IF(K76&gt;=UmbLT,"Alto","Bajo")</f>
        <v>Alto</v>
      </c>
      <c r="M76" s="16">
        <f>IF('Política de stock'!F76&gt;0,COUNTIFS('Política de stock'!$D$5:$D$119,D76,'Política de stock'!$F$5:$F$119,"&lt;"&amp;'Política de stock'!F76)/COUNTIF('Política de stock'!$D$5:$D$119,D76),0)</f>
        <v>0.6024096386</v>
      </c>
      <c r="N76" s="7" t="str">
        <f>IF(M76&gt;=UmbVol,"Alto","Bajo")</f>
        <v>Alto</v>
      </c>
      <c r="O76" s="7" t="str">
        <f t="shared" si="2"/>
        <v>Alta</v>
      </c>
      <c r="P76" s="11">
        <f>'Política de stock'!X76</f>
        <v>0.2293999194</v>
      </c>
      <c r="Q76" s="5">
        <v>0.6</v>
      </c>
      <c r="R76" s="5">
        <v>5.0</v>
      </c>
      <c r="S76" s="17">
        <f t="shared" si="3"/>
        <v>0.02752799033</v>
      </c>
      <c r="T76" s="5"/>
      <c r="U76" s="7" t="str">
        <f>IF(T76&lt;&gt;"",T76,IF(S76&lt;=UmbCajon,"Puesto de trabajo","Almacén"))</f>
        <v>Puesto de trabajo</v>
      </c>
      <c r="V76" s="15">
        <f t="shared" si="4"/>
        <v>0</v>
      </c>
      <c r="W76" s="11">
        <f t="shared" si="5"/>
        <v>0</v>
      </c>
      <c r="X76" s="11">
        <f>W76*CoefCirc</f>
        <v>0</v>
      </c>
      <c r="Y76" s="7"/>
      <c r="Z76" s="11">
        <f t="shared" si="6"/>
        <v>0.000076</v>
      </c>
      <c r="AA76" s="7" t="str">
        <f t="shared" si="7"/>
        <v>Identificación|Puesto de trabajo|34,332055</v>
      </c>
    </row>
    <row r="77" ht="15.75" customHeight="1">
      <c r="A77" s="7" t="str">
        <f>'Política de stock'!A77</f>
        <v>P73</v>
      </c>
      <c r="B77" s="7" t="str">
        <f>'Política de stock'!B77</f>
        <v>MP-56/ABC2.5</v>
      </c>
      <c r="C77" s="7" t="str">
        <f>'Política de stock'!C77</f>
        <v>Etiqueta de características ABC 2,5 kg</v>
      </c>
      <c r="D77" s="7" t="str">
        <f>'Política de stock'!D77</f>
        <v>u</v>
      </c>
      <c r="E77" s="7" t="str">
        <f>'Política de stock'!E77</f>
        <v>Astuprint</v>
      </c>
      <c r="F77" s="7" t="str">
        <f>'Política de stock'!V77</f>
        <v>Identificación</v>
      </c>
      <c r="G77" s="11">
        <f>'Política de stock'!G77</f>
        <v>30.93691</v>
      </c>
      <c r="H77" s="11">
        <f>'Política de stock'!N77</f>
        <v>98.9981</v>
      </c>
      <c r="I77" s="11">
        <f>'Política de stock'!U77</f>
        <v>1098.9981</v>
      </c>
      <c r="J77" s="13">
        <f t="shared" si="1"/>
        <v>35.52384837</v>
      </c>
      <c r="K77" s="14">
        <f>'Política de stock'!K77</f>
        <v>10</v>
      </c>
      <c r="L77" s="7" t="str">
        <f>IF(K77&gt;=UmbLT,"Alto","Bajo")</f>
        <v>Alto</v>
      </c>
      <c r="M77" s="16">
        <f>IF('Política de stock'!F77&gt;0,COUNTIFS('Política de stock'!$D$5:$D$119,D77,'Política de stock'!$F$5:$F$119,"&lt;"&amp;'Política de stock'!F77)/COUNTIF('Política de stock'!$D$5:$D$119,D77),0)</f>
        <v>0.5542168675</v>
      </c>
      <c r="N77" s="7" t="str">
        <f>IF(M77&gt;=UmbVol,"Alto","Bajo")</f>
        <v>Alto</v>
      </c>
      <c r="O77" s="7" t="str">
        <f t="shared" si="2"/>
        <v>Alta</v>
      </c>
      <c r="P77" s="11">
        <f>'Política de stock'!X77</f>
        <v>0.054949905</v>
      </c>
      <c r="Q77" s="5">
        <v>0.6</v>
      </c>
      <c r="R77" s="5">
        <v>5.0</v>
      </c>
      <c r="S77" s="17">
        <f t="shared" si="3"/>
        <v>0.0065939886</v>
      </c>
      <c r="T77" s="5"/>
      <c r="U77" s="7" t="str">
        <f>IF(T77&lt;&gt;"",T77,IF(S77&lt;=UmbCajon,"Puesto de trabajo","Almacén"))</f>
        <v>Puesto de trabajo</v>
      </c>
      <c r="V77" s="15">
        <f t="shared" si="4"/>
        <v>0</v>
      </c>
      <c r="W77" s="11">
        <f t="shared" si="5"/>
        <v>0</v>
      </c>
      <c r="X77" s="11">
        <f>W77*CoefCirc</f>
        <v>0</v>
      </c>
      <c r="Y77" s="7"/>
      <c r="Z77" s="11">
        <f t="shared" si="6"/>
        <v>0.000077</v>
      </c>
      <c r="AA77" s="7" t="str">
        <f t="shared" si="7"/>
        <v>Identificación|Puesto de trabajo|35,523848</v>
      </c>
    </row>
    <row r="78" ht="15.75" customHeight="1">
      <c r="A78" s="7" t="str">
        <f>'Política de stock'!A78</f>
        <v>P74</v>
      </c>
      <c r="B78" s="7" t="str">
        <f>'Política de stock'!B78</f>
        <v>MP-56/ABC5</v>
      </c>
      <c r="C78" s="7" t="str">
        <f>'Política de stock'!C78</f>
        <v>Etiqueta de características ABC 5 kg</v>
      </c>
      <c r="D78" s="7" t="str">
        <f>'Política de stock'!D78</f>
        <v>u</v>
      </c>
      <c r="E78" s="7" t="str">
        <f>'Política de stock'!E78</f>
        <v>Astuprint</v>
      </c>
      <c r="F78" s="7" t="str">
        <f>'Política de stock'!V78</f>
        <v>Identificación</v>
      </c>
      <c r="G78" s="11">
        <f>'Política de stock'!G78</f>
        <v>135.2068383</v>
      </c>
      <c r="H78" s="11">
        <f>'Política de stock'!N78</f>
        <v>432.6618667</v>
      </c>
      <c r="I78" s="11">
        <f>'Política de stock'!U78</f>
        <v>4432.661867</v>
      </c>
      <c r="J78" s="13">
        <f t="shared" si="1"/>
        <v>32.78430234</v>
      </c>
      <c r="K78" s="14">
        <f>'Política de stock'!K78</f>
        <v>10</v>
      </c>
      <c r="L78" s="7" t="str">
        <f>IF(K78&gt;=UmbLT,"Alto","Bajo")</f>
        <v>Alto</v>
      </c>
      <c r="M78" s="16">
        <f>IF('Política de stock'!F78&gt;0,COUNTIFS('Política de stock'!$D$5:$D$119,D78,'Política de stock'!$F$5:$F$119,"&lt;"&amp;'Política de stock'!F78)/COUNTIF('Política de stock'!$D$5:$D$119,D78),0)</f>
        <v>0.6626506024</v>
      </c>
      <c r="N78" s="7" t="str">
        <f>IF(M78&gt;=UmbVol,"Alto","Bajo")</f>
        <v>Alto</v>
      </c>
      <c r="O78" s="7" t="str">
        <f t="shared" si="2"/>
        <v>Alta</v>
      </c>
      <c r="P78" s="11">
        <f>'Política de stock'!X78</f>
        <v>0.2216330933</v>
      </c>
      <c r="Q78" s="5">
        <v>0.6</v>
      </c>
      <c r="R78" s="5">
        <v>5.0</v>
      </c>
      <c r="S78" s="17">
        <f t="shared" si="3"/>
        <v>0.0265959712</v>
      </c>
      <c r="T78" s="5"/>
      <c r="U78" s="7" t="str">
        <f>IF(T78&lt;&gt;"",T78,IF(S78&lt;=UmbCajon,"Puesto de trabajo","Almacén"))</f>
        <v>Puesto de trabajo</v>
      </c>
      <c r="V78" s="15">
        <f t="shared" si="4"/>
        <v>0</v>
      </c>
      <c r="W78" s="11">
        <f t="shared" si="5"/>
        <v>0</v>
      </c>
      <c r="X78" s="11">
        <f>W78*CoefCirc</f>
        <v>0</v>
      </c>
      <c r="Y78" s="7"/>
      <c r="Z78" s="11">
        <f t="shared" si="6"/>
        <v>0.000078</v>
      </c>
      <c r="AA78" s="7" t="str">
        <f t="shared" si="7"/>
        <v>Identificación|Puesto de trabajo|32,784302</v>
      </c>
    </row>
    <row r="79" ht="15.75" customHeight="1">
      <c r="A79" s="7" t="str">
        <f>'Política de stock'!A79</f>
        <v>P75</v>
      </c>
      <c r="B79" s="7" t="str">
        <f>'Política de stock'!B79</f>
        <v>MP-56/ABC10</v>
      </c>
      <c r="C79" s="7" t="str">
        <f>'Política de stock'!C79</f>
        <v>Etiqueta de características ABC 10 kg</v>
      </c>
      <c r="D79" s="7" t="str">
        <f>'Política de stock'!D79</f>
        <v>u</v>
      </c>
      <c r="E79" s="7" t="str">
        <f>'Política de stock'!E79</f>
        <v>Astuprint</v>
      </c>
      <c r="F79" s="7" t="str">
        <f>'Política de stock'!V79</f>
        <v>Identificación</v>
      </c>
      <c r="G79" s="11">
        <f>'Política de stock'!G79</f>
        <v>7.680257917</v>
      </c>
      <c r="H79" s="11">
        <f>'Política de stock'!N79</f>
        <v>24.57682083</v>
      </c>
      <c r="I79" s="11">
        <f>'Política de stock'!U79</f>
        <v>1024.576821</v>
      </c>
      <c r="J79" s="13">
        <f t="shared" si="1"/>
        <v>133.4039601</v>
      </c>
      <c r="K79" s="14">
        <f>'Política de stock'!K79</f>
        <v>10</v>
      </c>
      <c r="L79" s="7" t="str">
        <f>IF(K79&gt;=UmbLT,"Alto","Bajo")</f>
        <v>Alto</v>
      </c>
      <c r="M79" s="16">
        <f>IF('Política de stock'!F79&gt;0,COUNTIFS('Política de stock'!$D$5:$D$119,D79,'Política de stock'!$F$5:$F$119,"&lt;"&amp;'Política de stock'!F79)/COUNTIF('Política de stock'!$D$5:$D$119,D79),0)</f>
        <v>0.3975903614</v>
      </c>
      <c r="N79" s="7" t="str">
        <f>IF(M79&gt;=UmbVol,"Alto","Bajo")</f>
        <v>Bajo</v>
      </c>
      <c r="O79" s="7" t="str">
        <f t="shared" si="2"/>
        <v>Media</v>
      </c>
      <c r="P79" s="11">
        <f>'Política de stock'!X79</f>
        <v>0.05122884104</v>
      </c>
      <c r="Q79" s="5">
        <v>0.6</v>
      </c>
      <c r="R79" s="5">
        <v>5.0</v>
      </c>
      <c r="S79" s="17">
        <f t="shared" si="3"/>
        <v>0.006147460925</v>
      </c>
      <c r="T79" s="5"/>
      <c r="U79" s="7" t="str">
        <f>IF(T79&lt;&gt;"",T79,IF(S79&lt;=UmbCajon,"Puesto de trabajo","Almacén"))</f>
        <v>Puesto de trabajo</v>
      </c>
      <c r="V79" s="15">
        <f t="shared" si="4"/>
        <v>0</v>
      </c>
      <c r="W79" s="11">
        <f t="shared" si="5"/>
        <v>0</v>
      </c>
      <c r="X79" s="11">
        <f>W79*CoefCirc</f>
        <v>0</v>
      </c>
      <c r="Y79" s="7"/>
      <c r="Z79" s="11">
        <f t="shared" si="6"/>
        <v>0.000079</v>
      </c>
      <c r="AA79" s="7" t="str">
        <f t="shared" si="7"/>
        <v>Identificación|Puesto de trabajo|133,40396</v>
      </c>
    </row>
    <row r="80" ht="15.75" customHeight="1">
      <c r="A80" s="7" t="str">
        <f>'Política de stock'!A80</f>
        <v>P76</v>
      </c>
      <c r="B80" s="7" t="str">
        <f>'Política de stock'!B80</f>
        <v>MP-56/ABC25</v>
      </c>
      <c r="C80" s="7" t="str">
        <f>'Política de stock'!C80</f>
        <v>Etiqueta de características ABC 25 kg</v>
      </c>
      <c r="D80" s="7" t="str">
        <f>'Política de stock'!D80</f>
        <v>u</v>
      </c>
      <c r="E80" s="7" t="str">
        <f>'Política de stock'!E80</f>
        <v>Astuprint</v>
      </c>
      <c r="F80" s="7" t="str">
        <f>'Política de stock'!V80</f>
        <v>Identificación</v>
      </c>
      <c r="G80" s="11">
        <f>'Política de stock'!G80</f>
        <v>1.888627083</v>
      </c>
      <c r="H80" s="11">
        <f>'Política de stock'!N80</f>
        <v>1.510879167</v>
      </c>
      <c r="I80" s="11">
        <f>'Política de stock'!U80</f>
        <v>1001.510879</v>
      </c>
      <c r="J80" s="13">
        <f t="shared" si="1"/>
        <v>530.285141</v>
      </c>
      <c r="K80" s="14">
        <f>'Política de stock'!K80</f>
        <v>10</v>
      </c>
      <c r="L80" s="7" t="str">
        <f>IF(K80&gt;=UmbLT,"Alto","Bajo")</f>
        <v>Alto</v>
      </c>
      <c r="M80" s="16">
        <f>IF('Política de stock'!F80&gt;0,COUNTIFS('Política de stock'!$D$5:$D$119,D80,'Política de stock'!$F$5:$F$119,"&lt;"&amp;'Política de stock'!F80)/COUNTIF('Política de stock'!$D$5:$D$119,D80),0)</f>
        <v>0.2048192771</v>
      </c>
      <c r="N80" s="7" t="str">
        <f>IF(M80&gt;=UmbVol,"Alto","Bajo")</f>
        <v>Bajo</v>
      </c>
      <c r="O80" s="7" t="str">
        <f t="shared" si="2"/>
        <v>Media</v>
      </c>
      <c r="P80" s="11">
        <f>'Política de stock'!X80</f>
        <v>0.05007554396</v>
      </c>
      <c r="Q80" s="5">
        <v>0.6</v>
      </c>
      <c r="R80" s="5">
        <v>5.0</v>
      </c>
      <c r="S80" s="17">
        <f t="shared" si="3"/>
        <v>0.006009065275</v>
      </c>
      <c r="T80" s="5"/>
      <c r="U80" s="7" t="str">
        <f>IF(T80&lt;&gt;"",T80,IF(S80&lt;=UmbCajon,"Puesto de trabajo","Almacén"))</f>
        <v>Puesto de trabajo</v>
      </c>
      <c r="V80" s="15">
        <f t="shared" si="4"/>
        <v>0</v>
      </c>
      <c r="W80" s="11">
        <f t="shared" si="5"/>
        <v>0</v>
      </c>
      <c r="X80" s="11">
        <f>W80*CoefCirc</f>
        <v>0</v>
      </c>
      <c r="Y80" s="7"/>
      <c r="Z80" s="11">
        <f t="shared" si="6"/>
        <v>0.00008</v>
      </c>
      <c r="AA80" s="7" t="str">
        <f t="shared" si="7"/>
        <v>Identificación|Puesto de trabajo|530,285141</v>
      </c>
    </row>
    <row r="81" ht="15.75" customHeight="1">
      <c r="A81" s="7" t="str">
        <f>'Política de stock'!A81</f>
        <v>P77</v>
      </c>
      <c r="B81" s="7" t="str">
        <f>'Política de stock'!B81</f>
        <v>MP-56/ABC50</v>
      </c>
      <c r="C81" s="7" t="str">
        <f>'Política de stock'!C81</f>
        <v>Etiqueta de características ABC 50 kg</v>
      </c>
      <c r="D81" s="7" t="str">
        <f>'Política de stock'!D81</f>
        <v>u</v>
      </c>
      <c r="E81" s="7" t="str">
        <f>'Política de stock'!E81</f>
        <v>Astuprint</v>
      </c>
      <c r="F81" s="7" t="str">
        <f>'Política de stock'!V81</f>
        <v>Identificación</v>
      </c>
      <c r="G81" s="11">
        <f>'Política de stock'!G81</f>
        <v>4.160258333</v>
      </c>
      <c r="H81" s="11">
        <f>'Política de stock'!N81</f>
        <v>3.328216667</v>
      </c>
      <c r="I81" s="11">
        <f>'Política de stock'!U81</f>
        <v>1003.328217</v>
      </c>
      <c r="J81" s="13">
        <f t="shared" si="1"/>
        <v>241.169691</v>
      </c>
      <c r="K81" s="14">
        <f>'Política de stock'!K81</f>
        <v>10</v>
      </c>
      <c r="L81" s="7" t="str">
        <f>IF(K81&gt;=UmbLT,"Alto","Bajo")</f>
        <v>Alto</v>
      </c>
      <c r="M81" s="16">
        <f>IF('Política de stock'!F81&gt;0,COUNTIFS('Política de stock'!$D$5:$D$119,D81,'Política de stock'!$F$5:$F$119,"&lt;"&amp;'Política de stock'!F81)/COUNTIF('Política de stock'!$D$5:$D$119,D81),0)</f>
        <v>0.3012048193</v>
      </c>
      <c r="N81" s="7" t="str">
        <f>IF(M81&gt;=UmbVol,"Alto","Bajo")</f>
        <v>Bajo</v>
      </c>
      <c r="O81" s="7" t="str">
        <f t="shared" si="2"/>
        <v>Media</v>
      </c>
      <c r="P81" s="11">
        <f>'Política de stock'!X81</f>
        <v>0.05016641083</v>
      </c>
      <c r="Q81" s="5">
        <v>0.6</v>
      </c>
      <c r="R81" s="5">
        <v>5.0</v>
      </c>
      <c r="S81" s="17">
        <f t="shared" si="3"/>
        <v>0.0060199693</v>
      </c>
      <c r="T81" s="5"/>
      <c r="U81" s="7" t="str">
        <f>IF(T81&lt;&gt;"",T81,IF(S81&lt;=UmbCajon,"Puesto de trabajo","Almacén"))</f>
        <v>Puesto de trabajo</v>
      </c>
      <c r="V81" s="15">
        <f t="shared" si="4"/>
        <v>0</v>
      </c>
      <c r="W81" s="11">
        <f t="shared" si="5"/>
        <v>0</v>
      </c>
      <c r="X81" s="11">
        <f>W81*CoefCirc</f>
        <v>0</v>
      </c>
      <c r="Y81" s="7"/>
      <c r="Z81" s="11">
        <f t="shared" si="6"/>
        <v>0.000081</v>
      </c>
      <c r="AA81" s="7" t="str">
        <f t="shared" si="7"/>
        <v>Identificación|Puesto de trabajo|241,169691</v>
      </c>
    </row>
    <row r="82" ht="15.75" customHeight="1">
      <c r="A82" s="7" t="str">
        <f>'Política de stock'!A82</f>
        <v>P78</v>
      </c>
      <c r="B82" s="7" t="str">
        <f>'Política de stock'!B82</f>
        <v>MP-56/ABC70</v>
      </c>
      <c r="C82" s="7" t="str">
        <f>'Política de stock'!C82</f>
        <v>Etiqueta de características ABC 70 kg</v>
      </c>
      <c r="D82" s="7" t="str">
        <f>'Política de stock'!D82</f>
        <v>u</v>
      </c>
      <c r="E82" s="7" t="str">
        <f>'Política de stock'!E82</f>
        <v>Astuprint</v>
      </c>
      <c r="F82" s="7" t="str">
        <f>'Política de stock'!V82</f>
        <v>Identificación</v>
      </c>
      <c r="G82" s="11">
        <f>'Política de stock'!G82</f>
        <v>0.90654125</v>
      </c>
      <c r="H82" s="11">
        <f>'Política de stock'!N82</f>
        <v>0.7252375</v>
      </c>
      <c r="I82" s="11">
        <f>'Política de stock'!U82</f>
        <v>1000.725238</v>
      </c>
      <c r="J82" s="13">
        <f t="shared" si="1"/>
        <v>1103.893769</v>
      </c>
      <c r="K82" s="14">
        <f>'Política de stock'!K82</f>
        <v>10</v>
      </c>
      <c r="L82" s="7" t="str">
        <f>IF(K82&gt;=UmbLT,"Alto","Bajo")</f>
        <v>Alto</v>
      </c>
      <c r="M82" s="16">
        <f>IF('Política de stock'!F82&gt;0,COUNTIFS('Política de stock'!$D$5:$D$119,D82,'Política de stock'!$F$5:$F$119,"&lt;"&amp;'Política de stock'!F82)/COUNTIF('Política de stock'!$D$5:$D$119,D82),0)</f>
        <v>0.1204819277</v>
      </c>
      <c r="N82" s="7" t="str">
        <f>IF(M82&gt;=UmbVol,"Alto","Bajo")</f>
        <v>Bajo</v>
      </c>
      <c r="O82" s="7" t="str">
        <f t="shared" si="2"/>
        <v>Media</v>
      </c>
      <c r="P82" s="11">
        <f>'Política de stock'!X82</f>
        <v>0.05003626188</v>
      </c>
      <c r="Q82" s="5">
        <v>0.6</v>
      </c>
      <c r="R82" s="5">
        <v>5.0</v>
      </c>
      <c r="S82" s="17">
        <f t="shared" si="3"/>
        <v>0.006004351425</v>
      </c>
      <c r="T82" s="5"/>
      <c r="U82" s="7" t="str">
        <f>IF(T82&lt;&gt;"",T82,IF(S82&lt;=UmbCajon,"Puesto de trabajo","Almacén"))</f>
        <v>Puesto de trabajo</v>
      </c>
      <c r="V82" s="15">
        <f t="shared" si="4"/>
        <v>0</v>
      </c>
      <c r="W82" s="11">
        <f t="shared" si="5"/>
        <v>0</v>
      </c>
      <c r="X82" s="11">
        <f>W82*CoefCirc</f>
        <v>0</v>
      </c>
      <c r="Y82" s="7"/>
      <c r="Z82" s="11">
        <f t="shared" si="6"/>
        <v>0.000082</v>
      </c>
      <c r="AA82" s="7" t="str">
        <f t="shared" si="7"/>
        <v>Identificación|Puesto de trabajo|1103,893769</v>
      </c>
    </row>
    <row r="83" ht="15.75" customHeight="1">
      <c r="A83" s="7" t="str">
        <f>'Política de stock'!A83</f>
        <v>P79</v>
      </c>
      <c r="B83" s="7" t="str">
        <f>'Política de stock'!B83</f>
        <v>MP-56/ABC100</v>
      </c>
      <c r="C83" s="7" t="str">
        <f>'Política de stock'!C83</f>
        <v>Etiqueta de características ABC 100 kg</v>
      </c>
      <c r="D83" s="7" t="str">
        <f>'Política de stock'!D83</f>
        <v>u</v>
      </c>
      <c r="E83" s="7" t="str">
        <f>'Política de stock'!E83</f>
        <v>Astuprint</v>
      </c>
      <c r="F83" s="7" t="str">
        <f>'Política de stock'!V83</f>
        <v>Identificación</v>
      </c>
      <c r="G83" s="11">
        <f>'Política de stock'!G83</f>
        <v>0.6050025</v>
      </c>
      <c r="H83" s="11">
        <f>'Política de stock'!N83</f>
        <v>0.484025</v>
      </c>
      <c r="I83" s="11">
        <f>'Política de stock'!U83</f>
        <v>1000.484025</v>
      </c>
      <c r="J83" s="13">
        <f t="shared" si="1"/>
        <v>1653.68577</v>
      </c>
      <c r="K83" s="14">
        <f>'Política de stock'!K83</f>
        <v>10</v>
      </c>
      <c r="L83" s="7" t="str">
        <f>IF(K83&gt;=UmbLT,"Alto","Bajo")</f>
        <v>Alto</v>
      </c>
      <c r="M83" s="16">
        <f>IF('Política de stock'!F83&gt;0,COUNTIFS('Política de stock'!$D$5:$D$119,D83,'Política de stock'!$F$5:$F$119,"&lt;"&amp;'Política de stock'!F83)/COUNTIF('Política de stock'!$D$5:$D$119,D83),0)</f>
        <v>0.0843373494</v>
      </c>
      <c r="N83" s="7" t="str">
        <f>IF(M83&gt;=UmbVol,"Alto","Bajo")</f>
        <v>Bajo</v>
      </c>
      <c r="O83" s="7" t="str">
        <f t="shared" si="2"/>
        <v>Media</v>
      </c>
      <c r="P83" s="11">
        <f>'Política de stock'!X83</f>
        <v>0.05002420125</v>
      </c>
      <c r="Q83" s="5">
        <v>0.6</v>
      </c>
      <c r="R83" s="5">
        <v>5.0</v>
      </c>
      <c r="S83" s="17">
        <f t="shared" si="3"/>
        <v>0.00600290415</v>
      </c>
      <c r="T83" s="5"/>
      <c r="U83" s="7" t="str">
        <f>IF(T83&lt;&gt;"",T83,IF(S83&lt;=UmbCajon,"Puesto de trabajo","Almacén"))</f>
        <v>Puesto de trabajo</v>
      </c>
      <c r="V83" s="15">
        <f t="shared" si="4"/>
        <v>0</v>
      </c>
      <c r="W83" s="11">
        <f t="shared" si="5"/>
        <v>0</v>
      </c>
      <c r="X83" s="11">
        <f>W83*CoefCirc</f>
        <v>0</v>
      </c>
      <c r="Y83" s="7"/>
      <c r="Z83" s="11">
        <f t="shared" si="6"/>
        <v>0.000083</v>
      </c>
      <c r="AA83" s="7" t="str">
        <f t="shared" si="7"/>
        <v>Identificación|Puesto de trabajo|1653,68577</v>
      </c>
    </row>
    <row r="84" ht="15.75" customHeight="1">
      <c r="A84" s="7" t="str">
        <f>'Política de stock'!A84</f>
        <v>P80</v>
      </c>
      <c r="B84" s="7" t="str">
        <f>'Política de stock'!B84</f>
        <v>MP-78</v>
      </c>
      <c r="C84" s="7" t="str">
        <f>'Política de stock'!C84</f>
        <v>Oblea de fabricación (PBA)</v>
      </c>
      <c r="D84" s="7" t="str">
        <f>'Política de stock'!D84</f>
        <v>u</v>
      </c>
      <c r="E84" s="7" t="str">
        <f>'Política de stock'!E84</f>
        <v>DPS (PBA)</v>
      </c>
      <c r="F84" s="7" t="str">
        <f>'Política de stock'!V84</f>
        <v>Identificación</v>
      </c>
      <c r="G84" s="11">
        <f>'Política de stock'!G84</f>
        <v>240.6078283</v>
      </c>
      <c r="H84" s="11">
        <f>'Política de stock'!N84</f>
        <v>878.5691167</v>
      </c>
      <c r="I84" s="11">
        <f>'Política de stock'!U84</f>
        <v>7878.569117</v>
      </c>
      <c r="J84" s="13">
        <f t="shared" si="1"/>
        <v>32.74444215</v>
      </c>
      <c r="K84" s="14">
        <f>'Política de stock'!K84</f>
        <v>10</v>
      </c>
      <c r="L84" s="7" t="str">
        <f>IF(K84&gt;=UmbLT,"Alto","Bajo")</f>
        <v>Alto</v>
      </c>
      <c r="M84" s="16">
        <f>IF('Política de stock'!F84&gt;0,COUNTIFS('Política de stock'!$D$5:$D$119,D84,'Política de stock'!$F$5:$F$119,"&lt;"&amp;'Política de stock'!F84)/COUNTIF('Política de stock'!$D$5:$D$119,D84),0)</f>
        <v>0.7469879518</v>
      </c>
      <c r="N84" s="7" t="str">
        <f>IF(M84&gt;=UmbVol,"Alto","Bajo")</f>
        <v>Alto</v>
      </c>
      <c r="O84" s="7" t="str">
        <f t="shared" si="2"/>
        <v>Alta</v>
      </c>
      <c r="P84" s="11">
        <f>'Política de stock'!X84</f>
        <v>0.7878569117</v>
      </c>
      <c r="Q84" s="5">
        <v>0.6</v>
      </c>
      <c r="R84" s="5">
        <v>5.0</v>
      </c>
      <c r="S84" s="17">
        <f t="shared" si="3"/>
        <v>0.0945428294</v>
      </c>
      <c r="T84" s="5" t="s">
        <v>84</v>
      </c>
      <c r="U84" s="7" t="str">
        <f>IF(T84&lt;&gt;"",T84,IF(S84&lt;=UmbCajon,"Puesto de trabajo","Almacén"))</f>
        <v>Almacén</v>
      </c>
      <c r="V84" s="15">
        <f t="shared" si="4"/>
        <v>1</v>
      </c>
      <c r="W84" s="11">
        <f t="shared" si="5"/>
        <v>0.6</v>
      </c>
      <c r="X84" s="11">
        <f>W84*CoefCirc</f>
        <v>0.9</v>
      </c>
      <c r="Y84" s="7" t="s">
        <v>653</v>
      </c>
      <c r="Z84" s="11">
        <f t="shared" si="6"/>
        <v>0.900084</v>
      </c>
      <c r="AA84" s="7" t="str">
        <f t="shared" si="7"/>
        <v>Identificación|Almacén|32,744442</v>
      </c>
    </row>
    <row r="85" ht="15.75" customHeight="1">
      <c r="A85" s="7" t="str">
        <f>'Política de stock'!A85</f>
        <v>P81</v>
      </c>
      <c r="B85" s="7" t="str">
        <f>'Política de stock'!B85</f>
        <v>MP-79</v>
      </c>
      <c r="C85" s="7" t="str">
        <f>'Política de stock'!C85</f>
        <v>Estampilla IRAM de conformidad</v>
      </c>
      <c r="D85" s="7" t="str">
        <f>'Política de stock'!D85</f>
        <v>u</v>
      </c>
      <c r="E85" s="7" t="str">
        <f>'Política de stock'!E85</f>
        <v>IRAM</v>
      </c>
      <c r="F85" s="7" t="str">
        <f>'Política de stock'!V85</f>
        <v>Identificación</v>
      </c>
      <c r="G85" s="11">
        <f>'Política de stock'!G85</f>
        <v>315.0204321</v>
      </c>
      <c r="H85" s="11">
        <f>'Política de stock'!N85</f>
        <v>1150.283529</v>
      </c>
      <c r="I85" s="11">
        <f>'Política de stock'!U85</f>
        <v>10150.28353</v>
      </c>
      <c r="J85" s="13">
        <f t="shared" si="1"/>
        <v>32.22103234</v>
      </c>
      <c r="K85" s="14">
        <f>'Política de stock'!K85</f>
        <v>10</v>
      </c>
      <c r="L85" s="7" t="str">
        <f>IF(K85&gt;=UmbLT,"Alto","Bajo")</f>
        <v>Alto</v>
      </c>
      <c r="M85" s="16">
        <f>IF('Política de stock'!F85&gt;0,COUNTIFS('Política de stock'!$D$5:$D$119,D85,'Política de stock'!$F$5:$F$119,"&lt;"&amp;'Política de stock'!F85)/COUNTIF('Política de stock'!$D$5:$D$119,D85),0)</f>
        <v>0.7710843373</v>
      </c>
      <c r="N85" s="7" t="str">
        <f>IF(M85&gt;=UmbVol,"Alto","Bajo")</f>
        <v>Alto</v>
      </c>
      <c r="O85" s="7" t="str">
        <f t="shared" si="2"/>
        <v>Alta</v>
      </c>
      <c r="P85" s="11">
        <f>'Política de stock'!X85</f>
        <v>1.015028353</v>
      </c>
      <c r="Q85" s="5">
        <v>0.6</v>
      </c>
      <c r="R85" s="5">
        <v>5.0</v>
      </c>
      <c r="S85" s="17">
        <f t="shared" si="3"/>
        <v>0.1218034024</v>
      </c>
      <c r="T85" s="5" t="s">
        <v>84</v>
      </c>
      <c r="U85" s="7" t="str">
        <f>IF(T85&lt;&gt;"",T85,IF(S85&lt;=UmbCajon,"Puesto de trabajo","Almacén"))</f>
        <v>Almacén</v>
      </c>
      <c r="V85" s="15">
        <f t="shared" si="4"/>
        <v>2</v>
      </c>
      <c r="W85" s="11">
        <f t="shared" si="5"/>
        <v>0.6</v>
      </c>
      <c r="X85" s="11">
        <f>W85*CoefCirc</f>
        <v>0.9</v>
      </c>
      <c r="Y85" s="7" t="s">
        <v>653</v>
      </c>
      <c r="Z85" s="11">
        <f t="shared" si="6"/>
        <v>0.900085</v>
      </c>
      <c r="AA85" s="7" t="str">
        <f t="shared" si="7"/>
        <v>Identificación|Almacén|32,221032</v>
      </c>
    </row>
    <row r="86" ht="15.75" customHeight="1">
      <c r="A86" s="7" t="str">
        <f>'Política de stock'!A86</f>
        <v>P82</v>
      </c>
      <c r="B86" s="7" t="str">
        <f>'Política de stock'!B86</f>
        <v>MP-77</v>
      </c>
      <c r="C86" s="7" t="str">
        <f>'Política de stock'!C86</f>
        <v>Tarjeta de identificación AGC (CABA)</v>
      </c>
      <c r="D86" s="7" t="str">
        <f>'Política de stock'!D86</f>
        <v>u</v>
      </c>
      <c r="E86" s="7" t="str">
        <f>'Política de stock'!E86</f>
        <v>AGC (CABA)</v>
      </c>
      <c r="F86" s="7" t="str">
        <f>'Política de stock'!V86</f>
        <v>Identificación</v>
      </c>
      <c r="G86" s="11">
        <f>'Política de stock'!G86</f>
        <v>171.8911933</v>
      </c>
      <c r="H86" s="11">
        <f>'Política de stock'!N86</f>
        <v>188.1318167</v>
      </c>
      <c r="I86" s="11">
        <f>'Política de stock'!U86</f>
        <v>4188.131817</v>
      </c>
      <c r="J86" s="13">
        <f t="shared" si="1"/>
        <v>24.36501682</v>
      </c>
      <c r="K86" s="14">
        <f>'Política de stock'!K86</f>
        <v>10</v>
      </c>
      <c r="L86" s="7" t="str">
        <f>IF(K86&gt;=UmbLT,"Alto","Bajo")</f>
        <v>Alto</v>
      </c>
      <c r="M86" s="16">
        <f>IF('Política de stock'!F86&gt;0,COUNTIFS('Política de stock'!$D$5:$D$119,D86,'Política de stock'!$F$5:$F$119,"&lt;"&amp;'Política de stock'!F86)/COUNTIF('Política de stock'!$D$5:$D$119,D86),0)</f>
        <v>0.6987951807</v>
      </c>
      <c r="N86" s="7" t="str">
        <f>IF(M86&gt;=UmbVol,"Alto","Bajo")</f>
        <v>Alto</v>
      </c>
      <c r="O86" s="7" t="str">
        <f t="shared" si="2"/>
        <v>Alta</v>
      </c>
      <c r="P86" s="11">
        <f>'Política de stock'!X86</f>
        <v>0.4188131817</v>
      </c>
      <c r="Q86" s="5">
        <v>0.6</v>
      </c>
      <c r="R86" s="5">
        <v>5.0</v>
      </c>
      <c r="S86" s="17">
        <f t="shared" si="3"/>
        <v>0.0502575818</v>
      </c>
      <c r="T86" s="5" t="s">
        <v>84</v>
      </c>
      <c r="U86" s="7" t="str">
        <f>IF(T86&lt;&gt;"",T86,IF(S86&lt;=UmbCajon,"Puesto de trabajo","Almacén"))</f>
        <v>Almacén</v>
      </c>
      <c r="V86" s="15">
        <f t="shared" si="4"/>
        <v>1</v>
      </c>
      <c r="W86" s="11">
        <f t="shared" si="5"/>
        <v>0.6</v>
      </c>
      <c r="X86" s="11">
        <f>W86*CoefCirc</f>
        <v>0.9</v>
      </c>
      <c r="Y86" s="7" t="s">
        <v>653</v>
      </c>
      <c r="Z86" s="11">
        <f t="shared" si="6"/>
        <v>0.900086</v>
      </c>
      <c r="AA86" s="7" t="str">
        <f t="shared" si="7"/>
        <v>Identificación|Almacén|24,365017</v>
      </c>
    </row>
    <row r="87" ht="15.75" customHeight="1">
      <c r="A87" s="7" t="str">
        <f>'Política de stock'!A87</f>
        <v>P83</v>
      </c>
      <c r="B87" s="7" t="str">
        <f>'Política de stock'!B87</f>
        <v>MP-80</v>
      </c>
      <c r="C87" s="7" t="str">
        <f>'Política de stock'!C87</f>
        <v>Etiqueta de n° de serie GS1</v>
      </c>
      <c r="D87" s="7" t="str">
        <f>'Política de stock'!D87</f>
        <v>u</v>
      </c>
      <c r="E87" s="7" t="str">
        <f>'Política de stock'!E87</f>
        <v>Astuprint</v>
      </c>
      <c r="F87" s="7" t="str">
        <f>'Política de stock'!V87</f>
        <v>Identificación</v>
      </c>
      <c r="G87" s="11">
        <f>'Política de stock'!G87</f>
        <v>315.0204321</v>
      </c>
      <c r="H87" s="11">
        <f>'Política de stock'!N87</f>
        <v>1150.283529</v>
      </c>
      <c r="I87" s="11">
        <f>'Política de stock'!U87</f>
        <v>10150.28353</v>
      </c>
      <c r="J87" s="13">
        <f t="shared" si="1"/>
        <v>32.22103234</v>
      </c>
      <c r="K87" s="14">
        <f>'Política de stock'!K87</f>
        <v>10</v>
      </c>
      <c r="L87" s="7" t="str">
        <f>IF(K87&gt;=UmbLT,"Alto","Bajo")</f>
        <v>Alto</v>
      </c>
      <c r="M87" s="16">
        <f>IF('Política de stock'!F87&gt;0,COUNTIFS('Política de stock'!$D$5:$D$119,D87,'Política de stock'!$F$5:$F$119,"&lt;"&amp;'Política de stock'!F87)/COUNTIF('Política de stock'!$D$5:$D$119,D87),0)</f>
        <v>0.7710843373</v>
      </c>
      <c r="N87" s="7" t="str">
        <f>IF(M87&gt;=UmbVol,"Alto","Bajo")</f>
        <v>Alto</v>
      </c>
      <c r="O87" s="7" t="str">
        <f t="shared" si="2"/>
        <v>Alta</v>
      </c>
      <c r="P87" s="11">
        <f>'Política de stock'!X87</f>
        <v>0.5075141765</v>
      </c>
      <c r="Q87" s="5">
        <v>0.6</v>
      </c>
      <c r="R87" s="5">
        <v>5.0</v>
      </c>
      <c r="S87" s="17">
        <f t="shared" si="3"/>
        <v>0.06090170118</v>
      </c>
      <c r="T87" s="5"/>
      <c r="U87" s="7" t="str">
        <f>IF(T87&lt;&gt;"",T87,IF(S87&lt;=UmbCajon,"Puesto de trabajo","Almacén"))</f>
        <v>Puesto de trabajo</v>
      </c>
      <c r="V87" s="15">
        <f t="shared" si="4"/>
        <v>0</v>
      </c>
      <c r="W87" s="11">
        <f t="shared" si="5"/>
        <v>0</v>
      </c>
      <c r="X87" s="11">
        <f>W87*CoefCirc</f>
        <v>0</v>
      </c>
      <c r="Y87" s="7"/>
      <c r="Z87" s="11">
        <f t="shared" si="6"/>
        <v>0.000087</v>
      </c>
      <c r="AA87" s="7" t="str">
        <f t="shared" si="7"/>
        <v>Identificación|Puesto de trabajo|32,221032</v>
      </c>
    </row>
    <row r="88" ht="15.75" customHeight="1">
      <c r="A88" s="7" t="str">
        <f>'Política de stock'!A88</f>
        <v>P84</v>
      </c>
      <c r="B88" s="7" t="str">
        <f>'Política de stock'!B88</f>
        <v>MP-81</v>
      </c>
      <c r="C88" s="7" t="str">
        <f>'Política de stock'!C88</f>
        <v>Faja de garantía válvula-cuello</v>
      </c>
      <c r="D88" s="7" t="str">
        <f>'Política de stock'!D88</f>
        <v>u</v>
      </c>
      <c r="E88" s="7" t="str">
        <f>'Política de stock'!E88</f>
        <v>Astuprint</v>
      </c>
      <c r="F88" s="7" t="str">
        <f>'Política de stock'!V88</f>
        <v>Identificación</v>
      </c>
      <c r="G88" s="11">
        <f>'Política de stock'!G88</f>
        <v>315.0204321</v>
      </c>
      <c r="H88" s="11">
        <f>'Política de stock'!N88</f>
        <v>1150.283529</v>
      </c>
      <c r="I88" s="11">
        <f>'Política de stock'!U88</f>
        <v>10150.28353</v>
      </c>
      <c r="J88" s="13">
        <f t="shared" si="1"/>
        <v>32.22103234</v>
      </c>
      <c r="K88" s="14">
        <f>'Política de stock'!K88</f>
        <v>10</v>
      </c>
      <c r="L88" s="7" t="str">
        <f>IF(K88&gt;=UmbLT,"Alto","Bajo")</f>
        <v>Alto</v>
      </c>
      <c r="M88" s="16">
        <f>IF('Política de stock'!F88&gt;0,COUNTIFS('Política de stock'!$D$5:$D$119,D88,'Política de stock'!$F$5:$F$119,"&lt;"&amp;'Política de stock'!F88)/COUNTIF('Política de stock'!$D$5:$D$119,D88),0)</f>
        <v>0.7710843373</v>
      </c>
      <c r="N88" s="7" t="str">
        <f>IF(M88&gt;=UmbVol,"Alto","Bajo")</f>
        <v>Alto</v>
      </c>
      <c r="O88" s="7" t="str">
        <f t="shared" si="2"/>
        <v>Alta</v>
      </c>
      <c r="P88" s="11">
        <f>'Política de stock'!X88</f>
        <v>0.5075141765</v>
      </c>
      <c r="Q88" s="5">
        <v>0.6</v>
      </c>
      <c r="R88" s="5">
        <v>5.0</v>
      </c>
      <c r="S88" s="17">
        <f t="shared" si="3"/>
        <v>0.06090170118</v>
      </c>
      <c r="T88" s="5"/>
      <c r="U88" s="7" t="str">
        <f>IF(T88&lt;&gt;"",T88,IF(S88&lt;=UmbCajon,"Puesto de trabajo","Almacén"))</f>
        <v>Puesto de trabajo</v>
      </c>
      <c r="V88" s="15">
        <f t="shared" si="4"/>
        <v>0</v>
      </c>
      <c r="W88" s="11">
        <f t="shared" si="5"/>
        <v>0</v>
      </c>
      <c r="X88" s="11">
        <f>W88*CoefCirc</f>
        <v>0</v>
      </c>
      <c r="Y88" s="7"/>
      <c r="Z88" s="11">
        <f t="shared" si="6"/>
        <v>0.000088</v>
      </c>
      <c r="AA88" s="7" t="str">
        <f t="shared" si="7"/>
        <v>Identificación|Puesto de trabajo|32,221032</v>
      </c>
    </row>
    <row r="89" ht="15.75" customHeight="1">
      <c r="A89" s="7" t="str">
        <f>'Política de stock'!A89</f>
        <v>P85</v>
      </c>
      <c r="B89" s="7" t="str">
        <f>'Política de stock'!B89</f>
        <v>MP-51</v>
      </c>
      <c r="C89" s="7" t="str">
        <f>'Política de stock'!C89</f>
        <v>Precinto de fábrica</v>
      </c>
      <c r="D89" s="7" t="str">
        <f>'Política de stock'!D89</f>
        <v>u</v>
      </c>
      <c r="E89" s="7" t="str">
        <f>'Política de stock'!E89</f>
        <v>SonFuertes</v>
      </c>
      <c r="F89" s="7" t="str">
        <f>'Política de stock'!V89</f>
        <v>Identificación</v>
      </c>
      <c r="G89" s="11">
        <f>'Política de stock'!G89</f>
        <v>315.0204321</v>
      </c>
      <c r="H89" s="11">
        <f>'Política de stock'!N89</f>
        <v>1150.283529</v>
      </c>
      <c r="I89" s="11">
        <f>'Política de stock'!U89</f>
        <v>10150.28353</v>
      </c>
      <c r="J89" s="13">
        <f t="shared" si="1"/>
        <v>32.22103234</v>
      </c>
      <c r="K89" s="14">
        <f>'Política de stock'!K89</f>
        <v>10</v>
      </c>
      <c r="L89" s="7" t="str">
        <f>IF(K89&gt;=UmbLT,"Alto","Bajo")</f>
        <v>Alto</v>
      </c>
      <c r="M89" s="16">
        <f>IF('Política de stock'!F89&gt;0,COUNTIFS('Política de stock'!$D$5:$D$119,D89,'Política de stock'!$F$5:$F$119,"&lt;"&amp;'Política de stock'!F89)/COUNTIF('Política de stock'!$D$5:$D$119,D89),0)</f>
        <v>0.7710843373</v>
      </c>
      <c r="N89" s="7" t="str">
        <f>IF(M89&gt;=UmbVol,"Alto","Bajo")</f>
        <v>Alto</v>
      </c>
      <c r="O89" s="7" t="str">
        <f t="shared" si="2"/>
        <v>Alta</v>
      </c>
      <c r="P89" s="11">
        <f>'Política de stock'!X89</f>
        <v>0.5075141765</v>
      </c>
      <c r="Q89" s="5">
        <v>0.6</v>
      </c>
      <c r="R89" s="5">
        <v>5.0</v>
      </c>
      <c r="S89" s="17">
        <f t="shared" si="3"/>
        <v>0.06090170118</v>
      </c>
      <c r="T89" s="5"/>
      <c r="U89" s="7" t="str">
        <f>IF(T89&lt;&gt;"",T89,IF(S89&lt;=UmbCajon,"Puesto de trabajo","Almacén"))</f>
        <v>Puesto de trabajo</v>
      </c>
      <c r="V89" s="15">
        <f t="shared" si="4"/>
        <v>0</v>
      </c>
      <c r="W89" s="11">
        <f t="shared" si="5"/>
        <v>0</v>
      </c>
      <c r="X89" s="11">
        <f>W89*CoefCirc</f>
        <v>0</v>
      </c>
      <c r="Y89" s="7"/>
      <c r="Z89" s="11">
        <f t="shared" si="6"/>
        <v>0.000089</v>
      </c>
      <c r="AA89" s="7" t="str">
        <f t="shared" si="7"/>
        <v>Identificación|Puesto de trabajo|32,221032</v>
      </c>
    </row>
    <row r="90" ht="15.75" customHeight="1">
      <c r="A90" s="7" t="str">
        <f>'Política de stock'!A90</f>
        <v>P86</v>
      </c>
      <c r="B90" s="7" t="str">
        <f>'Política de stock'!B90</f>
        <v>MP-88</v>
      </c>
      <c r="C90" s="7" t="str">
        <f>'Política de stock'!C90</f>
        <v>Etiqueta del cilindro suelto</v>
      </c>
      <c r="D90" s="7" t="str">
        <f>'Política de stock'!D90</f>
        <v>u</v>
      </c>
      <c r="E90" s="7" t="str">
        <f>'Política de stock'!E90</f>
        <v>Astuprint</v>
      </c>
      <c r="F90" s="7" t="str">
        <f>'Política de stock'!V90</f>
        <v>Identificación</v>
      </c>
      <c r="G90" s="11">
        <f>'Política de stock'!G90</f>
        <v>889.2916667</v>
      </c>
      <c r="H90" s="11">
        <f>'Política de stock'!N90</f>
        <v>3685.603333</v>
      </c>
      <c r="I90" s="11">
        <f>'Política de stock'!U90</f>
        <v>29685.60333</v>
      </c>
      <c r="J90" s="13">
        <f t="shared" si="1"/>
        <v>33.3811779</v>
      </c>
      <c r="K90" s="14">
        <f>'Política de stock'!K90</f>
        <v>10</v>
      </c>
      <c r="L90" s="7" t="str">
        <f>IF(K90&gt;=UmbLT,"Alto","Bajo")</f>
        <v>Alto</v>
      </c>
      <c r="M90" s="16">
        <f>IF('Política de stock'!F90&gt;0,COUNTIFS('Política de stock'!$D$5:$D$119,D90,'Política de stock'!$F$5:$F$119,"&lt;"&amp;'Política de stock'!F90)/COUNTIF('Política de stock'!$D$5:$D$119,D90),0)</f>
        <v>0.9759036145</v>
      </c>
      <c r="N90" s="7" t="str">
        <f>IF(M90&gt;=UmbVol,"Alto","Bajo")</f>
        <v>Alto</v>
      </c>
      <c r="O90" s="7" t="str">
        <f t="shared" si="2"/>
        <v>Alta</v>
      </c>
      <c r="P90" s="11">
        <f>'Política de stock'!X90</f>
        <v>1.484280167</v>
      </c>
      <c r="Q90" s="5">
        <v>0.6</v>
      </c>
      <c r="R90" s="5">
        <v>5.0</v>
      </c>
      <c r="S90" s="17">
        <f t="shared" si="3"/>
        <v>0.17811362</v>
      </c>
      <c r="T90" s="5"/>
      <c r="U90" s="7" t="str">
        <f>IF(T90&lt;&gt;"",T90,IF(S90&lt;=UmbCajon,"Puesto de trabajo","Almacén"))</f>
        <v>Almacén</v>
      </c>
      <c r="V90" s="15">
        <f t="shared" si="4"/>
        <v>2</v>
      </c>
      <c r="W90" s="11">
        <f t="shared" si="5"/>
        <v>0.6</v>
      </c>
      <c r="X90" s="11">
        <f>W90*CoefCirc</f>
        <v>0.9</v>
      </c>
      <c r="Y90" s="7"/>
      <c r="Z90" s="11">
        <f t="shared" si="6"/>
        <v>0.90009</v>
      </c>
      <c r="AA90" s="7" t="str">
        <f t="shared" si="7"/>
        <v>Identificación|Almacén|33,381178</v>
      </c>
    </row>
    <row r="91" ht="15.75" customHeight="1">
      <c r="A91" s="7" t="str">
        <f>'Política de stock'!A91</f>
        <v>P87</v>
      </c>
      <c r="B91" s="7" t="str">
        <f>'Política de stock'!B91</f>
        <v>MP-62/M22</v>
      </c>
      <c r="C91" s="7" t="str">
        <f>'Política de stock'!C91</f>
        <v>Tapón protector de rosca M22</v>
      </c>
      <c r="D91" s="7" t="str">
        <f>'Política de stock'!D91</f>
        <v>u</v>
      </c>
      <c r="E91" s="7" t="str">
        <f>'Política de stock'!E91</f>
        <v>A definir (inyectora)</v>
      </c>
      <c r="F91" s="7" t="str">
        <f>'Política de stock'!V91</f>
        <v>Embalaje</v>
      </c>
      <c r="G91" s="11">
        <f>'Política de stock'!G91</f>
        <v>710.6166667</v>
      </c>
      <c r="H91" s="11">
        <f>'Política de stock'!N91</f>
        <v>3126.713333</v>
      </c>
      <c r="I91" s="11">
        <f>'Política de stock'!U91</f>
        <v>28126.71333</v>
      </c>
      <c r="J91" s="13">
        <f t="shared" si="1"/>
        <v>39.58071159</v>
      </c>
      <c r="K91" s="14">
        <f>'Política de stock'!K91</f>
        <v>10</v>
      </c>
      <c r="L91" s="7" t="str">
        <f>IF(K91&gt;=UmbLT,"Alto","Bajo")</f>
        <v>Alto</v>
      </c>
      <c r="M91" s="16">
        <f>IF('Política de stock'!F91&gt;0,COUNTIFS('Política de stock'!$D$5:$D$119,D91,'Política de stock'!$F$5:$F$119,"&lt;"&amp;'Política de stock'!F91)/COUNTIF('Política de stock'!$D$5:$D$119,D91),0)</f>
        <v>0.9277108434</v>
      </c>
      <c r="N91" s="7" t="str">
        <f>IF(M91&gt;=UmbVol,"Alto","Bajo")</f>
        <v>Alto</v>
      </c>
      <c r="O91" s="7" t="str">
        <f t="shared" si="2"/>
        <v>Alta</v>
      </c>
      <c r="P91" s="11">
        <f>'Política de stock'!X91</f>
        <v>0.7031678333</v>
      </c>
      <c r="Q91" s="5">
        <v>0.6</v>
      </c>
      <c r="R91" s="5">
        <v>5.0</v>
      </c>
      <c r="S91" s="17">
        <f t="shared" si="3"/>
        <v>0.08438014</v>
      </c>
      <c r="T91" s="5"/>
      <c r="U91" s="7" t="str">
        <f>IF(T91&lt;&gt;"",T91,IF(S91&lt;=UmbCajon,"Puesto de trabajo","Almacén"))</f>
        <v>Puesto de trabajo</v>
      </c>
      <c r="V91" s="15">
        <f t="shared" si="4"/>
        <v>0</v>
      </c>
      <c r="W91" s="11">
        <f t="shared" si="5"/>
        <v>0</v>
      </c>
      <c r="X91" s="11">
        <f>W91*CoefCirc</f>
        <v>0</v>
      </c>
      <c r="Y91" s="7"/>
      <c r="Z91" s="11">
        <f t="shared" si="6"/>
        <v>0.000091</v>
      </c>
      <c r="AA91" s="7" t="str">
        <f t="shared" si="7"/>
        <v>Embalaje|Puesto de trabajo|39,580712</v>
      </c>
    </row>
    <row r="92" ht="15.75" customHeight="1">
      <c r="A92" s="7" t="str">
        <f>'Política de stock'!A92</f>
        <v>P88</v>
      </c>
      <c r="B92" s="7" t="str">
        <f>'Política de stock'!B92</f>
        <v>MP-62/M30</v>
      </c>
      <c r="C92" s="7" t="str">
        <f>'Política de stock'!C92</f>
        <v>Tapón protector de rosca M30</v>
      </c>
      <c r="D92" s="7" t="str">
        <f>'Política de stock'!D92</f>
        <v>u</v>
      </c>
      <c r="E92" s="7" t="str">
        <f>'Política de stock'!E92</f>
        <v>A definir (inyectora)</v>
      </c>
      <c r="F92" s="7" t="str">
        <f>'Política de stock'!V92</f>
        <v>Embalaje</v>
      </c>
      <c r="G92" s="11">
        <f>'Política de stock'!G92</f>
        <v>177.6041667</v>
      </c>
      <c r="H92" s="11">
        <f>'Política de stock'!N92</f>
        <v>558.0333333</v>
      </c>
      <c r="I92" s="11">
        <f>'Política de stock'!U92</f>
        <v>5558.033333</v>
      </c>
      <c r="J92" s="13">
        <f t="shared" si="1"/>
        <v>31.29449853</v>
      </c>
      <c r="K92" s="14">
        <f>'Política de stock'!K92</f>
        <v>10</v>
      </c>
      <c r="L92" s="7" t="str">
        <f>IF(K92&gt;=UmbLT,"Alto","Bajo")</f>
        <v>Alto</v>
      </c>
      <c r="M92" s="16">
        <f>IF('Política de stock'!F92&gt;0,COUNTIFS('Política de stock'!$D$5:$D$119,D92,'Política de stock'!$F$5:$F$119,"&lt;"&amp;'Política de stock'!F92)/COUNTIF('Política de stock'!$D$5:$D$119,D92),0)</f>
        <v>0.7228915663</v>
      </c>
      <c r="N92" s="7" t="str">
        <f>IF(M92&gt;=UmbVol,"Alto","Bajo")</f>
        <v>Alto</v>
      </c>
      <c r="O92" s="7" t="str">
        <f t="shared" si="2"/>
        <v>Alta</v>
      </c>
      <c r="P92" s="11">
        <f>'Política de stock'!X92</f>
        <v>0.1389508333</v>
      </c>
      <c r="Q92" s="5">
        <v>0.6</v>
      </c>
      <c r="R92" s="5">
        <v>5.0</v>
      </c>
      <c r="S92" s="17">
        <f t="shared" si="3"/>
        <v>0.0166741</v>
      </c>
      <c r="T92" s="5"/>
      <c r="U92" s="7" t="str">
        <f>IF(T92&lt;&gt;"",T92,IF(S92&lt;=UmbCajon,"Puesto de trabajo","Almacén"))</f>
        <v>Puesto de trabajo</v>
      </c>
      <c r="V92" s="15">
        <f t="shared" si="4"/>
        <v>0</v>
      </c>
      <c r="W92" s="11">
        <f t="shared" si="5"/>
        <v>0</v>
      </c>
      <c r="X92" s="11">
        <f>W92*CoefCirc</f>
        <v>0</v>
      </c>
      <c r="Y92" s="7"/>
      <c r="Z92" s="11">
        <f t="shared" si="6"/>
        <v>0.000092</v>
      </c>
      <c r="AA92" s="7" t="str">
        <f t="shared" si="7"/>
        <v>Embalaje|Puesto de trabajo|31,294499</v>
      </c>
    </row>
    <row r="93" ht="15.75" customHeight="1">
      <c r="A93" s="7" t="str">
        <f>'Política de stock'!A93</f>
        <v>P89</v>
      </c>
      <c r="B93" s="7" t="str">
        <f>'Política de stock'!B93</f>
        <v>MP-62/2½</v>
      </c>
      <c r="C93" s="7" t="str">
        <f>'Política de stock'!C93</f>
        <v>Tapón protector de rosca 2½"</v>
      </c>
      <c r="D93" s="7" t="str">
        <f>'Política de stock'!D93</f>
        <v>u</v>
      </c>
      <c r="E93" s="7" t="str">
        <f>'Política de stock'!E93</f>
        <v>A definir (inyectora)</v>
      </c>
      <c r="F93" s="7" t="str">
        <f>'Política de stock'!V93</f>
        <v>Embalaje</v>
      </c>
      <c r="G93" s="11">
        <f>'Política de stock'!G93</f>
        <v>1.070833333</v>
      </c>
      <c r="H93" s="11">
        <f>'Política de stock'!N93</f>
        <v>0.8566666667</v>
      </c>
      <c r="I93" s="11">
        <f>'Política de stock'!U93</f>
        <v>5000.856667</v>
      </c>
      <c r="J93" s="13">
        <f t="shared" si="1"/>
        <v>4670.0607</v>
      </c>
      <c r="K93" s="14">
        <f>'Política de stock'!K93</f>
        <v>10</v>
      </c>
      <c r="L93" s="7" t="str">
        <f>IF(K93&gt;=UmbLT,"Alto","Bajo")</f>
        <v>Alto</v>
      </c>
      <c r="M93" s="16">
        <f>IF('Política de stock'!F93&gt;0,COUNTIFS('Política de stock'!$D$5:$D$119,D93,'Política de stock'!$F$5:$F$119,"&lt;"&amp;'Política de stock'!F93)/COUNTIF('Política de stock'!$D$5:$D$119,D93),0)</f>
        <v>0.1445783133</v>
      </c>
      <c r="N93" s="7" t="str">
        <f>IF(M93&gt;=UmbVol,"Alto","Bajo")</f>
        <v>Bajo</v>
      </c>
      <c r="O93" s="7" t="str">
        <f t="shared" si="2"/>
        <v>Media</v>
      </c>
      <c r="P93" s="11">
        <f>'Política de stock'!X93</f>
        <v>0.1250214167</v>
      </c>
      <c r="Q93" s="5">
        <v>0.6</v>
      </c>
      <c r="R93" s="5">
        <v>5.0</v>
      </c>
      <c r="S93" s="17">
        <f t="shared" si="3"/>
        <v>0.01500257</v>
      </c>
      <c r="T93" s="5"/>
      <c r="U93" s="7" t="str">
        <f>IF(T93&lt;&gt;"",T93,IF(S93&lt;=UmbCajon,"Puesto de trabajo","Almacén"))</f>
        <v>Puesto de trabajo</v>
      </c>
      <c r="V93" s="15">
        <f t="shared" si="4"/>
        <v>0</v>
      </c>
      <c r="W93" s="11">
        <f t="shared" si="5"/>
        <v>0</v>
      </c>
      <c r="X93" s="11">
        <f>W93*CoefCirc</f>
        <v>0</v>
      </c>
      <c r="Y93" s="7"/>
      <c r="Z93" s="11">
        <f t="shared" si="6"/>
        <v>0.000093</v>
      </c>
      <c r="AA93" s="7" t="str">
        <f t="shared" si="7"/>
        <v>Embalaje|Puesto de trabajo|4670,0607</v>
      </c>
    </row>
    <row r="94" ht="15.75" customHeight="1">
      <c r="A94" s="7" t="str">
        <f>'Política de stock'!A94</f>
        <v>P90</v>
      </c>
      <c r="B94" s="7" t="str">
        <f>'Política de stock'!B94</f>
        <v>MP-85</v>
      </c>
      <c r="C94" s="7" t="str">
        <f>'Política de stock'!C94</f>
        <v>Impresos (protocolo de ensayo, remito de préstamo)</v>
      </c>
      <c r="D94" s="7" t="str">
        <f>'Política de stock'!D94</f>
        <v>u</v>
      </c>
      <c r="E94" s="7" t="str">
        <f>'Política de stock'!E94</f>
        <v>Astuprint</v>
      </c>
      <c r="F94" s="7" t="str">
        <f>'Política de stock'!V94</f>
        <v>Identificación</v>
      </c>
      <c r="G94" s="11">
        <f>'Política de stock'!G94</f>
        <v>884.5730788</v>
      </c>
      <c r="H94" s="11">
        <f>'Política de stock'!N94</f>
        <v>3681.313313</v>
      </c>
      <c r="I94" s="11">
        <f>'Política de stock'!U94</f>
        <v>29181.31331</v>
      </c>
      <c r="J94" s="13">
        <f t="shared" si="1"/>
        <v>32.98914924</v>
      </c>
      <c r="K94" s="14">
        <f>'Política de stock'!K94</f>
        <v>10</v>
      </c>
      <c r="L94" s="7" t="str">
        <f>IF(K94&gt;=UmbLT,"Alto","Bajo")</f>
        <v>Alto</v>
      </c>
      <c r="M94" s="16">
        <f>IF('Política de stock'!F94&gt;0,COUNTIFS('Política de stock'!$D$5:$D$119,D94,'Política de stock'!$F$5:$F$119,"&lt;"&amp;'Política de stock'!F94)/COUNTIF('Política de stock'!$D$5:$D$119,D94),0)</f>
        <v>0.9638554217</v>
      </c>
      <c r="N94" s="7" t="str">
        <f>IF(M94&gt;=UmbVol,"Alto","Bajo")</f>
        <v>Alto</v>
      </c>
      <c r="O94" s="7" t="str">
        <f t="shared" si="2"/>
        <v>Alta</v>
      </c>
      <c r="P94" s="11">
        <f>'Política de stock'!X94</f>
        <v>2.918131331</v>
      </c>
      <c r="Q94" s="5">
        <v>0.6</v>
      </c>
      <c r="R94" s="5">
        <v>5.0</v>
      </c>
      <c r="S94" s="17">
        <f t="shared" si="3"/>
        <v>0.3501757598</v>
      </c>
      <c r="T94" s="5"/>
      <c r="U94" s="7" t="str">
        <f>IF(T94&lt;&gt;"",T94,IF(S94&lt;=UmbCajon,"Puesto de trabajo","Almacén"))</f>
        <v>Almacén</v>
      </c>
      <c r="V94" s="15">
        <f t="shared" si="4"/>
        <v>3</v>
      </c>
      <c r="W94" s="11">
        <f t="shared" si="5"/>
        <v>0.6</v>
      </c>
      <c r="X94" s="11">
        <f>W94*CoefCirc</f>
        <v>0.9</v>
      </c>
      <c r="Y94" s="7"/>
      <c r="Z94" s="11">
        <f t="shared" si="6"/>
        <v>0.900094</v>
      </c>
      <c r="AA94" s="7" t="str">
        <f t="shared" si="7"/>
        <v>Identificación|Almacén|32,989149</v>
      </c>
    </row>
    <row r="95" ht="15.75" customHeight="1">
      <c r="A95" s="7" t="str">
        <f>'Política de stock'!A95</f>
        <v>P91</v>
      </c>
      <c r="B95" s="7" t="str">
        <f>'Política de stock'!B95</f>
        <v>MP-57</v>
      </c>
      <c r="C95" s="7" t="str">
        <f>'Política de stock'!C95</f>
        <v>Marbete del año</v>
      </c>
      <c r="D95" s="7" t="str">
        <f>'Política de stock'!D95</f>
        <v>u</v>
      </c>
      <c r="E95" s="7" t="str">
        <f>'Política de stock'!E95</f>
        <v>Astuprint</v>
      </c>
      <c r="F95" s="7" t="str">
        <f>'Política de stock'!V95</f>
        <v>Insumos de recargas</v>
      </c>
      <c r="G95" s="11">
        <f>'Política de stock'!G95</f>
        <v>536.3090163</v>
      </c>
      <c r="H95" s="11">
        <f>'Política de stock'!N95</f>
        <v>0</v>
      </c>
      <c r="I95" s="11">
        <f>'Política de stock'!U95</f>
        <v>11000</v>
      </c>
      <c r="J95" s="13">
        <f t="shared" si="1"/>
        <v>20.51056325</v>
      </c>
      <c r="K95" s="14">
        <f>'Política de stock'!K95</f>
        <v>10</v>
      </c>
      <c r="L95" s="7" t="str">
        <f>IF(K95&gt;=UmbLT,"Alto","Bajo")</f>
        <v>Alto</v>
      </c>
      <c r="M95" s="16">
        <f>IF('Política de stock'!F95&gt;0,COUNTIFS('Política de stock'!$D$5:$D$119,D95,'Política de stock'!$F$5:$F$119,"&lt;"&amp;'Política de stock'!F95)/COUNTIF('Política de stock'!$D$5:$D$119,D95),0)</f>
        <v>0.8915662651</v>
      </c>
      <c r="N95" s="7" t="str">
        <f>IF(M95&gt;=UmbVol,"Alto","Bajo")</f>
        <v>Alto</v>
      </c>
      <c r="O95" s="7" t="str">
        <f t="shared" si="2"/>
        <v>Alta</v>
      </c>
      <c r="P95" s="11">
        <f>'Política de stock'!X95</f>
        <v>0.55</v>
      </c>
      <c r="Q95" s="5">
        <v>0.6</v>
      </c>
      <c r="R95" s="5">
        <v>5.0</v>
      </c>
      <c r="S95" s="17">
        <f t="shared" si="3"/>
        <v>0.066</v>
      </c>
      <c r="T95" s="5"/>
      <c r="U95" s="7" t="str">
        <f>IF(T95&lt;&gt;"",T95,IF(S95&lt;=UmbCajon,"Puesto de trabajo","Almacén"))</f>
        <v>Puesto de trabajo</v>
      </c>
      <c r="V95" s="15">
        <f t="shared" si="4"/>
        <v>0</v>
      </c>
      <c r="W95" s="11">
        <f t="shared" si="5"/>
        <v>0</v>
      </c>
      <c r="X95" s="11">
        <f>W95*CoefCirc</f>
        <v>0</v>
      </c>
      <c r="Y95" s="7"/>
      <c r="Z95" s="11">
        <f t="shared" si="6"/>
        <v>0.000095</v>
      </c>
      <c r="AA95" s="7" t="str">
        <f t="shared" si="7"/>
        <v>Insumos de recargas|Puesto de trabajo|20,510563</v>
      </c>
    </row>
    <row r="96" ht="15.75" customHeight="1">
      <c r="A96" s="7" t="str">
        <f>'Política de stock'!A96</f>
        <v>P92</v>
      </c>
      <c r="B96" s="7" t="str">
        <f>'Política de stock'!B96</f>
        <v>MP-97</v>
      </c>
      <c r="C96" s="7" t="str">
        <f>'Política de stock'!C96</f>
        <v>Precinto del recargador</v>
      </c>
      <c r="D96" s="7" t="str">
        <f>'Política de stock'!D96</f>
        <v>u</v>
      </c>
      <c r="E96" s="7" t="str">
        <f>'Política de stock'!E96</f>
        <v>SonFuertes</v>
      </c>
      <c r="F96" s="7" t="str">
        <f>'Política de stock'!V96</f>
        <v>Insumos de recargas</v>
      </c>
      <c r="G96" s="11">
        <f>'Política de stock'!G96</f>
        <v>536.3090163</v>
      </c>
      <c r="H96" s="11">
        <f>'Política de stock'!N96</f>
        <v>0</v>
      </c>
      <c r="I96" s="11">
        <f>'Política de stock'!U96</f>
        <v>11000</v>
      </c>
      <c r="J96" s="13">
        <f t="shared" si="1"/>
        <v>20.51056325</v>
      </c>
      <c r="K96" s="14">
        <f>'Política de stock'!K96</f>
        <v>10</v>
      </c>
      <c r="L96" s="7" t="str">
        <f>IF(K96&gt;=UmbLT,"Alto","Bajo")</f>
        <v>Alto</v>
      </c>
      <c r="M96" s="16">
        <f>IF('Política de stock'!F96&gt;0,COUNTIFS('Política de stock'!$D$5:$D$119,D96,'Política de stock'!$F$5:$F$119,"&lt;"&amp;'Política de stock'!F96)/COUNTIF('Política de stock'!$D$5:$D$119,D96),0)</f>
        <v>0.8915662651</v>
      </c>
      <c r="N96" s="7" t="str">
        <f>IF(M96&gt;=UmbVol,"Alto","Bajo")</f>
        <v>Alto</v>
      </c>
      <c r="O96" s="7" t="str">
        <f t="shared" si="2"/>
        <v>Alta</v>
      </c>
      <c r="P96" s="11">
        <f>'Política de stock'!X96</f>
        <v>0.55</v>
      </c>
      <c r="Q96" s="5">
        <v>0.6</v>
      </c>
      <c r="R96" s="5">
        <v>5.0</v>
      </c>
      <c r="S96" s="17">
        <f t="shared" si="3"/>
        <v>0.066</v>
      </c>
      <c r="T96" s="5"/>
      <c r="U96" s="7" t="str">
        <f>IF(T96&lt;&gt;"",T96,IF(S96&lt;=UmbCajon,"Puesto de trabajo","Almacén"))</f>
        <v>Puesto de trabajo</v>
      </c>
      <c r="V96" s="15">
        <f t="shared" si="4"/>
        <v>0</v>
      </c>
      <c r="W96" s="11">
        <f t="shared" si="5"/>
        <v>0</v>
      </c>
      <c r="X96" s="11">
        <f>W96*CoefCirc</f>
        <v>0</v>
      </c>
      <c r="Y96" s="7"/>
      <c r="Z96" s="11">
        <f t="shared" si="6"/>
        <v>0.000096</v>
      </c>
      <c r="AA96" s="7" t="str">
        <f t="shared" si="7"/>
        <v>Insumos de recargas|Puesto de trabajo|20,510563</v>
      </c>
    </row>
    <row r="97" ht="15.75" customHeight="1">
      <c r="A97" s="7" t="str">
        <f>'Política de stock'!A97</f>
        <v>P93</v>
      </c>
      <c r="B97" s="7" t="str">
        <f>'Política de stock'!B97</f>
        <v>MP-72</v>
      </c>
      <c r="C97" s="7" t="str">
        <f>'Política de stock'!C97</f>
        <v>Etiqueta de servicio</v>
      </c>
      <c r="D97" s="7" t="str">
        <f>'Política de stock'!D97</f>
        <v>u</v>
      </c>
      <c r="E97" s="7" t="str">
        <f>'Política de stock'!E97</f>
        <v>Astuprint</v>
      </c>
      <c r="F97" s="7" t="str">
        <f>'Política de stock'!V97</f>
        <v>Insumos de recargas</v>
      </c>
      <c r="G97" s="11">
        <f>'Política de stock'!G97</f>
        <v>536.3090163</v>
      </c>
      <c r="H97" s="11">
        <f>'Política de stock'!N97</f>
        <v>0</v>
      </c>
      <c r="I97" s="11">
        <f>'Política de stock'!U97</f>
        <v>11000</v>
      </c>
      <c r="J97" s="13">
        <f t="shared" si="1"/>
        <v>20.51056325</v>
      </c>
      <c r="K97" s="14">
        <f>'Política de stock'!K97</f>
        <v>10</v>
      </c>
      <c r="L97" s="7" t="str">
        <f>IF(K97&gt;=UmbLT,"Alto","Bajo")</f>
        <v>Alto</v>
      </c>
      <c r="M97" s="16">
        <f>IF('Política de stock'!F97&gt;0,COUNTIFS('Política de stock'!$D$5:$D$119,D97,'Política de stock'!$F$5:$F$119,"&lt;"&amp;'Política de stock'!F97)/COUNTIF('Política de stock'!$D$5:$D$119,D97),0)</f>
        <v>0.8915662651</v>
      </c>
      <c r="N97" s="7" t="str">
        <f>IF(M97&gt;=UmbVol,"Alto","Bajo")</f>
        <v>Alto</v>
      </c>
      <c r="O97" s="7" t="str">
        <f t="shared" si="2"/>
        <v>Alta</v>
      </c>
      <c r="P97" s="11">
        <f>'Política de stock'!X97</f>
        <v>0.55</v>
      </c>
      <c r="Q97" s="5">
        <v>0.6</v>
      </c>
      <c r="R97" s="5">
        <v>5.0</v>
      </c>
      <c r="S97" s="17">
        <f t="shared" si="3"/>
        <v>0.066</v>
      </c>
      <c r="T97" s="5"/>
      <c r="U97" s="7" t="str">
        <f>IF(T97&lt;&gt;"",T97,IF(S97&lt;=UmbCajon,"Puesto de trabajo","Almacén"))</f>
        <v>Puesto de trabajo</v>
      </c>
      <c r="V97" s="15">
        <f t="shared" si="4"/>
        <v>0</v>
      </c>
      <c r="W97" s="11">
        <f t="shared" si="5"/>
        <v>0</v>
      </c>
      <c r="X97" s="11">
        <f>W97*CoefCirc</f>
        <v>0</v>
      </c>
      <c r="Y97" s="7"/>
      <c r="Z97" s="11">
        <f t="shared" si="6"/>
        <v>0.000097</v>
      </c>
      <c r="AA97" s="7" t="str">
        <f t="shared" si="7"/>
        <v>Insumos de recargas|Puesto de trabajo|20,510563</v>
      </c>
    </row>
    <row r="98" ht="15.75" customHeight="1">
      <c r="A98" s="7" t="str">
        <f>'Política de stock'!A98</f>
        <v>P94</v>
      </c>
      <c r="B98" s="7" t="str">
        <f>'Política de stock'!B98</f>
        <v>MP-75</v>
      </c>
      <c r="C98" s="7" t="str">
        <f>'Política de stock'!C98</f>
        <v>Estampilla y oblea de recarga (PBA)</v>
      </c>
      <c r="D98" s="7" t="str">
        <f>'Política de stock'!D98</f>
        <v>u</v>
      </c>
      <c r="E98" s="7" t="str">
        <f>'Política de stock'!E98</f>
        <v>DPS (PBA)</v>
      </c>
      <c r="F98" s="7" t="str">
        <f>'Política de stock'!V98</f>
        <v>Insumos de recargas</v>
      </c>
      <c r="G98" s="11">
        <f>'Política de stock'!G98</f>
        <v>425.0096175</v>
      </c>
      <c r="H98" s="11">
        <f>'Política de stock'!N98</f>
        <v>0</v>
      </c>
      <c r="I98" s="11">
        <f>'Política de stock'!U98</f>
        <v>9000</v>
      </c>
      <c r="J98" s="13">
        <f t="shared" si="1"/>
        <v>21.17599139</v>
      </c>
      <c r="K98" s="14">
        <f>'Política de stock'!K98</f>
        <v>10</v>
      </c>
      <c r="L98" s="7" t="str">
        <f>IF(K98&gt;=UmbLT,"Alto","Bajo")</f>
        <v>Alto</v>
      </c>
      <c r="M98" s="16">
        <f>IF('Política de stock'!F98&gt;0,COUNTIFS('Política de stock'!$D$5:$D$119,D98,'Política de stock'!$F$5:$F$119,"&lt;"&amp;'Política de stock'!F98)/COUNTIF('Política de stock'!$D$5:$D$119,D98),0)</f>
        <v>0.8554216867</v>
      </c>
      <c r="N98" s="7" t="str">
        <f>IF(M98&gt;=UmbVol,"Alto","Bajo")</f>
        <v>Alto</v>
      </c>
      <c r="O98" s="7" t="str">
        <f t="shared" si="2"/>
        <v>Alta</v>
      </c>
      <c r="P98" s="11">
        <f>'Política de stock'!X98</f>
        <v>0.9</v>
      </c>
      <c r="Q98" s="5">
        <v>0.6</v>
      </c>
      <c r="R98" s="5">
        <v>5.0</v>
      </c>
      <c r="S98" s="17">
        <f t="shared" si="3"/>
        <v>0.108</v>
      </c>
      <c r="T98" s="5" t="s">
        <v>84</v>
      </c>
      <c r="U98" s="7" t="str">
        <f>IF(T98&lt;&gt;"",T98,IF(S98&lt;=UmbCajon,"Puesto de trabajo","Almacén"))</f>
        <v>Almacén</v>
      </c>
      <c r="V98" s="15">
        <f t="shared" si="4"/>
        <v>1</v>
      </c>
      <c r="W98" s="11">
        <f t="shared" si="5"/>
        <v>0.6</v>
      </c>
      <c r="X98" s="11">
        <f>W98*CoefCirc</f>
        <v>0.9</v>
      </c>
      <c r="Y98" s="7" t="s">
        <v>653</v>
      </c>
      <c r="Z98" s="11">
        <f t="shared" si="6"/>
        <v>0.900098</v>
      </c>
      <c r="AA98" s="7" t="str">
        <f t="shared" si="7"/>
        <v>Insumos de recargas|Almacén|21,175991</v>
      </c>
    </row>
    <row r="99" ht="15.75" customHeight="1">
      <c r="A99" s="7" t="str">
        <f>'Política de stock'!A99</f>
        <v>P95</v>
      </c>
      <c r="B99" s="7" t="str">
        <f>'Política de stock'!B99</f>
        <v>MP-76</v>
      </c>
      <c r="C99" s="7" t="str">
        <f>'Política de stock'!C99</f>
        <v>Tarjeta de identificación DPS (PBA)</v>
      </c>
      <c r="D99" s="7" t="str">
        <f>'Política de stock'!D99</f>
        <v>u</v>
      </c>
      <c r="E99" s="7" t="str">
        <f>'Política de stock'!E99</f>
        <v>DPS (PBA)</v>
      </c>
      <c r="F99" s="7" t="str">
        <f>'Política de stock'!V99</f>
        <v>Insumos de recargas</v>
      </c>
      <c r="G99" s="11">
        <f>'Política de stock'!G99</f>
        <v>425.0096175</v>
      </c>
      <c r="H99" s="11">
        <f>'Política de stock'!N99</f>
        <v>0</v>
      </c>
      <c r="I99" s="11">
        <f>'Política de stock'!U99</f>
        <v>9000</v>
      </c>
      <c r="J99" s="13">
        <f t="shared" si="1"/>
        <v>21.17599139</v>
      </c>
      <c r="K99" s="14">
        <f>'Política de stock'!K99</f>
        <v>10</v>
      </c>
      <c r="L99" s="7" t="str">
        <f>IF(K99&gt;=UmbLT,"Alto","Bajo")</f>
        <v>Alto</v>
      </c>
      <c r="M99" s="16">
        <f>IF('Política de stock'!F99&gt;0,COUNTIFS('Política de stock'!$D$5:$D$119,D99,'Política de stock'!$F$5:$F$119,"&lt;"&amp;'Política de stock'!F99)/COUNTIF('Política de stock'!$D$5:$D$119,D99),0)</f>
        <v>0.8554216867</v>
      </c>
      <c r="N99" s="7" t="str">
        <f>IF(M99&gt;=UmbVol,"Alto","Bajo")</f>
        <v>Alto</v>
      </c>
      <c r="O99" s="7" t="str">
        <f t="shared" si="2"/>
        <v>Alta</v>
      </c>
      <c r="P99" s="11">
        <f>'Política de stock'!X99</f>
        <v>0.9</v>
      </c>
      <c r="Q99" s="5">
        <v>0.6</v>
      </c>
      <c r="R99" s="5">
        <v>5.0</v>
      </c>
      <c r="S99" s="17">
        <f t="shared" si="3"/>
        <v>0.108</v>
      </c>
      <c r="T99" s="5" t="s">
        <v>84</v>
      </c>
      <c r="U99" s="7" t="str">
        <f>IF(T99&lt;&gt;"",T99,IF(S99&lt;=UmbCajon,"Puesto de trabajo","Almacén"))</f>
        <v>Almacén</v>
      </c>
      <c r="V99" s="15">
        <f t="shared" si="4"/>
        <v>1</v>
      </c>
      <c r="W99" s="11">
        <f t="shared" si="5"/>
        <v>0.6</v>
      </c>
      <c r="X99" s="11">
        <f>W99*CoefCirc</f>
        <v>0.9</v>
      </c>
      <c r="Y99" s="7" t="s">
        <v>653</v>
      </c>
      <c r="Z99" s="11">
        <f t="shared" si="6"/>
        <v>0.900099</v>
      </c>
      <c r="AA99" s="7" t="str">
        <f t="shared" si="7"/>
        <v>Insumos de recargas|Almacén|21,175991</v>
      </c>
    </row>
    <row r="100" ht="15.75" customHeight="1">
      <c r="A100" s="7" t="str">
        <f>'Política de stock'!A100</f>
        <v>P96</v>
      </c>
      <c r="B100" s="7" t="str">
        <f>'Política de stock'!B100</f>
        <v>MP-82</v>
      </c>
      <c r="C100" s="7" t="str">
        <f>'Política de stock'!C100</f>
        <v>Faja amarilla de sustituto</v>
      </c>
      <c r="D100" s="7" t="str">
        <f>'Política de stock'!D100</f>
        <v>u</v>
      </c>
      <c r="E100" s="7" t="str">
        <f>'Política de stock'!E100</f>
        <v>Astuprint</v>
      </c>
      <c r="F100" s="7" t="str">
        <f>'Política de stock'!V100</f>
        <v>Insumos de recargas</v>
      </c>
      <c r="G100" s="11">
        <f>'Política de stock'!G100</f>
        <v>0.6439120833</v>
      </c>
      <c r="H100" s="11">
        <f>'Política de stock'!N100</f>
        <v>0</v>
      </c>
      <c r="I100" s="11">
        <f>'Política de stock'!U100</f>
        <v>1000</v>
      </c>
      <c r="J100" s="13">
        <f t="shared" si="1"/>
        <v>1553.007042</v>
      </c>
      <c r="K100" s="14">
        <f>'Política de stock'!K100</f>
        <v>10</v>
      </c>
      <c r="L100" s="7" t="str">
        <f>IF(K100&gt;=UmbLT,"Alto","Bajo")</f>
        <v>Alto</v>
      </c>
      <c r="M100" s="16">
        <f>IF('Política de stock'!F100&gt;0,COUNTIFS('Política de stock'!$D$5:$D$119,D100,'Política de stock'!$F$5:$F$119,"&lt;"&amp;'Política de stock'!F100)/COUNTIF('Política de stock'!$D$5:$D$119,D100),0)</f>
        <v>0.1084337349</v>
      </c>
      <c r="N100" s="7" t="str">
        <f>IF(M100&gt;=UmbVol,"Alto","Bajo")</f>
        <v>Bajo</v>
      </c>
      <c r="O100" s="7" t="str">
        <f t="shared" si="2"/>
        <v>Media</v>
      </c>
      <c r="P100" s="11">
        <f>'Política de stock'!X100</f>
        <v>0.05</v>
      </c>
      <c r="Q100" s="5">
        <v>0.6</v>
      </c>
      <c r="R100" s="5">
        <v>5.0</v>
      </c>
      <c r="S100" s="17">
        <f t="shared" si="3"/>
        <v>0.006</v>
      </c>
      <c r="T100" s="5"/>
      <c r="U100" s="7" t="str">
        <f>IF(T100&lt;&gt;"",T100,IF(S100&lt;=UmbCajon,"Puesto de trabajo","Almacén"))</f>
        <v>Puesto de trabajo</v>
      </c>
      <c r="V100" s="15">
        <f t="shared" si="4"/>
        <v>0</v>
      </c>
      <c r="W100" s="11">
        <f t="shared" si="5"/>
        <v>0</v>
      </c>
      <c r="X100" s="11">
        <f>W100*CoefCirc</f>
        <v>0</v>
      </c>
      <c r="Y100" s="7"/>
      <c r="Z100" s="11">
        <f t="shared" si="6"/>
        <v>0.0001</v>
      </c>
      <c r="AA100" s="7" t="str">
        <f t="shared" si="7"/>
        <v>Insumos de recargas|Puesto de trabajo|1553,007042</v>
      </c>
    </row>
    <row r="101" ht="15.75" customHeight="1">
      <c r="A101" s="7" t="str">
        <f>'Política de stock'!A101</f>
        <v>P97</v>
      </c>
      <c r="B101" s="7" t="str">
        <f>'Política de stock'!B101</f>
        <v>MP-83</v>
      </c>
      <c r="C101" s="7" t="str">
        <f>'Política de stock'!C101</f>
        <v>Tarjeta DPS «sustituto habilitado»</v>
      </c>
      <c r="D101" s="7" t="str">
        <f>'Política de stock'!D101</f>
        <v>u</v>
      </c>
      <c r="E101" s="7" t="str">
        <f>'Política de stock'!E101</f>
        <v>DPS (PBA)</v>
      </c>
      <c r="F101" s="7" t="str">
        <f>'Política de stock'!V101</f>
        <v>Insumos de recargas</v>
      </c>
      <c r="G101" s="11">
        <f>'Política de stock'!G101</f>
        <v>0.5102820833</v>
      </c>
      <c r="H101" s="11">
        <f>'Política de stock'!N101</f>
        <v>0</v>
      </c>
      <c r="I101" s="11">
        <f>'Política de stock'!U101</f>
        <v>500</v>
      </c>
      <c r="J101" s="13">
        <f t="shared" si="1"/>
        <v>979.8501972</v>
      </c>
      <c r="K101" s="14">
        <f>'Política de stock'!K101</f>
        <v>10</v>
      </c>
      <c r="L101" s="7" t="str">
        <f>IF(K101&gt;=UmbLT,"Alto","Bajo")</f>
        <v>Alto</v>
      </c>
      <c r="M101" s="16">
        <f>IF('Política de stock'!F101&gt;0,COUNTIFS('Política de stock'!$D$5:$D$119,D101,'Política de stock'!$F$5:$F$119,"&lt;"&amp;'Política de stock'!F101)/COUNTIF('Política de stock'!$D$5:$D$119,D101),0)</f>
        <v>0.07228915663</v>
      </c>
      <c r="N101" s="7" t="str">
        <f>IF(M101&gt;=UmbVol,"Alto","Bajo")</f>
        <v>Bajo</v>
      </c>
      <c r="O101" s="7" t="str">
        <f t="shared" si="2"/>
        <v>Media</v>
      </c>
      <c r="P101" s="11">
        <f>'Política de stock'!X101</f>
        <v>0.05</v>
      </c>
      <c r="Q101" s="5">
        <v>0.6</v>
      </c>
      <c r="R101" s="5">
        <v>5.0</v>
      </c>
      <c r="S101" s="17">
        <f t="shared" si="3"/>
        <v>0.006</v>
      </c>
      <c r="T101" s="5" t="s">
        <v>84</v>
      </c>
      <c r="U101" s="7" t="str">
        <f>IF(T101&lt;&gt;"",T101,IF(S101&lt;=UmbCajon,"Puesto de trabajo","Almacén"))</f>
        <v>Almacén</v>
      </c>
      <c r="V101" s="15">
        <f t="shared" si="4"/>
        <v>1</v>
      </c>
      <c r="W101" s="11">
        <f t="shared" si="5"/>
        <v>0.6</v>
      </c>
      <c r="X101" s="11">
        <f>W101*CoefCirc</f>
        <v>0.9</v>
      </c>
      <c r="Y101" s="7" t="s">
        <v>653</v>
      </c>
      <c r="Z101" s="11">
        <f t="shared" si="6"/>
        <v>0.900101</v>
      </c>
      <c r="AA101" s="7" t="str">
        <f t="shared" si="7"/>
        <v>Insumos de recargas|Almacén|979,850197</v>
      </c>
    </row>
    <row r="102" ht="15.75" customHeight="1">
      <c r="A102" s="7" t="str">
        <f>'Política de stock'!A102</f>
        <v>P98</v>
      </c>
      <c r="B102" s="7" t="str">
        <f>'Política de stock'!B102</f>
        <v>MP-84</v>
      </c>
      <c r="C102" s="7" t="str">
        <f>'Política de stock'!C102</f>
        <v>Tarjeta AGC «es sustituto»</v>
      </c>
      <c r="D102" s="7" t="str">
        <f>'Política de stock'!D102</f>
        <v>u</v>
      </c>
      <c r="E102" s="7" t="str">
        <f>'Política de stock'!E102</f>
        <v>AGC (CABA)</v>
      </c>
      <c r="F102" s="7" t="str">
        <f>'Política de stock'!V102</f>
        <v>Insumos de recargas</v>
      </c>
      <c r="G102" s="11">
        <f>'Política de stock'!G102</f>
        <v>0.13363</v>
      </c>
      <c r="H102" s="11">
        <f>'Política de stock'!N102</f>
        <v>0</v>
      </c>
      <c r="I102" s="11">
        <f>'Política de stock'!U102</f>
        <v>500</v>
      </c>
      <c r="J102" s="13">
        <f t="shared" si="1"/>
        <v>3741.674774</v>
      </c>
      <c r="K102" s="14">
        <f>'Política de stock'!K102</f>
        <v>10</v>
      </c>
      <c r="L102" s="7" t="str">
        <f>IF(K102&gt;=UmbLT,"Alto","Bajo")</f>
        <v>Alto</v>
      </c>
      <c r="M102" s="16">
        <f>IF('Política de stock'!F102&gt;0,COUNTIFS('Política de stock'!$D$5:$D$119,D102,'Política de stock'!$F$5:$F$119,"&lt;"&amp;'Política de stock'!F102)/COUNTIF('Política de stock'!$D$5:$D$119,D102),0)</f>
        <v>0.04819277108</v>
      </c>
      <c r="N102" s="7" t="str">
        <f>IF(M102&gt;=UmbVol,"Alto","Bajo")</f>
        <v>Bajo</v>
      </c>
      <c r="O102" s="7" t="str">
        <f t="shared" si="2"/>
        <v>Media</v>
      </c>
      <c r="P102" s="11">
        <f>'Política de stock'!X102</f>
        <v>0.05</v>
      </c>
      <c r="Q102" s="5">
        <v>0.6</v>
      </c>
      <c r="R102" s="5">
        <v>5.0</v>
      </c>
      <c r="S102" s="17">
        <f t="shared" si="3"/>
        <v>0.006</v>
      </c>
      <c r="T102" s="5" t="s">
        <v>84</v>
      </c>
      <c r="U102" s="7" t="str">
        <f>IF(T102&lt;&gt;"",T102,IF(S102&lt;=UmbCajon,"Puesto de trabajo","Almacén"))</f>
        <v>Almacén</v>
      </c>
      <c r="V102" s="15">
        <f t="shared" si="4"/>
        <v>1</v>
      </c>
      <c r="W102" s="11">
        <f t="shared" si="5"/>
        <v>0.6</v>
      </c>
      <c r="X102" s="11">
        <f>W102*CoefCirc</f>
        <v>0.9</v>
      </c>
      <c r="Y102" s="7" t="s">
        <v>653</v>
      </c>
      <c r="Z102" s="11">
        <f t="shared" si="6"/>
        <v>0.900102</v>
      </c>
      <c r="AA102" s="7" t="str">
        <f t="shared" si="7"/>
        <v>Insumos de recargas|Almacén|3741,674774</v>
      </c>
    </row>
    <row r="103" ht="15.75" customHeight="1">
      <c r="A103" s="7" t="str">
        <f>'Política de stock'!A103</f>
        <v>P99</v>
      </c>
      <c r="B103" s="7" t="str">
        <f>'Política de stock'!B103</f>
        <v>MP-65</v>
      </c>
      <c r="C103" s="7" t="str">
        <f>'Política de stock'!C103</f>
        <v>Esmalte poliuretano rojo (recargas)</v>
      </c>
      <c r="D103" s="7" t="str">
        <f>'Política de stock'!D103</f>
        <v>L</v>
      </c>
      <c r="E103" s="7" t="str">
        <f>'Política de stock'!E103</f>
        <v>Sinteplast</v>
      </c>
      <c r="F103" s="7" t="str">
        <f>'Política de stock'!V103</f>
        <v>Insumos de recargas</v>
      </c>
      <c r="G103" s="11">
        <f>'Política de stock'!G103</f>
        <v>1.384808333</v>
      </c>
      <c r="H103" s="11">
        <f>'Política de stock'!N103</f>
        <v>0.000008333333334</v>
      </c>
      <c r="I103" s="11">
        <f>'Política de stock'!U103</f>
        <v>28.00000833</v>
      </c>
      <c r="J103" s="13">
        <f t="shared" si="1"/>
        <v>20.21941063</v>
      </c>
      <c r="K103" s="14">
        <f>'Política de stock'!K103</f>
        <v>5</v>
      </c>
      <c r="L103" s="7" t="str">
        <f>IF(K103&gt;=UmbLT,"Alto","Bajo")</f>
        <v>Bajo</v>
      </c>
      <c r="M103" s="16">
        <f>IF('Política de stock'!F103&gt;0,COUNTIFS('Política de stock'!$D$5:$D$119,D103,'Política de stock'!$F$5:$F$119,"&lt;"&amp;'Política de stock'!F103)/COUNTIF('Política de stock'!$D$5:$D$119,D103),0)</f>
        <v>0</v>
      </c>
      <c r="N103" s="7" t="str">
        <f>IF(M103&gt;=UmbVol,"Alto","Bajo")</f>
        <v>Bajo</v>
      </c>
      <c r="O103" s="7" t="str">
        <f t="shared" si="2"/>
        <v>Baja</v>
      </c>
      <c r="P103" s="11">
        <f>'Política de stock'!X103</f>
        <v>0.1400000417</v>
      </c>
      <c r="Q103" s="5">
        <v>0.6</v>
      </c>
      <c r="R103" s="5">
        <v>5.0</v>
      </c>
      <c r="S103" s="17">
        <f t="shared" si="3"/>
        <v>0.016800005</v>
      </c>
      <c r="T103" s="5"/>
      <c r="U103" s="7" t="str">
        <f>IF(T103&lt;&gt;"",T103,IF(S103&lt;=UmbCajon,"Puesto de trabajo","Almacén"))</f>
        <v>Puesto de trabajo</v>
      </c>
      <c r="V103" s="15">
        <f t="shared" si="4"/>
        <v>0</v>
      </c>
      <c r="W103" s="11">
        <f t="shared" si="5"/>
        <v>0</v>
      </c>
      <c r="X103" s="11">
        <f>W103*CoefCirc</f>
        <v>0</v>
      </c>
      <c r="Y103" s="7"/>
      <c r="Z103" s="11">
        <f t="shared" si="6"/>
        <v>0.000103</v>
      </c>
      <c r="AA103" s="7" t="str">
        <f t="shared" si="7"/>
        <v>Insumos de recargas|Puesto de trabajo|20,219411</v>
      </c>
    </row>
    <row r="104" ht="15.75" customHeight="1">
      <c r="A104" s="7" t="str">
        <f>'Política de stock'!A104</f>
        <v>P100</v>
      </c>
      <c r="B104" s="7" t="str">
        <f>'Política de stock'!B104</f>
        <v>MP-59/ABC1</v>
      </c>
      <c r="C104" s="7" t="str">
        <f>'Política de stock'!C104</f>
        <v>Caja de cartón simple ABC 1 kg</v>
      </c>
      <c r="D104" s="7" t="str">
        <f>'Política de stock'!D104</f>
        <v>u</v>
      </c>
      <c r="E104" s="7" t="str">
        <f>'Política de stock'!E104</f>
        <v>Maxipack</v>
      </c>
      <c r="F104" s="7" t="str">
        <f>'Política de stock'!V104</f>
        <v>Embalaje</v>
      </c>
      <c r="G104" s="11">
        <f>'Política de stock'!G104</f>
        <v>844.2526629</v>
      </c>
      <c r="H104" s="11">
        <f>'Política de stock'!N104</f>
        <v>3714.711721</v>
      </c>
      <c r="I104" s="11">
        <f>'Política de stock'!U104</f>
        <v>16314.71172</v>
      </c>
      <c r="J104" s="13">
        <f t="shared" si="1"/>
        <v>19.32444212</v>
      </c>
      <c r="K104" s="14">
        <f>'Política de stock'!K104</f>
        <v>10</v>
      </c>
      <c r="L104" s="7" t="str">
        <f>IF(K104&gt;=UmbLT,"Alto","Bajo")</f>
        <v>Alto</v>
      </c>
      <c r="M104" s="16">
        <f>IF('Política de stock'!F104&gt;0,COUNTIFS('Política de stock'!$D$5:$D$119,D104,'Política de stock'!$F$5:$F$119,"&lt;"&amp;'Política de stock'!F104)/COUNTIF('Política de stock'!$D$5:$D$119,D104),0)</f>
        <v>0.9397590361</v>
      </c>
      <c r="N104" s="7" t="str">
        <f>IF(M104&gt;=UmbVol,"Alto","Bajo")</f>
        <v>Alto</v>
      </c>
      <c r="O104" s="7" t="str">
        <f t="shared" si="2"/>
        <v>Alta</v>
      </c>
      <c r="P104" s="11">
        <f>'Política de stock'!X104</f>
        <v>27.1911862</v>
      </c>
      <c r="Q104" s="5">
        <f>HuellaPallet</f>
        <v>1.2</v>
      </c>
      <c r="R104" s="5">
        <f>NivPallet</f>
        <v>4</v>
      </c>
      <c r="S104" s="17">
        <f t="shared" si="3"/>
        <v>8.15735586</v>
      </c>
      <c r="T104" s="5"/>
      <c r="U104" s="7" t="str">
        <f>IF(T104&lt;&gt;"",T104,IF(S104&lt;=UmbCajon,"Puesto de trabajo","Almacén"))</f>
        <v>Almacén</v>
      </c>
      <c r="V104" s="15">
        <f t="shared" si="4"/>
        <v>28</v>
      </c>
      <c r="W104" s="11">
        <f t="shared" si="5"/>
        <v>8.4</v>
      </c>
      <c r="X104" s="11">
        <f>W104*CoefCirc</f>
        <v>12.6</v>
      </c>
      <c r="Y104" s="7"/>
      <c r="Z104" s="11">
        <f t="shared" si="6"/>
        <v>12.600104</v>
      </c>
      <c r="AA104" s="7" t="str">
        <f t="shared" si="7"/>
        <v>Embalaje|Almacén|19,324442</v>
      </c>
    </row>
    <row r="105" ht="15.75" customHeight="1">
      <c r="A105" s="7" t="str">
        <f>'Política de stock'!A105</f>
        <v>P101</v>
      </c>
      <c r="B105" s="7" t="str">
        <f>'Política de stock'!B105</f>
        <v>MP-59/ABC2.5</v>
      </c>
      <c r="C105" s="7" t="str">
        <f>'Política de stock'!C105</f>
        <v>Caja de cartón simple ABC 2,5 kg</v>
      </c>
      <c r="D105" s="7" t="str">
        <f>'Política de stock'!D105</f>
        <v>u</v>
      </c>
      <c r="E105" s="7" t="str">
        <f>'Política de stock'!E105</f>
        <v>Maxipack</v>
      </c>
      <c r="F105" s="7" t="str">
        <f>'Política de stock'!V105</f>
        <v>Embalaje</v>
      </c>
      <c r="G105" s="11">
        <f>'Política de stock'!G105</f>
        <v>58.72441</v>
      </c>
      <c r="H105" s="11">
        <f>'Política de stock'!N105</f>
        <v>187.9181</v>
      </c>
      <c r="I105" s="11">
        <f>'Política de stock'!U105</f>
        <v>1387.9181</v>
      </c>
      <c r="J105" s="13">
        <f t="shared" si="1"/>
        <v>23.63443243</v>
      </c>
      <c r="K105" s="14">
        <f>'Política de stock'!K105</f>
        <v>10</v>
      </c>
      <c r="L105" s="7" t="str">
        <f>IF(K105&gt;=UmbLT,"Alto","Bajo")</f>
        <v>Alto</v>
      </c>
      <c r="M105" s="16">
        <f>IF('Política de stock'!F105&gt;0,COUNTIFS('Política de stock'!$D$5:$D$119,D105,'Política de stock'!$F$5:$F$119,"&lt;"&amp;'Política de stock'!F105)/COUNTIF('Política de stock'!$D$5:$D$119,D105),0)</f>
        <v>0.5903614458</v>
      </c>
      <c r="N105" s="7" t="str">
        <f>IF(M105&gt;=UmbVol,"Alto","Bajo")</f>
        <v>Alto</v>
      </c>
      <c r="O105" s="7" t="str">
        <f t="shared" si="2"/>
        <v>Alta</v>
      </c>
      <c r="P105" s="11">
        <f>'Política de stock'!X105</f>
        <v>2.313196833</v>
      </c>
      <c r="Q105" s="5">
        <f>HuellaPallet</f>
        <v>1.2</v>
      </c>
      <c r="R105" s="5">
        <f>NivPallet</f>
        <v>4</v>
      </c>
      <c r="S105" s="17">
        <f t="shared" si="3"/>
        <v>0.69395905</v>
      </c>
      <c r="T105" s="5"/>
      <c r="U105" s="7" t="str">
        <f>IF(T105&lt;&gt;"",T105,IF(S105&lt;=UmbCajon,"Puesto de trabajo","Almacén"))</f>
        <v>Almacén</v>
      </c>
      <c r="V105" s="15">
        <f t="shared" si="4"/>
        <v>3</v>
      </c>
      <c r="W105" s="11">
        <f t="shared" si="5"/>
        <v>1.2</v>
      </c>
      <c r="X105" s="11">
        <f>W105*CoefCirc</f>
        <v>1.8</v>
      </c>
      <c r="Y105" s="7"/>
      <c r="Z105" s="11">
        <f t="shared" si="6"/>
        <v>1.800105</v>
      </c>
      <c r="AA105" s="7" t="str">
        <f t="shared" si="7"/>
        <v>Embalaje|Almacén|23,634432</v>
      </c>
    </row>
    <row r="106" ht="15.75" customHeight="1">
      <c r="A106" s="7" t="str">
        <f>'Política de stock'!A106</f>
        <v>P102</v>
      </c>
      <c r="B106" s="7" t="str">
        <f>'Política de stock'!B106</f>
        <v>MP-59/ABC5</v>
      </c>
      <c r="C106" s="7" t="str">
        <f>'Política de stock'!C106</f>
        <v>Caja de cartón simple ABC 5 kg</v>
      </c>
      <c r="D106" s="7" t="str">
        <f>'Política de stock'!D106</f>
        <v>u</v>
      </c>
      <c r="E106" s="7" t="str">
        <f>'Política de stock'!E106</f>
        <v>Maxipack</v>
      </c>
      <c r="F106" s="7" t="str">
        <f>'Política de stock'!V106</f>
        <v>Embalaje</v>
      </c>
      <c r="G106" s="11">
        <f>'Política de stock'!G106</f>
        <v>272.3526717</v>
      </c>
      <c r="H106" s="11">
        <f>'Política de stock'!N106</f>
        <v>871.5285333</v>
      </c>
      <c r="I106" s="11">
        <f>'Política de stock'!U106</f>
        <v>4471.528533</v>
      </c>
      <c r="J106" s="13">
        <f t="shared" si="1"/>
        <v>16.41815557</v>
      </c>
      <c r="K106" s="14">
        <f>'Política de stock'!K106</f>
        <v>10</v>
      </c>
      <c r="L106" s="7" t="str">
        <f>IF(K106&gt;=UmbLT,"Alto","Bajo")</f>
        <v>Alto</v>
      </c>
      <c r="M106" s="16">
        <f>IF('Política de stock'!F106&gt;0,COUNTIFS('Política de stock'!$D$5:$D$119,D106,'Política de stock'!$F$5:$F$119,"&lt;"&amp;'Política de stock'!F106)/COUNTIF('Política de stock'!$D$5:$D$119,D106),0)</f>
        <v>0.7590361446</v>
      </c>
      <c r="N106" s="7" t="str">
        <f>IF(M106&gt;=UmbVol,"Alto","Bajo")</f>
        <v>Alto</v>
      </c>
      <c r="O106" s="7" t="str">
        <f t="shared" si="2"/>
        <v>Alta</v>
      </c>
      <c r="P106" s="11">
        <f>'Política de stock'!X106</f>
        <v>7.452547556</v>
      </c>
      <c r="Q106" s="5">
        <f>HuellaPallet</f>
        <v>1.2</v>
      </c>
      <c r="R106" s="5">
        <f>NivPallet</f>
        <v>4</v>
      </c>
      <c r="S106" s="17">
        <f t="shared" si="3"/>
        <v>2.235764267</v>
      </c>
      <c r="T106" s="5"/>
      <c r="U106" s="7" t="str">
        <f>IF(T106&lt;&gt;"",T106,IF(S106&lt;=UmbCajon,"Puesto de trabajo","Almacén"))</f>
        <v>Almacén</v>
      </c>
      <c r="V106" s="15">
        <f t="shared" si="4"/>
        <v>8</v>
      </c>
      <c r="W106" s="11">
        <f t="shared" si="5"/>
        <v>2.4</v>
      </c>
      <c r="X106" s="11">
        <f>W106*CoefCirc</f>
        <v>3.6</v>
      </c>
      <c r="Y106" s="7"/>
      <c r="Z106" s="11">
        <f t="shared" si="6"/>
        <v>3.600106</v>
      </c>
      <c r="AA106" s="7" t="str">
        <f t="shared" si="7"/>
        <v>Embalaje|Almacén|16,418156</v>
      </c>
    </row>
    <row r="107" ht="15.75" customHeight="1">
      <c r="A107" s="7" t="str">
        <f>'Política de stock'!A107</f>
        <v>P103</v>
      </c>
      <c r="B107" s="7" t="str">
        <f>'Política de stock'!B107</f>
        <v>MP-59/ABC10</v>
      </c>
      <c r="C107" s="7" t="str">
        <f>'Política de stock'!C107</f>
        <v>Caja de cartón doble ABC 10 kg</v>
      </c>
      <c r="D107" s="7" t="str">
        <f>'Política de stock'!D107</f>
        <v>u</v>
      </c>
      <c r="E107" s="7" t="str">
        <f>'Política de stock'!E107</f>
        <v>Maxipack</v>
      </c>
      <c r="F107" s="7" t="str">
        <f>'Política de stock'!V107</f>
        <v>Embalaje</v>
      </c>
      <c r="G107" s="11">
        <f>'Política de stock'!G107</f>
        <v>16.05942458</v>
      </c>
      <c r="H107" s="11">
        <f>'Política de stock'!N107</f>
        <v>51.39015417</v>
      </c>
      <c r="I107" s="11">
        <f>'Política de stock'!U107</f>
        <v>651.3901542</v>
      </c>
      <c r="J107" s="13">
        <f t="shared" si="1"/>
        <v>40.56123872</v>
      </c>
      <c r="K107" s="14">
        <f>'Política de stock'!K107</f>
        <v>10</v>
      </c>
      <c r="L107" s="7" t="str">
        <f>IF(K107&gt;=UmbLT,"Alto","Bajo")</f>
        <v>Alto</v>
      </c>
      <c r="M107" s="16">
        <f>IF('Política de stock'!F107&gt;0,COUNTIFS('Política de stock'!$D$5:$D$119,D107,'Política de stock'!$F$5:$F$119,"&lt;"&amp;'Política de stock'!F107)/COUNTIF('Política de stock'!$D$5:$D$119,D107),0)</f>
        <v>0.5180722892</v>
      </c>
      <c r="N107" s="7" t="str">
        <f>IF(M107&gt;=UmbVol,"Alto","Bajo")</f>
        <v>Alto</v>
      </c>
      <c r="O107" s="7" t="str">
        <f t="shared" si="2"/>
        <v>Alta</v>
      </c>
      <c r="P107" s="11">
        <f>'Política de stock'!X107</f>
        <v>1.085650257</v>
      </c>
      <c r="Q107" s="5">
        <f>HuellaPallet</f>
        <v>1.2</v>
      </c>
      <c r="R107" s="5">
        <f>NivPallet</f>
        <v>4</v>
      </c>
      <c r="S107" s="17">
        <f t="shared" si="3"/>
        <v>0.3256950771</v>
      </c>
      <c r="T107" s="5"/>
      <c r="U107" s="7" t="str">
        <f>IF(T107&lt;&gt;"",T107,IF(S107&lt;=UmbCajon,"Puesto de trabajo","Almacén"))</f>
        <v>Almacén</v>
      </c>
      <c r="V107" s="15">
        <f t="shared" si="4"/>
        <v>2</v>
      </c>
      <c r="W107" s="11">
        <f t="shared" si="5"/>
        <v>1.2</v>
      </c>
      <c r="X107" s="11">
        <f>W107*CoefCirc</f>
        <v>1.8</v>
      </c>
      <c r="Y107" s="7"/>
      <c r="Z107" s="11">
        <f t="shared" si="6"/>
        <v>1.800107</v>
      </c>
      <c r="AA107" s="7" t="str">
        <f t="shared" si="7"/>
        <v>Embalaje|Almacén|40,561239</v>
      </c>
    </row>
    <row r="108" ht="15.75" customHeight="1">
      <c r="A108" s="7" t="str">
        <f>'Política de stock'!A108</f>
        <v>P104</v>
      </c>
      <c r="B108" s="7" t="str">
        <f>'Política de stock'!B108</f>
        <v>MP-89</v>
      </c>
      <c r="C108" s="7" t="str">
        <f>'Política de stock'!C108</f>
        <v>Etiqueta de caja</v>
      </c>
      <c r="D108" s="7" t="str">
        <f>'Política de stock'!D108</f>
        <v>u</v>
      </c>
      <c r="E108" s="7" t="str">
        <f>'Política de stock'!E108</f>
        <v>Astuprint</v>
      </c>
      <c r="F108" s="7" t="str">
        <f>'Política de stock'!V108</f>
        <v>Embalaje</v>
      </c>
      <c r="G108" s="11">
        <f>'Política de stock'!G108</f>
        <v>1191.38917</v>
      </c>
      <c r="H108" s="11">
        <f>'Política de stock'!N108</f>
        <v>4825.548554</v>
      </c>
      <c r="I108" s="11">
        <f>'Política de stock'!U108</f>
        <v>38825.54855</v>
      </c>
      <c r="J108" s="13">
        <f t="shared" si="1"/>
        <v>32.58846861</v>
      </c>
      <c r="K108" s="14">
        <f>'Política de stock'!K108</f>
        <v>10</v>
      </c>
      <c r="L108" s="7" t="str">
        <f>IF(K108&gt;=UmbLT,"Alto","Bajo")</f>
        <v>Alto</v>
      </c>
      <c r="M108" s="16">
        <f>IF('Política de stock'!F108&gt;0,COUNTIFS('Política de stock'!$D$5:$D$119,D108,'Política de stock'!$F$5:$F$119,"&lt;"&amp;'Política de stock'!F108)/COUNTIF('Política de stock'!$D$5:$D$119,D108),0)</f>
        <v>0.9879518072</v>
      </c>
      <c r="N108" s="7" t="str">
        <f>IF(M108&gt;=UmbVol,"Alto","Bajo")</f>
        <v>Alto</v>
      </c>
      <c r="O108" s="7" t="str">
        <f t="shared" si="2"/>
        <v>Alta</v>
      </c>
      <c r="P108" s="11">
        <f>'Política de stock'!X108</f>
        <v>1.941277428</v>
      </c>
      <c r="Q108" s="5">
        <v>0.6</v>
      </c>
      <c r="R108" s="5">
        <v>5.0</v>
      </c>
      <c r="S108" s="17">
        <f t="shared" si="3"/>
        <v>0.2329532913</v>
      </c>
      <c r="T108" s="5"/>
      <c r="U108" s="7" t="str">
        <f>IF(T108&lt;&gt;"",T108,IF(S108&lt;=UmbCajon,"Puesto de trabajo","Almacén"))</f>
        <v>Almacén</v>
      </c>
      <c r="V108" s="15">
        <f t="shared" si="4"/>
        <v>2</v>
      </c>
      <c r="W108" s="11">
        <f t="shared" si="5"/>
        <v>0.6</v>
      </c>
      <c r="X108" s="11">
        <f>W108*CoefCirc</f>
        <v>0.9</v>
      </c>
      <c r="Y108" s="7"/>
      <c r="Z108" s="11">
        <f t="shared" si="6"/>
        <v>0.900108</v>
      </c>
      <c r="AA108" s="7" t="str">
        <f t="shared" si="7"/>
        <v>Embalaje|Almacén|32,588469</v>
      </c>
    </row>
    <row r="109" ht="15.75" customHeight="1">
      <c r="A109" s="7" t="str">
        <f>'Política de stock'!A109</f>
        <v>P105</v>
      </c>
      <c r="B109" s="7" t="str">
        <f>'Política de stock'!B109</f>
        <v>MP-60</v>
      </c>
      <c r="C109" s="7" t="str">
        <f>'Política de stock'!C109</f>
        <v>Pallet de madera 1200 × 1000</v>
      </c>
      <c r="D109" s="7" t="str">
        <f>'Política de stock'!D109</f>
        <v>u</v>
      </c>
      <c r="E109" s="7" t="str">
        <f>'Política de stock'!E109</f>
        <v>IndusPallets</v>
      </c>
      <c r="F109" s="7" t="str">
        <f>'Política de stock'!V109</f>
        <v>Embalaje</v>
      </c>
      <c r="G109" s="11">
        <f>'Política de stock'!G109</f>
        <v>6.452054167</v>
      </c>
      <c r="H109" s="11">
        <f>'Política de stock'!N109</f>
        <v>10.91507917</v>
      </c>
      <c r="I109" s="11">
        <f>'Política de stock'!U109</f>
        <v>100.9150792</v>
      </c>
      <c r="J109" s="13">
        <f t="shared" si="1"/>
        <v>15.64076751</v>
      </c>
      <c r="K109" s="14">
        <f>'Política de stock'!K109</f>
        <v>5</v>
      </c>
      <c r="L109" s="7" t="str">
        <f>IF(K109&gt;=UmbLT,"Alto","Bajo")</f>
        <v>Bajo</v>
      </c>
      <c r="M109" s="16">
        <f>IF('Política de stock'!F109&gt;0,COUNTIFS('Política de stock'!$D$5:$D$119,D109,'Política de stock'!$F$5:$F$119,"&lt;"&amp;'Política de stock'!F109)/COUNTIF('Política de stock'!$D$5:$D$119,D109),0)</f>
        <v>0.3493975904</v>
      </c>
      <c r="N109" s="7" t="str">
        <f>IF(M109&gt;=UmbVol,"Alto","Bajo")</f>
        <v>Bajo</v>
      </c>
      <c r="O109" s="7" t="str">
        <f t="shared" si="2"/>
        <v>Baja</v>
      </c>
      <c r="P109" s="11">
        <f>'Política de stock'!X109</f>
        <v>6.727671944</v>
      </c>
      <c r="Q109" s="5">
        <f>HuellaPallet</f>
        <v>1.2</v>
      </c>
      <c r="R109" s="5">
        <v>1.0</v>
      </c>
      <c r="S109" s="17">
        <f t="shared" si="3"/>
        <v>8.073206333</v>
      </c>
      <c r="T109" s="5"/>
      <c r="U109" s="7" t="str">
        <f>IF(T109&lt;&gt;"",T109,IF(S109&lt;=UmbCajon,"Puesto de trabajo","Almacén"))</f>
        <v>Almacén</v>
      </c>
      <c r="V109" s="15">
        <f t="shared" si="4"/>
        <v>7</v>
      </c>
      <c r="W109" s="11">
        <f t="shared" si="5"/>
        <v>8.4</v>
      </c>
      <c r="X109" s="11">
        <f>W109*CoefCirc</f>
        <v>12.6</v>
      </c>
      <c r="Y109" s="7"/>
      <c r="Z109" s="11">
        <f t="shared" si="6"/>
        <v>12.600109</v>
      </c>
      <c r="AA109" s="7" t="str">
        <f t="shared" si="7"/>
        <v>Embalaje|Almacén|15,640768</v>
      </c>
    </row>
    <row r="110" ht="15.75" customHeight="1">
      <c r="A110" s="7" t="str">
        <f>'Política de stock'!A110</f>
        <v>P106</v>
      </c>
      <c r="B110" s="7" t="str">
        <f>'Política de stock'!B110</f>
        <v>MP-90</v>
      </c>
      <c r="C110" s="7" t="str">
        <f>'Política de stock'!C110</f>
        <v>Etiqueta de pallet</v>
      </c>
      <c r="D110" s="7" t="str">
        <f>'Política de stock'!D110</f>
        <v>u</v>
      </c>
      <c r="E110" s="7" t="str">
        <f>'Política de stock'!E110</f>
        <v>Astuprint</v>
      </c>
      <c r="F110" s="7" t="str">
        <f>'Política de stock'!V110</f>
        <v>Embalaje</v>
      </c>
      <c r="G110" s="11">
        <f>'Política de stock'!G110</f>
        <v>6.452054167</v>
      </c>
      <c r="H110" s="11">
        <f>'Política de stock'!N110</f>
        <v>21.83015833</v>
      </c>
      <c r="I110" s="11">
        <f>'Política de stock'!U110</f>
        <v>1021.830158</v>
      </c>
      <c r="J110" s="13">
        <f t="shared" si="1"/>
        <v>158.3728425</v>
      </c>
      <c r="K110" s="14">
        <f>'Política de stock'!K110</f>
        <v>10</v>
      </c>
      <c r="L110" s="7" t="str">
        <f>IF(K110&gt;=UmbLT,"Alto","Bajo")</f>
        <v>Alto</v>
      </c>
      <c r="M110" s="16">
        <f>IF('Política de stock'!F110&gt;0,COUNTIFS('Política de stock'!$D$5:$D$119,D110,'Política de stock'!$F$5:$F$119,"&lt;"&amp;'Política de stock'!F110)/COUNTIF('Política de stock'!$D$5:$D$119,D110),0)</f>
        <v>0.3493975904</v>
      </c>
      <c r="N110" s="7" t="str">
        <f>IF(M110&gt;=UmbVol,"Alto","Bajo")</f>
        <v>Bajo</v>
      </c>
      <c r="O110" s="7" t="str">
        <f t="shared" si="2"/>
        <v>Media</v>
      </c>
      <c r="P110" s="11">
        <f>'Política de stock'!X110</f>
        <v>0.05109150792</v>
      </c>
      <c r="Q110" s="5">
        <v>0.6</v>
      </c>
      <c r="R110" s="5">
        <v>5.0</v>
      </c>
      <c r="S110" s="17">
        <f t="shared" si="3"/>
        <v>0.00613098095</v>
      </c>
      <c r="T110" s="5"/>
      <c r="U110" s="7" t="str">
        <f>IF(T110&lt;&gt;"",T110,IF(S110&lt;=UmbCajon,"Puesto de trabajo","Almacén"))</f>
        <v>Puesto de trabajo</v>
      </c>
      <c r="V110" s="15">
        <f t="shared" si="4"/>
        <v>0</v>
      </c>
      <c r="W110" s="11">
        <f t="shared" si="5"/>
        <v>0</v>
      </c>
      <c r="X110" s="11">
        <f>W110*CoefCirc</f>
        <v>0</v>
      </c>
      <c r="Y110" s="7"/>
      <c r="Z110" s="11">
        <f t="shared" si="6"/>
        <v>0.00011</v>
      </c>
      <c r="AA110" s="7" t="str">
        <f t="shared" si="7"/>
        <v>Embalaje|Puesto de trabajo|158,372842</v>
      </c>
    </row>
    <row r="111" ht="15.75" customHeight="1">
      <c r="A111" s="7" t="str">
        <f>'Política de stock'!A111</f>
        <v>P107</v>
      </c>
      <c r="B111" s="7" t="str">
        <f>'Política de stock'!B111</f>
        <v>RV-AGUA_10l</v>
      </c>
      <c r="C111" s="7" t="str">
        <f>'Política de stock'!C111</f>
        <v>Matafuego Agua 10 l (reventa)</v>
      </c>
      <c r="D111" s="7" t="str">
        <f>'Política de stock'!D111</f>
        <v>u</v>
      </c>
      <c r="E111" s="7" t="str">
        <f>'Política de stock'!E111</f>
        <v>Fabricante nacional</v>
      </c>
      <c r="F111" s="7" t="str">
        <f>'Política de stock'!V111</f>
        <v>Almacén de producto terminado</v>
      </c>
      <c r="G111" s="11">
        <f>'Política de stock'!G111</f>
        <v>12.11978875</v>
      </c>
      <c r="H111" s="11">
        <f>'Política de stock'!N111</f>
        <v>77.566625</v>
      </c>
      <c r="I111" s="11">
        <f>'Política de stock'!U111</f>
        <v>397.566625</v>
      </c>
      <c r="J111" s="13">
        <f t="shared" si="1"/>
        <v>32.80309857</v>
      </c>
      <c r="K111" s="14">
        <f>'Política de stock'!K111</f>
        <v>20</v>
      </c>
      <c r="L111" s="7" t="str">
        <f>IF(K111&gt;=UmbLT,"Alto","Bajo")</f>
        <v>Alto</v>
      </c>
      <c r="M111" s="16">
        <f>IF('Política de stock'!F111&gt;0,COUNTIFS('Política de stock'!$D$5:$D$119,D111,'Política de stock'!$F$5:$F$119,"&lt;"&amp;'Política de stock'!F111)/COUNTIF('Política de stock'!$D$5:$D$119,D111),0)</f>
        <v>0.4578313253</v>
      </c>
      <c r="N111" s="7" t="str">
        <f>IF(M111&gt;=UmbVol,"Alto","Bajo")</f>
        <v>Bajo</v>
      </c>
      <c r="O111" s="7" t="str">
        <f t="shared" si="2"/>
        <v>Media</v>
      </c>
      <c r="P111" s="11">
        <f>'Política de stock'!X111</f>
        <v>2.208703472</v>
      </c>
      <c r="Q111" s="5">
        <f>HuellaPallet</f>
        <v>1.2</v>
      </c>
      <c r="R111" s="5">
        <f>NivPallet</f>
        <v>4</v>
      </c>
      <c r="S111" s="17">
        <f t="shared" si="3"/>
        <v>0.6626110417</v>
      </c>
      <c r="T111" s="5"/>
      <c r="U111" s="7" t="str">
        <f>IF(T111&lt;&gt;"",T111,IF(S111&lt;=UmbCajon,"Puesto de trabajo","Almacén"))</f>
        <v>Almacén</v>
      </c>
      <c r="V111" s="15">
        <f t="shared" si="4"/>
        <v>3</v>
      </c>
      <c r="W111" s="11">
        <f t="shared" si="5"/>
        <v>1.2</v>
      </c>
      <c r="X111" s="11">
        <f>W111*CoefCirc</f>
        <v>1.8</v>
      </c>
      <c r="Y111" s="7"/>
      <c r="Z111" s="11">
        <f t="shared" si="6"/>
        <v>1.800111</v>
      </c>
      <c r="AA111" s="7" t="str">
        <f t="shared" si="7"/>
        <v>Almacén de producto terminado|Almacén|32,803099</v>
      </c>
    </row>
    <row r="112" ht="15.75" customHeight="1">
      <c r="A112" s="7" t="str">
        <f>'Política de stock'!A112</f>
        <v>P108</v>
      </c>
      <c r="B112" s="7" t="str">
        <f>'Política de stock'!B112</f>
        <v>RV-AFFF_10l</v>
      </c>
      <c r="C112" s="7" t="str">
        <f>'Política de stock'!C112</f>
        <v>Matafuego AFFF 10 l (reventa)</v>
      </c>
      <c r="D112" s="7" t="str">
        <f>'Política de stock'!D112</f>
        <v>u</v>
      </c>
      <c r="E112" s="7" t="str">
        <f>'Política de stock'!E112</f>
        <v>Fabricante nacional</v>
      </c>
      <c r="F112" s="7" t="str">
        <f>'Política de stock'!V112</f>
        <v>Almacén de producto terminado</v>
      </c>
      <c r="G112" s="11">
        <f>'Política de stock'!G112</f>
        <v>4.048595</v>
      </c>
      <c r="H112" s="11">
        <f>'Política de stock'!N112</f>
        <v>25.911</v>
      </c>
      <c r="I112" s="11">
        <f>'Política de stock'!U112</f>
        <v>132.911</v>
      </c>
      <c r="J112" s="13">
        <f t="shared" si="1"/>
        <v>32.82891966</v>
      </c>
      <c r="K112" s="14">
        <f>'Política de stock'!K112</f>
        <v>20</v>
      </c>
      <c r="L112" s="7" t="str">
        <f>IF(K112&gt;=UmbLT,"Alto","Bajo")</f>
        <v>Alto</v>
      </c>
      <c r="M112" s="16">
        <f>IF('Política de stock'!F112&gt;0,COUNTIFS('Política de stock'!$D$5:$D$119,D112,'Política de stock'!$F$5:$F$119,"&lt;"&amp;'Política de stock'!F112)/COUNTIF('Política de stock'!$D$5:$D$119,D112),0)</f>
        <v>0.2891566265</v>
      </c>
      <c r="N112" s="7" t="str">
        <f>IF(M112&gt;=UmbVol,"Alto","Bajo")</f>
        <v>Bajo</v>
      </c>
      <c r="O112" s="7" t="str">
        <f t="shared" si="2"/>
        <v>Media</v>
      </c>
      <c r="P112" s="11">
        <f>'Política de stock'!X112</f>
        <v>0.7383944444</v>
      </c>
      <c r="Q112" s="5">
        <f>HuellaPallet</f>
        <v>1.2</v>
      </c>
      <c r="R112" s="5">
        <f>NivPallet</f>
        <v>4</v>
      </c>
      <c r="S112" s="17">
        <f t="shared" si="3"/>
        <v>0.2215183333</v>
      </c>
      <c r="T112" s="5"/>
      <c r="U112" s="7" t="str">
        <f>IF(T112&lt;&gt;"",T112,IF(S112&lt;=UmbCajon,"Puesto de trabajo","Almacén"))</f>
        <v>Almacén</v>
      </c>
      <c r="V112" s="15">
        <f t="shared" si="4"/>
        <v>1</v>
      </c>
      <c r="W112" s="11">
        <f t="shared" si="5"/>
        <v>1.2</v>
      </c>
      <c r="X112" s="11">
        <f>W112*CoefCirc</f>
        <v>1.8</v>
      </c>
      <c r="Y112" s="7"/>
      <c r="Z112" s="11">
        <f t="shared" si="6"/>
        <v>1.800112</v>
      </c>
      <c r="AA112" s="7" t="str">
        <f t="shared" si="7"/>
        <v>Almacén de producto terminado|Almacén|32,82892</v>
      </c>
    </row>
    <row r="113" ht="15.75" customHeight="1">
      <c r="A113" s="7" t="str">
        <f>'Política de stock'!A113</f>
        <v>P109</v>
      </c>
      <c r="B113" s="7" t="str">
        <f>'Política de stock'!B113</f>
        <v>RV-AFFF_50l</v>
      </c>
      <c r="C113" s="7" t="str">
        <f>'Política de stock'!C113</f>
        <v>Matafuego AFFF 50 l (reventa)</v>
      </c>
      <c r="D113" s="7" t="str">
        <f>'Política de stock'!D113</f>
        <v>u</v>
      </c>
      <c r="E113" s="7" t="str">
        <f>'Política de stock'!E113</f>
        <v>Fabricante nacional</v>
      </c>
      <c r="F113" s="7" t="str">
        <f>'Política de stock'!V113</f>
        <v>Almacén de producto terminado</v>
      </c>
      <c r="G113" s="11">
        <f>'Política de stock'!G113</f>
        <v>1.73546875</v>
      </c>
      <c r="H113" s="11">
        <f>'Política de stock'!N113</f>
        <v>0</v>
      </c>
      <c r="I113" s="11">
        <f>'Política de stock'!U113</f>
        <v>34</v>
      </c>
      <c r="J113" s="13">
        <f t="shared" si="1"/>
        <v>19.59124876</v>
      </c>
      <c r="K113" s="14">
        <f>'Política de stock'!K113</f>
        <v>20</v>
      </c>
      <c r="L113" s="7" t="str">
        <f>IF(K113&gt;=UmbLT,"Alto","Bajo")</f>
        <v>Alto</v>
      </c>
      <c r="M113" s="16">
        <f>IF('Política de stock'!F113&gt;0,COUNTIFS('Política de stock'!$D$5:$D$119,D113,'Política de stock'!$F$5:$F$119,"&lt;"&amp;'Política de stock'!F113)/COUNTIF('Política de stock'!$D$5:$D$119,D113),0)</f>
        <v>0.1927710843</v>
      </c>
      <c r="N113" s="7" t="str">
        <f>IF(M113&gt;=UmbVol,"Alto","Bajo")</f>
        <v>Bajo</v>
      </c>
      <c r="O113" s="7" t="str">
        <f t="shared" si="2"/>
        <v>Media</v>
      </c>
      <c r="P113" s="11">
        <f>'Política de stock'!X113</f>
        <v>0.5666666667</v>
      </c>
      <c r="Q113" s="5">
        <f>HuellaPallet</f>
        <v>1.2</v>
      </c>
      <c r="R113" s="5">
        <f>NivPallet</f>
        <v>4</v>
      </c>
      <c r="S113" s="17">
        <f t="shared" si="3"/>
        <v>0.17</v>
      </c>
      <c r="T113" s="5"/>
      <c r="U113" s="7" t="str">
        <f>IF(T113&lt;&gt;"",T113,IF(S113&lt;=UmbCajon,"Puesto de trabajo","Almacén"))</f>
        <v>Almacén</v>
      </c>
      <c r="V113" s="15">
        <f t="shared" si="4"/>
        <v>1</v>
      </c>
      <c r="W113" s="11">
        <f t="shared" si="5"/>
        <v>1.2</v>
      </c>
      <c r="X113" s="11">
        <f>W113*CoefCirc</f>
        <v>1.8</v>
      </c>
      <c r="Y113" s="7"/>
      <c r="Z113" s="11">
        <f t="shared" si="6"/>
        <v>1.800113</v>
      </c>
      <c r="AA113" s="7" t="str">
        <f t="shared" si="7"/>
        <v>Almacén de producto terminado|Almacén|19,591249</v>
      </c>
    </row>
    <row r="114" ht="15.75" customHeight="1">
      <c r="A114" s="7" t="str">
        <f>'Política de stock'!A114</f>
        <v>P110</v>
      </c>
      <c r="B114" s="7" t="str">
        <f>'Política de stock'!B114</f>
        <v>RV-BC_5kg</v>
      </c>
      <c r="C114" s="7" t="str">
        <f>'Política de stock'!C114</f>
        <v>Matafuego BC 5 kg (reventa)</v>
      </c>
      <c r="D114" s="7" t="str">
        <f>'Política de stock'!D114</f>
        <v>u</v>
      </c>
      <c r="E114" s="7" t="str">
        <f>'Política de stock'!E114</f>
        <v>Fabricante nacional</v>
      </c>
      <c r="F114" s="7" t="str">
        <f>'Política de stock'!V114</f>
        <v>Almacén de producto terminado</v>
      </c>
      <c r="G114" s="11">
        <f>'Política de stock'!G114</f>
        <v>1.157383333</v>
      </c>
      <c r="H114" s="11">
        <f>'Política de stock'!N114</f>
        <v>7.407233333</v>
      </c>
      <c r="I114" s="11">
        <f>'Política de stock'!U114</f>
        <v>38.40723333</v>
      </c>
      <c r="J114" s="13">
        <f t="shared" si="1"/>
        <v>33.18453984</v>
      </c>
      <c r="K114" s="14">
        <f>'Política de stock'!K114</f>
        <v>20</v>
      </c>
      <c r="L114" s="7" t="str">
        <f>IF(K114&gt;=UmbLT,"Alto","Bajo")</f>
        <v>Alto</v>
      </c>
      <c r="M114" s="16">
        <f>IF('Política de stock'!F114&gt;0,COUNTIFS('Política de stock'!$D$5:$D$119,D114,'Política de stock'!$F$5:$F$119,"&lt;"&amp;'Política de stock'!F114)/COUNTIF('Política de stock'!$D$5:$D$119,D114),0)</f>
        <v>0.1686746988</v>
      </c>
      <c r="N114" s="7" t="str">
        <f>IF(M114&gt;=UmbVol,"Alto","Bajo")</f>
        <v>Bajo</v>
      </c>
      <c r="O114" s="7" t="str">
        <f t="shared" si="2"/>
        <v>Media</v>
      </c>
      <c r="P114" s="11">
        <f>'Política de stock'!X114</f>
        <v>0.2133735185</v>
      </c>
      <c r="Q114" s="5">
        <f>HuellaPallet</f>
        <v>1.2</v>
      </c>
      <c r="R114" s="5">
        <f>NivPallet</f>
        <v>4</v>
      </c>
      <c r="S114" s="17">
        <f t="shared" si="3"/>
        <v>0.06401205556</v>
      </c>
      <c r="T114" s="5"/>
      <c r="U114" s="7" t="str">
        <f>IF(T114&lt;&gt;"",T114,IF(S114&lt;=UmbCajon,"Puesto de trabajo","Almacén"))</f>
        <v>Puesto de trabajo</v>
      </c>
      <c r="V114" s="15">
        <f t="shared" si="4"/>
        <v>0</v>
      </c>
      <c r="W114" s="11">
        <f t="shared" si="5"/>
        <v>0</v>
      </c>
      <c r="X114" s="11">
        <f>W114*CoefCirc</f>
        <v>0</v>
      </c>
      <c r="Y114" s="7"/>
      <c r="Z114" s="11">
        <f t="shared" si="6"/>
        <v>0.000114</v>
      </c>
      <c r="AA114" s="7" t="str">
        <f t="shared" si="7"/>
        <v>Almacén de producto terminado|Puesto de trabajo|33,18454</v>
      </c>
    </row>
    <row r="115" ht="15.75" customHeight="1">
      <c r="A115" s="7" t="str">
        <f>'Política de stock'!A115</f>
        <v>P111</v>
      </c>
      <c r="B115" s="7" t="str">
        <f>'Política de stock'!B115</f>
        <v>RV-SALESK_6l</v>
      </c>
      <c r="C115" s="7" t="str">
        <f>'Política de stock'!C115</f>
        <v>Matafuego Clase K 6 l (reventa)</v>
      </c>
      <c r="D115" s="7" t="str">
        <f>'Política de stock'!D115</f>
        <v>u</v>
      </c>
      <c r="E115" s="7" t="str">
        <f>'Política de stock'!E115</f>
        <v>Fabricante nacional</v>
      </c>
      <c r="F115" s="7" t="str">
        <f>'Política de stock'!V115</f>
        <v>Almacén de producto terminado</v>
      </c>
      <c r="G115" s="11">
        <f>'Política de stock'!G115</f>
        <v>6.878674167</v>
      </c>
      <c r="H115" s="11">
        <f>'Política de stock'!N115</f>
        <v>44.02351667</v>
      </c>
      <c r="I115" s="11">
        <f>'Política de stock'!U115</f>
        <v>226.0235167</v>
      </c>
      <c r="J115" s="13">
        <f t="shared" si="1"/>
        <v>32.85858745</v>
      </c>
      <c r="K115" s="14">
        <f>'Política de stock'!K115</f>
        <v>20</v>
      </c>
      <c r="L115" s="7" t="str">
        <f>IF(K115&gt;=UmbLT,"Alto","Bajo")</f>
        <v>Alto</v>
      </c>
      <c r="M115" s="16">
        <f>IF('Política de stock'!F115&gt;0,COUNTIFS('Política de stock'!$D$5:$D$119,D115,'Política de stock'!$F$5:$F$119,"&lt;"&amp;'Política de stock'!F115)/COUNTIF('Política de stock'!$D$5:$D$119,D115),0)</f>
        <v>0.3855421687</v>
      </c>
      <c r="N115" s="7" t="str">
        <f>IF(M115&gt;=UmbVol,"Alto","Bajo")</f>
        <v>Bajo</v>
      </c>
      <c r="O115" s="7" t="str">
        <f t="shared" si="2"/>
        <v>Media</v>
      </c>
      <c r="P115" s="11">
        <f>'Política de stock'!X115</f>
        <v>1.255686204</v>
      </c>
      <c r="Q115" s="5">
        <f>HuellaPallet</f>
        <v>1.2</v>
      </c>
      <c r="R115" s="5">
        <f>NivPallet</f>
        <v>4</v>
      </c>
      <c r="S115" s="17">
        <f t="shared" si="3"/>
        <v>0.3767058611</v>
      </c>
      <c r="T115" s="5"/>
      <c r="U115" s="7" t="str">
        <f>IF(T115&lt;&gt;"",T115,IF(S115&lt;=UmbCajon,"Puesto de trabajo","Almacén"))</f>
        <v>Almacén</v>
      </c>
      <c r="V115" s="15">
        <f t="shared" si="4"/>
        <v>2</v>
      </c>
      <c r="W115" s="11">
        <f t="shared" si="5"/>
        <v>1.2</v>
      </c>
      <c r="X115" s="11">
        <f>W115*CoefCirc</f>
        <v>1.8</v>
      </c>
      <c r="Y115" s="7"/>
      <c r="Z115" s="11">
        <f t="shared" si="6"/>
        <v>1.800115</v>
      </c>
      <c r="AA115" s="7" t="str">
        <f t="shared" si="7"/>
        <v>Almacén de producto terminado|Almacén|32,858587</v>
      </c>
    </row>
    <row r="116" ht="15.75" customHeight="1">
      <c r="A116" s="7" t="str">
        <f>'Política de stock'!A116</f>
        <v>P112</v>
      </c>
      <c r="B116" s="7" t="str">
        <f>'Política de stock'!B116</f>
        <v>RV-CO2_2kg</v>
      </c>
      <c r="C116" s="7" t="str">
        <f>'Política de stock'!C116</f>
        <v>Matafuego CO₂ 2 kg (reventa)</v>
      </c>
      <c r="D116" s="7" t="str">
        <f>'Política de stock'!D116</f>
        <v>u</v>
      </c>
      <c r="E116" s="7" t="str">
        <f>'Política de stock'!E116</f>
        <v>Fabricante nacional</v>
      </c>
      <c r="F116" s="7" t="str">
        <f>'Política de stock'!V116</f>
        <v>Almacén de producto terminado</v>
      </c>
      <c r="G116" s="11">
        <f>'Política de stock'!G116</f>
        <v>29.18865583</v>
      </c>
      <c r="H116" s="11">
        <f>'Política de stock'!N116</f>
        <v>186.8073833</v>
      </c>
      <c r="I116" s="11">
        <f>'Política de stock'!U116</f>
        <v>957.8073833</v>
      </c>
      <c r="J116" s="13">
        <f t="shared" si="1"/>
        <v>32.81437106</v>
      </c>
      <c r="K116" s="14">
        <f>'Política de stock'!K116</f>
        <v>20</v>
      </c>
      <c r="L116" s="7" t="str">
        <f>IF(K116&gt;=UmbLT,"Alto","Bajo")</f>
        <v>Alto</v>
      </c>
      <c r="M116" s="16">
        <f>IF('Política de stock'!F116&gt;0,COUNTIFS('Política de stock'!$D$5:$D$119,D116,'Política de stock'!$F$5:$F$119,"&lt;"&amp;'Política de stock'!F116)/COUNTIF('Política de stock'!$D$5:$D$119,D116),0)</f>
        <v>0.5301204819</v>
      </c>
      <c r="N116" s="7" t="str">
        <f>IF(M116&gt;=UmbVol,"Alto","Bajo")</f>
        <v>Alto</v>
      </c>
      <c r="O116" s="7" t="str">
        <f t="shared" si="2"/>
        <v>Alta</v>
      </c>
      <c r="P116" s="11">
        <f>'Política de stock'!X116</f>
        <v>5.32115213</v>
      </c>
      <c r="Q116" s="5">
        <f>HuellaPallet</f>
        <v>1.2</v>
      </c>
      <c r="R116" s="5">
        <f>NivPallet</f>
        <v>4</v>
      </c>
      <c r="S116" s="17">
        <f t="shared" si="3"/>
        <v>1.596345639</v>
      </c>
      <c r="T116" s="5"/>
      <c r="U116" s="7" t="str">
        <f>IF(T116&lt;&gt;"",T116,IF(S116&lt;=UmbCajon,"Puesto de trabajo","Almacén"))</f>
        <v>Almacén</v>
      </c>
      <c r="V116" s="15">
        <f t="shared" si="4"/>
        <v>6</v>
      </c>
      <c r="W116" s="11">
        <f t="shared" si="5"/>
        <v>2.4</v>
      </c>
      <c r="X116" s="11">
        <f>W116*CoefCirc</f>
        <v>3.6</v>
      </c>
      <c r="Y116" s="7"/>
      <c r="Z116" s="11">
        <f t="shared" si="6"/>
        <v>3.600116</v>
      </c>
      <c r="AA116" s="7" t="str">
        <f t="shared" si="7"/>
        <v>Almacén de producto terminado|Almacén|32,814371</v>
      </c>
    </row>
    <row r="117" ht="15.75" customHeight="1">
      <c r="A117" s="7" t="str">
        <f>'Política de stock'!A117</f>
        <v>P113</v>
      </c>
      <c r="B117" s="7" t="str">
        <f>'Política de stock'!B117</f>
        <v>RV-CO2_5kg</v>
      </c>
      <c r="C117" s="7" t="str">
        <f>'Política de stock'!C117</f>
        <v>Matafuego CO₂ 5 kg (reventa)</v>
      </c>
      <c r="D117" s="7" t="str">
        <f>'Política de stock'!D117</f>
        <v>u</v>
      </c>
      <c r="E117" s="7" t="str">
        <f>'Política de stock'!E117</f>
        <v>Fabricante nacional</v>
      </c>
      <c r="F117" s="7" t="str">
        <f>'Política de stock'!V117</f>
        <v>Almacén de producto terminado</v>
      </c>
      <c r="G117" s="11">
        <f>'Política de stock'!G117</f>
        <v>15.74118875</v>
      </c>
      <c r="H117" s="11">
        <f>'Política de stock'!N117</f>
        <v>100.743625</v>
      </c>
      <c r="I117" s="11">
        <f>'Política de stock'!U117</f>
        <v>516.743625</v>
      </c>
      <c r="J117" s="13">
        <f t="shared" si="1"/>
        <v>32.8274842</v>
      </c>
      <c r="K117" s="14">
        <f>'Política de stock'!K117</f>
        <v>20</v>
      </c>
      <c r="L117" s="7" t="str">
        <f>IF(K117&gt;=UmbLT,"Alto","Bajo")</f>
        <v>Alto</v>
      </c>
      <c r="M117" s="16">
        <f>IF('Política de stock'!F117&gt;0,COUNTIFS('Política de stock'!$D$5:$D$119,D117,'Política de stock'!$F$5:$F$119,"&lt;"&amp;'Política de stock'!F117)/COUNTIF('Política de stock'!$D$5:$D$119,D117),0)</f>
        <v>0.5060240964</v>
      </c>
      <c r="N117" s="7" t="str">
        <f>IF(M117&gt;=UmbVol,"Alto","Bajo")</f>
        <v>Alto</v>
      </c>
      <c r="O117" s="7" t="str">
        <f t="shared" si="2"/>
        <v>Alta</v>
      </c>
      <c r="P117" s="11">
        <f>'Política de stock'!X117</f>
        <v>2.870797917</v>
      </c>
      <c r="Q117" s="5">
        <f>HuellaPallet</f>
        <v>1.2</v>
      </c>
      <c r="R117" s="5">
        <f>NivPallet</f>
        <v>4</v>
      </c>
      <c r="S117" s="17">
        <f t="shared" si="3"/>
        <v>0.861239375</v>
      </c>
      <c r="T117" s="5"/>
      <c r="U117" s="7" t="str">
        <f>IF(T117&lt;&gt;"",T117,IF(S117&lt;=UmbCajon,"Puesto de trabajo","Almacén"))</f>
        <v>Almacén</v>
      </c>
      <c r="V117" s="15">
        <f t="shared" si="4"/>
        <v>3</v>
      </c>
      <c r="W117" s="11">
        <f t="shared" si="5"/>
        <v>1.2</v>
      </c>
      <c r="X117" s="11">
        <f>W117*CoefCirc</f>
        <v>1.8</v>
      </c>
      <c r="Y117" s="7"/>
      <c r="Z117" s="11">
        <f t="shared" si="6"/>
        <v>1.800117</v>
      </c>
      <c r="AA117" s="7" t="str">
        <f t="shared" si="7"/>
        <v>Almacén de producto terminado|Almacén|32,827484</v>
      </c>
    </row>
    <row r="118" ht="15.75" customHeight="1">
      <c r="A118" s="7" t="str">
        <f>'Política de stock'!A118</f>
        <v>P114</v>
      </c>
      <c r="B118" s="7" t="str">
        <f>'Política de stock'!B118</f>
        <v>RV-HCFC-HFC_5kg</v>
      </c>
      <c r="C118" s="7" t="str">
        <f>'Política de stock'!C118</f>
        <v>Matafuego HCFC 5 kg (reventa)</v>
      </c>
      <c r="D118" s="7" t="str">
        <f>'Política de stock'!D118</f>
        <v>u</v>
      </c>
      <c r="E118" s="7" t="str">
        <f>'Política de stock'!E118</f>
        <v>Fabricante nacional</v>
      </c>
      <c r="F118" s="7" t="str">
        <f>'Política de stock'!V118</f>
        <v>Almacén de producto terminado</v>
      </c>
      <c r="G118" s="11">
        <f>'Política de stock'!G118</f>
        <v>3.1008775</v>
      </c>
      <c r="H118" s="11">
        <f>'Política de stock'!N118</f>
        <v>19.84565</v>
      </c>
      <c r="I118" s="11">
        <f>'Política de stock'!U118</f>
        <v>101.84565</v>
      </c>
      <c r="J118" s="13">
        <f t="shared" si="1"/>
        <v>32.84413847</v>
      </c>
      <c r="K118" s="14">
        <f>'Política de stock'!K118</f>
        <v>20</v>
      </c>
      <c r="L118" s="7" t="str">
        <f>IF(K118&gt;=UmbLT,"Alto","Bajo")</f>
        <v>Alto</v>
      </c>
      <c r="M118" s="16">
        <f>IF('Política de stock'!F118&gt;0,COUNTIFS('Política de stock'!$D$5:$D$119,D118,'Política de stock'!$F$5:$F$119,"&lt;"&amp;'Política de stock'!F118)/COUNTIF('Política de stock'!$D$5:$D$119,D118),0)</f>
        <v>0.265060241</v>
      </c>
      <c r="N118" s="7" t="str">
        <f>IF(M118&gt;=UmbVol,"Alto","Bajo")</f>
        <v>Bajo</v>
      </c>
      <c r="O118" s="7" t="str">
        <f t="shared" si="2"/>
        <v>Media</v>
      </c>
      <c r="P118" s="11">
        <f>'Política de stock'!X118</f>
        <v>0.5658091667</v>
      </c>
      <c r="Q118" s="5">
        <f>HuellaPallet</f>
        <v>1.2</v>
      </c>
      <c r="R118" s="5">
        <f>NivPallet</f>
        <v>4</v>
      </c>
      <c r="S118" s="17">
        <f t="shared" si="3"/>
        <v>0.16974275</v>
      </c>
      <c r="T118" s="5"/>
      <c r="U118" s="7" t="str">
        <f>IF(T118&lt;&gt;"",T118,IF(S118&lt;=UmbCajon,"Puesto de trabajo","Almacén"))</f>
        <v>Almacén</v>
      </c>
      <c r="V118" s="15">
        <f t="shared" si="4"/>
        <v>1</v>
      </c>
      <c r="W118" s="11">
        <f t="shared" si="5"/>
        <v>1.2</v>
      </c>
      <c r="X118" s="11">
        <f>W118*CoefCirc</f>
        <v>1.8</v>
      </c>
      <c r="Y118" s="7"/>
      <c r="Z118" s="11">
        <f t="shared" si="6"/>
        <v>1.800118</v>
      </c>
      <c r="AA118" s="7" t="str">
        <f t="shared" si="7"/>
        <v>Almacén de producto terminado|Almacén|32,844138</v>
      </c>
    </row>
    <row r="119" ht="15.75" customHeight="1">
      <c r="A119" s="7" t="str">
        <f>'Política de stock'!A119</f>
        <v>P115</v>
      </c>
      <c r="B119" s="7" t="str">
        <f>'Política de stock'!B119</f>
        <v>RV-CLASED_9l</v>
      </c>
      <c r="C119" s="7" t="str">
        <f>'Política de stock'!C119</f>
        <v>Matafuego Clase D 9 l (reventa)</v>
      </c>
      <c r="D119" s="7" t="str">
        <f>'Política de stock'!D119</f>
        <v>u</v>
      </c>
      <c r="E119" s="7" t="str">
        <f>'Política de stock'!E119</f>
        <v>Fabricante nacional</v>
      </c>
      <c r="F119" s="7" t="str">
        <f>'Política de stock'!V119</f>
        <v>Almacén de producto terminado</v>
      </c>
      <c r="G119" s="11">
        <f>'Política de stock'!G119</f>
        <v>1.155956667</v>
      </c>
      <c r="H119" s="11">
        <f>'Política de stock'!N119</f>
        <v>7.398166667</v>
      </c>
      <c r="I119" s="11">
        <f>'Política de stock'!U119</f>
        <v>38.39816667</v>
      </c>
      <c r="J119" s="13">
        <f t="shared" si="1"/>
        <v>33.21765233</v>
      </c>
      <c r="K119" s="14">
        <f>'Política de stock'!K119</f>
        <v>20</v>
      </c>
      <c r="L119" s="7" t="str">
        <f>IF(K119&gt;=UmbLT,"Alto","Bajo")</f>
        <v>Alto</v>
      </c>
      <c r="M119" s="16">
        <f>IF('Política de stock'!F119&gt;0,COUNTIFS('Política de stock'!$D$5:$D$119,D119,'Política de stock'!$F$5:$F$119,"&lt;"&amp;'Política de stock'!F119)/COUNTIF('Política de stock'!$D$5:$D$119,D119),0)</f>
        <v>0.156626506</v>
      </c>
      <c r="N119" s="7" t="str">
        <f>IF(M119&gt;=UmbVol,"Alto","Bajo")</f>
        <v>Bajo</v>
      </c>
      <c r="O119" s="7" t="str">
        <f t="shared" si="2"/>
        <v>Media</v>
      </c>
      <c r="P119" s="11">
        <f>'Política de stock'!X119</f>
        <v>0.2133231481</v>
      </c>
      <c r="Q119" s="5">
        <f>HuellaPallet</f>
        <v>1.2</v>
      </c>
      <c r="R119" s="5">
        <f>NivPallet</f>
        <v>4</v>
      </c>
      <c r="S119" s="17">
        <f t="shared" si="3"/>
        <v>0.06399694444</v>
      </c>
      <c r="T119" s="5"/>
      <c r="U119" s="7" t="str">
        <f>IF(T119&lt;&gt;"",T119,IF(S119&lt;=UmbCajon,"Puesto de trabajo","Almacén"))</f>
        <v>Puesto de trabajo</v>
      </c>
      <c r="V119" s="15">
        <f t="shared" si="4"/>
        <v>0</v>
      </c>
      <c r="W119" s="11">
        <f t="shared" si="5"/>
        <v>0</v>
      </c>
      <c r="X119" s="11">
        <f>W119*CoefCirc</f>
        <v>0</v>
      </c>
      <c r="Y119" s="7"/>
      <c r="Z119" s="11">
        <f t="shared" si="6"/>
        <v>0.000119</v>
      </c>
      <c r="AA119" s="7" t="str">
        <f t="shared" si="7"/>
        <v>Almacén de producto terminado|Puesto de trabajo|33,217652</v>
      </c>
    </row>
    <row r="120" ht="15.75" customHeight="1">
      <c r="C120" s="24" t="s">
        <v>654</v>
      </c>
      <c r="V120" s="25">
        <f t="shared" ref="V120:X120" si="8">SUM(V5:V119)</f>
        <v>212</v>
      </c>
      <c r="W120" s="25">
        <f t="shared" si="8"/>
        <v>170.3768</v>
      </c>
      <c r="X120" s="25">
        <f t="shared" si="8"/>
        <v>255.5652</v>
      </c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AA$119"/>
  <conditionalFormatting sqref="O5:O119">
    <cfRule type="cellIs" dxfId="0" priority="1" operator="equal">
      <formula>"Alta"</formula>
    </cfRule>
  </conditionalFormatting>
  <conditionalFormatting sqref="O5:O119">
    <cfRule type="cellIs" dxfId="1" priority="2" operator="equal">
      <formula>"Media"</formula>
    </cfRule>
  </conditionalFormatting>
  <conditionalFormatting sqref="O5:O119">
    <cfRule type="cellIs" dxfId="2" priority="3" operator="equal">
      <formula>"Baja"</formula>
    </cfRule>
  </conditionalFormatting>
  <dataValidations>
    <dataValidation type="list" allowBlank="1" sqref="T5:T119">
      <formula1>"Almacén,Puesto de trabajo"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4.0"/>
    <col customWidth="1" min="2" max="2" width="10.0"/>
    <col customWidth="1" min="3" max="3" width="14.0"/>
    <col customWidth="1" min="4" max="5" width="12.0"/>
    <col customWidth="1" min="6" max="6" width="10.0"/>
    <col customWidth="1" min="7" max="8" width="12.0"/>
    <col customWidth="1" min="9" max="10" width="10.0"/>
    <col customWidth="1" min="11" max="11" width="11.0"/>
    <col customWidth="1" min="12" max="12" width="12.0"/>
    <col customWidth="1" min="13" max="14" width="14.0"/>
    <col customWidth="1" min="15" max="15" width="12.0"/>
    <col customWidth="1" min="16" max="16" width="9.0"/>
    <col customWidth="1" min="17" max="17" width="12.0"/>
    <col customWidth="1" min="18" max="19" width="11.0"/>
    <col customWidth="1" min="20" max="26" width="8.71"/>
  </cols>
  <sheetData>
    <row r="1">
      <c r="A1" s="1" t="s">
        <v>120</v>
      </c>
    </row>
    <row r="2">
      <c r="A2" s="2" t="s">
        <v>124</v>
      </c>
    </row>
    <row r="3">
      <c r="A3" s="8" t="s">
        <v>125</v>
      </c>
    </row>
    <row r="4" ht="72.0" customHeight="1">
      <c r="A4" s="3" t="s">
        <v>126</v>
      </c>
      <c r="B4" s="3" t="s">
        <v>127</v>
      </c>
      <c r="C4" s="3" t="s">
        <v>128</v>
      </c>
      <c r="D4" s="3" t="s">
        <v>129</v>
      </c>
      <c r="E4" s="3" t="s">
        <v>130</v>
      </c>
      <c r="F4" s="3" t="s">
        <v>131</v>
      </c>
      <c r="G4" s="3" t="s">
        <v>133</v>
      </c>
      <c r="H4" s="3" t="s">
        <v>134</v>
      </c>
      <c r="I4" s="3" t="s">
        <v>135</v>
      </c>
      <c r="J4" s="3" t="s">
        <v>136</v>
      </c>
      <c r="K4" s="3" t="s">
        <v>139</v>
      </c>
      <c r="L4" s="3" t="s">
        <v>141</v>
      </c>
      <c r="M4" s="3" t="s">
        <v>142</v>
      </c>
      <c r="N4" s="3" t="s">
        <v>143</v>
      </c>
      <c r="O4" s="3" t="s">
        <v>144</v>
      </c>
      <c r="P4" s="3" t="s">
        <v>145</v>
      </c>
      <c r="Q4" s="3" t="s">
        <v>147</v>
      </c>
      <c r="R4" s="3" t="s">
        <v>90</v>
      </c>
      <c r="S4" s="3" t="s">
        <v>92</v>
      </c>
    </row>
    <row r="5">
      <c r="A5" s="7" t="s">
        <v>149</v>
      </c>
      <c r="B5" s="7" t="s">
        <v>150</v>
      </c>
      <c r="C5" s="18">
        <v>202620.6</v>
      </c>
      <c r="D5" s="11">
        <f t="shared" ref="D5:D12" si="1">C5/12</f>
        <v>16885.05</v>
      </c>
      <c r="E5" s="11">
        <f>C5/DiasAnio</f>
        <v>844.2525</v>
      </c>
      <c r="F5" s="14">
        <f>IF(B5="Manual",DiasManual,DiasRodante)</f>
        <v>7</v>
      </c>
      <c r="G5" s="15">
        <f t="shared" ref="G5:G12" si="2">ROUNDUP(E5*F5,0)</f>
        <v>5910</v>
      </c>
      <c r="H5" s="19">
        <v>76.2</v>
      </c>
      <c r="I5" s="19">
        <v>251.8</v>
      </c>
      <c r="J5" s="20">
        <v>1.25</v>
      </c>
      <c r="K5" s="20">
        <v>0.595</v>
      </c>
      <c r="L5" s="15">
        <f t="shared" ref="L5:L12" si="3">G5*K5</f>
        <v>3516.45</v>
      </c>
      <c r="M5" s="14">
        <f>INT(PalL*1000/(H5+10))*INT(PalA*1000/(H5+10))</f>
        <v>143</v>
      </c>
      <c r="N5" s="15">
        <f>INT(AltPilaTubo/I5)</f>
        <v>3</v>
      </c>
      <c r="O5" s="15">
        <f>MAX(1,MIN(INT(KgPallet/K5),M5*N5))</f>
        <v>429</v>
      </c>
      <c r="P5" s="14">
        <f t="shared" ref="P5:P12" si="4">ROUNDUP(G5/O5,0)</f>
        <v>14</v>
      </c>
      <c r="Q5" s="21">
        <f>MAX(HuellaPallet,(H5+100)*(I5+100)/1000000)</f>
        <v>1.2</v>
      </c>
      <c r="R5" s="11">
        <f>ROUNDUP(P5/NivBuffer,0)*Q5</f>
        <v>16.8</v>
      </c>
      <c r="S5" s="11">
        <f>R5*CoefCirc</f>
        <v>25.2</v>
      </c>
    </row>
    <row r="6">
      <c r="A6" s="7" t="s">
        <v>187</v>
      </c>
      <c r="B6" s="7" t="s">
        <v>150</v>
      </c>
      <c r="C6" s="18">
        <v>14093.9</v>
      </c>
      <c r="D6" s="11">
        <f t="shared" si="1"/>
        <v>1174.491667</v>
      </c>
      <c r="E6" s="11">
        <f>C6/DiasAnio</f>
        <v>58.72458333</v>
      </c>
      <c r="F6" s="14">
        <f>IF(B6="Manual",DiasManual,DiasRodante)</f>
        <v>7</v>
      </c>
      <c r="G6" s="15">
        <f t="shared" si="2"/>
        <v>412</v>
      </c>
      <c r="H6" s="19">
        <v>385.5</v>
      </c>
      <c r="I6" s="19">
        <v>269.5</v>
      </c>
      <c r="J6" s="20">
        <v>1.25</v>
      </c>
      <c r="K6" s="20">
        <v>1.02204</v>
      </c>
      <c r="L6" s="15">
        <f t="shared" si="3"/>
        <v>421.08048</v>
      </c>
      <c r="M6" s="14">
        <f>MAX(1,INT(PalL*1000/(H6+20))*INT(PalA*1000/(I6+20)),INT(PalL*1000/(I6+20))*INT(PalA*1000/(H6+20)))</f>
        <v>8</v>
      </c>
      <c r="N6" s="15">
        <f>INT(AltPila/J6)</f>
        <v>160</v>
      </c>
      <c r="O6" s="15">
        <f>MAX(1,MIN(INT(KgPallet/K6),M6*N6))</f>
        <v>978</v>
      </c>
      <c r="P6" s="14">
        <f t="shared" si="4"/>
        <v>1</v>
      </c>
      <c r="Q6" s="21">
        <f>MAX(HuellaPallet,(H6+100)*(I6+100)/1000000)</f>
        <v>1.2</v>
      </c>
      <c r="R6" s="11">
        <f>ROUNDUP(P6/NivBuffer,0)*Q6</f>
        <v>1.2</v>
      </c>
      <c r="S6" s="11">
        <f>R6*CoefCirc</f>
        <v>1.8</v>
      </c>
    </row>
    <row r="7">
      <c r="A7" s="7" t="s">
        <v>210</v>
      </c>
      <c r="B7" s="7" t="s">
        <v>150</v>
      </c>
      <c r="C7" s="18">
        <v>65364.6</v>
      </c>
      <c r="D7" s="11">
        <f t="shared" si="1"/>
        <v>5447.05</v>
      </c>
      <c r="E7" s="11">
        <f>C7/DiasAnio</f>
        <v>272.3525</v>
      </c>
      <c r="F7" s="14">
        <f>IF(B7="Manual",DiasManual,DiasRodante)</f>
        <v>7</v>
      </c>
      <c r="G7" s="15">
        <f t="shared" si="2"/>
        <v>1907</v>
      </c>
      <c r="H7" s="19">
        <v>474.5</v>
      </c>
      <c r="I7" s="19">
        <v>330.0</v>
      </c>
      <c r="J7" s="20">
        <v>1.6</v>
      </c>
      <c r="K7" s="20">
        <v>1.97172</v>
      </c>
      <c r="L7" s="15">
        <f t="shared" si="3"/>
        <v>3760.07004</v>
      </c>
      <c r="M7" s="14">
        <f>MAX(1,INT(PalL*1000/(H7+20))*INT(PalA*1000/(I7+20)),INT(PalL*1000/(I7+20))*INT(PalA*1000/(H7+20)))</f>
        <v>6</v>
      </c>
      <c r="N7" s="15">
        <f>INT(AltPila/J7)</f>
        <v>125</v>
      </c>
      <c r="O7" s="15">
        <f>MAX(1,MIN(INT(KgPallet/K7),M7*N7))</f>
        <v>507</v>
      </c>
      <c r="P7" s="14">
        <f t="shared" si="4"/>
        <v>4</v>
      </c>
      <c r="Q7" s="21">
        <f>MAX(HuellaPallet,(H7+100)*(I7+100)/1000000)</f>
        <v>1.2</v>
      </c>
      <c r="R7" s="11">
        <f>ROUNDUP(P7/NivBuffer,0)*Q7</f>
        <v>4.8</v>
      </c>
      <c r="S7" s="11">
        <f>R7*CoefCirc</f>
        <v>7.2</v>
      </c>
    </row>
    <row r="8">
      <c r="A8" s="7" t="s">
        <v>235</v>
      </c>
      <c r="B8" s="7" t="s">
        <v>150</v>
      </c>
      <c r="C8" s="18">
        <v>3854.3</v>
      </c>
      <c r="D8" s="11">
        <f t="shared" si="1"/>
        <v>321.1916667</v>
      </c>
      <c r="E8" s="11">
        <f>C8/DiasAnio</f>
        <v>16.05958333</v>
      </c>
      <c r="F8" s="14">
        <f>IF(B8="Manual",DiasManual,DiasRodante)</f>
        <v>7</v>
      </c>
      <c r="G8" s="15">
        <f t="shared" si="2"/>
        <v>113</v>
      </c>
      <c r="H8" s="19">
        <v>563.0</v>
      </c>
      <c r="I8" s="19">
        <v>495.0</v>
      </c>
      <c r="J8" s="20">
        <v>2.0</v>
      </c>
      <c r="K8" s="20">
        <v>4.3865</v>
      </c>
      <c r="L8" s="15">
        <f t="shared" si="3"/>
        <v>495.6745</v>
      </c>
      <c r="M8" s="14">
        <f>MAX(1,INT(PalL*1000/(H8+20))*INT(PalA*1000/(I8+20)),INT(PalL*1000/(I8+20))*INT(PalA*1000/(H8+20)))</f>
        <v>2</v>
      </c>
      <c r="N8" s="15">
        <f>INT(AltPila/J8)</f>
        <v>100</v>
      </c>
      <c r="O8" s="15">
        <f>MAX(1,MIN(INT(KgPallet/K8),M8*N8))</f>
        <v>200</v>
      </c>
      <c r="P8" s="14">
        <f t="shared" si="4"/>
        <v>1</v>
      </c>
      <c r="Q8" s="21">
        <f>MAX(HuellaPallet,(H8+100)*(I8+100)/1000000)</f>
        <v>1.2</v>
      </c>
      <c r="R8" s="11">
        <f>ROUNDUP(P8/NivBuffer,0)*Q8</f>
        <v>1.2</v>
      </c>
      <c r="S8" s="11">
        <f>R8*CoefCirc</f>
        <v>1.8</v>
      </c>
    </row>
    <row r="9">
      <c r="A9" s="7" t="s">
        <v>249</v>
      </c>
      <c r="B9" s="7" t="s">
        <v>250</v>
      </c>
      <c r="C9" s="18">
        <v>775.3</v>
      </c>
      <c r="D9" s="11">
        <f t="shared" si="1"/>
        <v>64.60833333</v>
      </c>
      <c r="E9" s="11">
        <f>C9/DiasAnio</f>
        <v>3.230416667</v>
      </c>
      <c r="F9" s="14">
        <f>IF(B9="Manual",DiasManual,DiasRodante)</f>
        <v>5</v>
      </c>
      <c r="G9" s="15">
        <f t="shared" si="2"/>
        <v>17</v>
      </c>
      <c r="H9" s="19">
        <v>858.0</v>
      </c>
      <c r="I9" s="19">
        <v>490.0</v>
      </c>
      <c r="J9" s="20">
        <v>3.2</v>
      </c>
      <c r="K9" s="20">
        <v>10.58786</v>
      </c>
      <c r="L9" s="15">
        <f t="shared" si="3"/>
        <v>179.99362</v>
      </c>
      <c r="M9" s="14">
        <f>MAX(1,INT(PalL*1000/(H9+20))*INT(PalA*1000/(I9+20)),INT(PalL*1000/(I9+20))*INT(PalA*1000/(H9+20)))</f>
        <v>2</v>
      </c>
      <c r="N9" s="15">
        <f>INT(AltPila/J9)</f>
        <v>62</v>
      </c>
      <c r="O9" s="15">
        <f>MAX(1,MIN(INT(KgPallet/K9),M9*N9))</f>
        <v>94</v>
      </c>
      <c r="P9" s="14">
        <f t="shared" si="4"/>
        <v>1</v>
      </c>
      <c r="Q9" s="21">
        <f>MAX(HuellaPallet,(H9+100)*(I9+100)/1000000)</f>
        <v>1.2</v>
      </c>
      <c r="R9" s="11">
        <f>ROUNDUP(P9/NivBuffer,0)*Q9</f>
        <v>1.2</v>
      </c>
      <c r="S9" s="11">
        <f>R9*CoefCirc</f>
        <v>1.8</v>
      </c>
    </row>
    <row r="10">
      <c r="A10" s="7" t="s">
        <v>264</v>
      </c>
      <c r="B10" s="7" t="s">
        <v>250</v>
      </c>
      <c r="C10" s="18">
        <v>1706.5</v>
      </c>
      <c r="D10" s="11">
        <f t="shared" si="1"/>
        <v>142.2083333</v>
      </c>
      <c r="E10" s="11">
        <f>C10/DiasAnio</f>
        <v>7.110416667</v>
      </c>
      <c r="F10" s="14">
        <f>IF(B10="Manual",DiasManual,DiasRodante)</f>
        <v>5</v>
      </c>
      <c r="G10" s="15">
        <f t="shared" si="2"/>
        <v>36</v>
      </c>
      <c r="H10" s="19">
        <v>994.0</v>
      </c>
      <c r="I10" s="19">
        <v>640.0</v>
      </c>
      <c r="J10" s="20">
        <v>3.2</v>
      </c>
      <c r="K10" s="20">
        <v>16.02105</v>
      </c>
      <c r="L10" s="15">
        <f t="shared" si="3"/>
        <v>576.7578</v>
      </c>
      <c r="M10" s="14">
        <f>MAX(1,INT(PalL*1000/(H10+20))*INT(PalA*1000/(I10+20)),INT(PalL*1000/(I10+20))*INT(PalA*1000/(H10+20)))</f>
        <v>1</v>
      </c>
      <c r="N10" s="15">
        <f>INT(AltPila/J10)</f>
        <v>62</v>
      </c>
      <c r="O10" s="15">
        <f>MAX(1,MIN(INT(KgPallet/K10),M10*N10))</f>
        <v>62</v>
      </c>
      <c r="P10" s="14">
        <f t="shared" si="4"/>
        <v>1</v>
      </c>
      <c r="Q10" s="21">
        <f>MAX(HuellaPallet,(H10+100)*(I10+100)/1000000)</f>
        <v>1.2</v>
      </c>
      <c r="R10" s="11">
        <f>ROUNDUP(P10/NivBuffer,0)*Q10</f>
        <v>1.2</v>
      </c>
      <c r="S10" s="11">
        <f>R10*CoefCirc</f>
        <v>1.8</v>
      </c>
    </row>
    <row r="11">
      <c r="A11" s="7" t="s">
        <v>277</v>
      </c>
      <c r="B11" s="7" t="s">
        <v>250</v>
      </c>
      <c r="C11" s="18">
        <v>372.6</v>
      </c>
      <c r="D11" s="11">
        <f t="shared" si="1"/>
        <v>31.05</v>
      </c>
      <c r="E11" s="11">
        <f>C11/DiasAnio</f>
        <v>1.5525</v>
      </c>
      <c r="F11" s="14">
        <f>IF(B11="Manual",DiasManual,DiasRodante)</f>
        <v>5</v>
      </c>
      <c r="G11" s="15">
        <f t="shared" si="2"/>
        <v>8</v>
      </c>
      <c r="H11" s="19">
        <v>1212.0</v>
      </c>
      <c r="I11" s="19">
        <v>680.0</v>
      </c>
      <c r="J11" s="20">
        <v>4.75</v>
      </c>
      <c r="K11" s="20">
        <v>30.80916</v>
      </c>
      <c r="L11" s="15">
        <f t="shared" si="3"/>
        <v>246.47328</v>
      </c>
      <c r="M11" s="14">
        <f>MAX(1,INT(PalL*1000/(H11+20))*INT(PalA*1000/(I11+20)),INT(PalL*1000/(I11+20))*INT(PalA*1000/(H11+20)))</f>
        <v>1</v>
      </c>
      <c r="N11" s="15">
        <f>INT(AltPila/J11)</f>
        <v>42</v>
      </c>
      <c r="O11" s="15">
        <f>MAX(1,MIN(INT(KgPallet/K11),M11*N11))</f>
        <v>32</v>
      </c>
      <c r="P11" s="14">
        <f t="shared" si="4"/>
        <v>1</v>
      </c>
      <c r="Q11" s="21">
        <f>MAX(HuellaPallet,(H11+100)*(I11+100)/1000000)</f>
        <v>1.2</v>
      </c>
      <c r="R11" s="11">
        <f>ROUNDUP(P11/NivBuffer,0)*Q11</f>
        <v>1.2</v>
      </c>
      <c r="S11" s="11">
        <f>R11*CoefCirc</f>
        <v>1.8</v>
      </c>
    </row>
    <row r="12">
      <c r="A12" s="7" t="s">
        <v>299</v>
      </c>
      <c r="B12" s="7" t="s">
        <v>250</v>
      </c>
      <c r="C12" s="18">
        <v>247.2</v>
      </c>
      <c r="D12" s="11">
        <f t="shared" si="1"/>
        <v>20.6</v>
      </c>
      <c r="E12" s="11">
        <f>C12/DiasAnio</f>
        <v>1.03</v>
      </c>
      <c r="F12" s="14">
        <f>IF(B12="Manual",DiasManual,DiasRodante)</f>
        <v>5</v>
      </c>
      <c r="G12" s="15">
        <f t="shared" si="2"/>
        <v>6</v>
      </c>
      <c r="H12" s="19">
        <v>1212.0</v>
      </c>
      <c r="I12" s="19">
        <v>900.0</v>
      </c>
      <c r="J12" s="20">
        <v>4.75</v>
      </c>
      <c r="K12" s="20">
        <v>40.77683</v>
      </c>
      <c r="L12" s="15">
        <f t="shared" si="3"/>
        <v>244.66098</v>
      </c>
      <c r="M12" s="14">
        <f>MAX(1,INT(PalL*1000/(H12+20))*INT(PalA*1000/(I12+20)),INT(PalL*1000/(I12+20))*INT(PalA*1000/(H12+20)))</f>
        <v>1</v>
      </c>
      <c r="N12" s="15">
        <f>INT(AltPila/J12)</f>
        <v>42</v>
      </c>
      <c r="O12" s="15">
        <f>MAX(1,MIN(INT(KgPallet/K12),M12*N12))</f>
        <v>24</v>
      </c>
      <c r="P12" s="14">
        <f t="shared" si="4"/>
        <v>1</v>
      </c>
      <c r="Q12" s="21">
        <f>MAX(HuellaPallet,(H12+100)*(I12+100)/1000000)</f>
        <v>1.312</v>
      </c>
      <c r="R12" s="11">
        <f>ROUNDUP(P12/NivBuffer,0)*Q12</f>
        <v>1.312</v>
      </c>
      <c r="S12" s="11">
        <f>R12*CoefCirc</f>
        <v>1.968</v>
      </c>
    </row>
    <row r="13">
      <c r="A13" s="24" t="s">
        <v>329</v>
      </c>
      <c r="G13" s="25">
        <f>SUM(G5:G12)</f>
        <v>8409</v>
      </c>
      <c r="L13" s="25">
        <f>SUM(L5:L12)</f>
        <v>9441.1607</v>
      </c>
      <c r="P13" s="26">
        <f>SUM(P5:P12)</f>
        <v>24</v>
      </c>
      <c r="R13" s="27">
        <f t="shared" ref="R13:S13" si="5">SUM(R5:R12)</f>
        <v>28.912</v>
      </c>
      <c r="S13" s="27">
        <f t="shared" si="5"/>
        <v>43.368</v>
      </c>
    </row>
    <row r="14">
      <c r="A14" s="2" t="s">
        <v>341</v>
      </c>
    </row>
    <row r="16">
      <c r="A16" s="8" t="s">
        <v>342</v>
      </c>
    </row>
    <row r="17" ht="72.0" customHeight="1">
      <c r="A17" s="3" t="s">
        <v>344</v>
      </c>
      <c r="B17" s="3" t="s">
        <v>127</v>
      </c>
      <c r="C17" s="3" t="s">
        <v>345</v>
      </c>
      <c r="D17" s="3" t="s">
        <v>346</v>
      </c>
      <c r="E17" s="3" t="s">
        <v>350</v>
      </c>
      <c r="F17" s="3" t="s">
        <v>131</v>
      </c>
      <c r="G17" s="3" t="s">
        <v>351</v>
      </c>
      <c r="H17" s="3" t="s">
        <v>352</v>
      </c>
      <c r="I17" s="3" t="s">
        <v>353</v>
      </c>
      <c r="J17" s="3" t="s">
        <v>141</v>
      </c>
      <c r="K17" s="3" t="s">
        <v>354</v>
      </c>
      <c r="L17" s="3" t="s">
        <v>355</v>
      </c>
      <c r="M17" s="3" t="s">
        <v>356</v>
      </c>
      <c r="N17" s="3" t="s">
        <v>145</v>
      </c>
      <c r="O17" s="3" t="s">
        <v>147</v>
      </c>
      <c r="P17" s="3" t="s">
        <v>90</v>
      </c>
      <c r="Q17" s="3" t="s">
        <v>92</v>
      </c>
    </row>
    <row r="18">
      <c r="A18" s="7" t="s">
        <v>357</v>
      </c>
      <c r="B18" s="7" t="s">
        <v>150</v>
      </c>
      <c r="C18" s="15">
        <f>C5</f>
        <v>202620.6</v>
      </c>
      <c r="D18" s="11">
        <f t="shared" ref="D18:D25" si="6">C18/12</f>
        <v>16885.05</v>
      </c>
      <c r="E18" s="11">
        <f>C18/DiasAnio</f>
        <v>844.2525</v>
      </c>
      <c r="F18" s="14">
        <f>DiasManual</f>
        <v>7</v>
      </c>
      <c r="G18" s="15">
        <f t="shared" ref="G18:G25" si="7">ROUNDUP(E18*F18,0)</f>
        <v>5910</v>
      </c>
      <c r="H18" s="19">
        <v>76.2</v>
      </c>
      <c r="I18" s="28">
        <v>0.061</v>
      </c>
      <c r="J18" s="15">
        <f t="shared" ref="J18:J25" si="8">G18*I18</f>
        <v>360.51</v>
      </c>
      <c r="K18" s="14">
        <f>PiezasPilaEmb</f>
        <v>20</v>
      </c>
      <c r="L18" s="14">
        <f>MAX(1,INT(PalL*1000/(H18+30))*INT(PalA*1000/(H18+30)))</f>
        <v>99</v>
      </c>
      <c r="M18" s="15">
        <f>MAX(1,MIN(INT(KgPallet/I18),K18*L18))</f>
        <v>1980</v>
      </c>
      <c r="N18" s="14">
        <f t="shared" ref="N18:N25" si="9">ROUNDUP(G18/M18,0)</f>
        <v>3</v>
      </c>
      <c r="O18" s="21">
        <f>HuellaPallet</f>
        <v>1.2</v>
      </c>
      <c r="P18" s="11">
        <f>ROUNDUP(N18/NivBuffer,0)*O18</f>
        <v>3.6</v>
      </c>
      <c r="Q18" s="11">
        <f>P18*CoefCirc</f>
        <v>5.4</v>
      </c>
    </row>
    <row r="19">
      <c r="A19" s="7" t="s">
        <v>420</v>
      </c>
      <c r="B19" s="7" t="s">
        <v>150</v>
      </c>
      <c r="C19" s="15">
        <f t="shared" ref="C19:C20" si="10">C5</f>
        <v>202620.6</v>
      </c>
      <c r="D19" s="11">
        <f t="shared" si="6"/>
        <v>16885.05</v>
      </c>
      <c r="E19" s="11">
        <f>C19/DiasAnio</f>
        <v>844.2525</v>
      </c>
      <c r="F19" s="14">
        <f>DiasManual</f>
        <v>7</v>
      </c>
      <c r="G19" s="15">
        <f t="shared" si="7"/>
        <v>5910</v>
      </c>
      <c r="H19" s="19">
        <v>76.2</v>
      </c>
      <c r="I19" s="28">
        <v>0.0771</v>
      </c>
      <c r="J19" s="15">
        <f t="shared" si="8"/>
        <v>455.661</v>
      </c>
      <c r="K19" s="14">
        <f>PiezasPilaEmb</f>
        <v>20</v>
      </c>
      <c r="L19" s="14">
        <f>MAX(1,INT(PalL*1000/(H19+30))*INT(PalA*1000/(H19+30)))</f>
        <v>99</v>
      </c>
      <c r="M19" s="15">
        <f>MAX(1,MIN(INT(KgPallet/I19),K19*L19))</f>
        <v>1980</v>
      </c>
      <c r="N19" s="14">
        <f t="shared" si="9"/>
        <v>3</v>
      </c>
      <c r="O19" s="21">
        <f>HuellaPallet</f>
        <v>1.2</v>
      </c>
      <c r="P19" s="11">
        <f>ROUNDUP(N19/NivBuffer,0)*O19</f>
        <v>3.6</v>
      </c>
      <c r="Q19" s="11">
        <f>P19*CoefCirc</f>
        <v>5.4</v>
      </c>
    </row>
    <row r="20">
      <c r="A20" s="7" t="s">
        <v>436</v>
      </c>
      <c r="B20" s="7" t="s">
        <v>150</v>
      </c>
      <c r="C20" s="15">
        <f t="shared" si="10"/>
        <v>14093.9</v>
      </c>
      <c r="D20" s="11">
        <f t="shared" si="6"/>
        <v>1174.491667</v>
      </c>
      <c r="E20" s="11">
        <f>C20/DiasAnio</f>
        <v>58.72458333</v>
      </c>
      <c r="F20" s="14">
        <f>DiasManual</f>
        <v>7</v>
      </c>
      <c r="G20" s="15">
        <f t="shared" si="7"/>
        <v>412</v>
      </c>
      <c r="H20" s="19">
        <v>124.0</v>
      </c>
      <c r="I20" s="28">
        <v>0.2375</v>
      </c>
      <c r="J20" s="15">
        <f t="shared" si="8"/>
        <v>97.85</v>
      </c>
      <c r="K20" s="14">
        <f>PiezasPilaEmb</f>
        <v>20</v>
      </c>
      <c r="L20" s="14">
        <f>MAX(1,INT(PalL*1000/(H20+30))*INT(PalA*1000/(H20+30)))</f>
        <v>42</v>
      </c>
      <c r="M20" s="15">
        <f>MAX(1,MIN(INT(KgPallet/I20),K20*L20))</f>
        <v>840</v>
      </c>
      <c r="N20" s="14">
        <f t="shared" si="9"/>
        <v>1</v>
      </c>
      <c r="O20" s="21">
        <f>HuellaPallet</f>
        <v>1.2</v>
      </c>
      <c r="P20" s="11">
        <f>ROUNDUP(N20/NivBuffer,0)*O20</f>
        <v>1.2</v>
      </c>
      <c r="Q20" s="11">
        <f>P20*CoefCirc</f>
        <v>1.8</v>
      </c>
    </row>
    <row r="21" ht="15.75" customHeight="1">
      <c r="A21" s="7" t="s">
        <v>450</v>
      </c>
      <c r="B21" s="7" t="s">
        <v>150</v>
      </c>
      <c r="C21" s="15">
        <f t="shared" ref="C21:C22" si="11">C6</f>
        <v>14093.9</v>
      </c>
      <c r="D21" s="11">
        <f t="shared" si="6"/>
        <v>1174.491667</v>
      </c>
      <c r="E21" s="11">
        <f>C21/DiasAnio</f>
        <v>58.72458333</v>
      </c>
      <c r="F21" s="14">
        <f>DiasManual</f>
        <v>7</v>
      </c>
      <c r="G21" s="15">
        <f t="shared" si="7"/>
        <v>412</v>
      </c>
      <c r="H21" s="19">
        <v>124.0</v>
      </c>
      <c r="I21" s="28">
        <v>0.1688</v>
      </c>
      <c r="J21" s="15">
        <f t="shared" si="8"/>
        <v>69.5456</v>
      </c>
      <c r="K21" s="14">
        <f>PiezasPilaEmb</f>
        <v>20</v>
      </c>
      <c r="L21" s="14">
        <f>MAX(1,INT(PalL*1000/(H21+30))*INT(PalA*1000/(H21+30)))</f>
        <v>42</v>
      </c>
      <c r="M21" s="15">
        <f>MAX(1,MIN(INT(KgPallet/I21),K21*L21))</f>
        <v>840</v>
      </c>
      <c r="N21" s="14">
        <f t="shared" si="9"/>
        <v>1</v>
      </c>
      <c r="O21" s="21">
        <f>HuellaPallet</f>
        <v>1.2</v>
      </c>
      <c r="P21" s="11">
        <f>ROUNDUP(N21/NivBuffer,0)*O21</f>
        <v>1.2</v>
      </c>
      <c r="Q21" s="11">
        <f>P21*CoefCirc</f>
        <v>1.8</v>
      </c>
    </row>
    <row r="22" ht="15.75" customHeight="1">
      <c r="A22" s="7" t="s">
        <v>460</v>
      </c>
      <c r="B22" s="7" t="s">
        <v>150</v>
      </c>
      <c r="C22" s="15">
        <f t="shared" si="11"/>
        <v>65364.6</v>
      </c>
      <c r="D22" s="11">
        <f t="shared" si="6"/>
        <v>5447.05</v>
      </c>
      <c r="E22" s="11">
        <f>C22/DiasAnio</f>
        <v>272.3525</v>
      </c>
      <c r="F22" s="14">
        <f>DiasManual</f>
        <v>7</v>
      </c>
      <c r="G22" s="15">
        <f t="shared" si="7"/>
        <v>1907</v>
      </c>
      <c r="H22" s="19">
        <v>153.0</v>
      </c>
      <c r="I22" s="28">
        <v>0.4697</v>
      </c>
      <c r="J22" s="15">
        <f t="shared" si="8"/>
        <v>895.7179</v>
      </c>
      <c r="K22" s="14">
        <f>PiezasPilaEmb</f>
        <v>20</v>
      </c>
      <c r="L22" s="14">
        <f>MAX(1,INT(PalL*1000/(H22+30))*INT(PalA*1000/(H22+30)))</f>
        <v>30</v>
      </c>
      <c r="M22" s="15">
        <f>MAX(1,MIN(INT(KgPallet/I22),K22*L22))</f>
        <v>600</v>
      </c>
      <c r="N22" s="14">
        <f t="shared" si="9"/>
        <v>4</v>
      </c>
      <c r="O22" s="21">
        <f>HuellaPallet</f>
        <v>1.2</v>
      </c>
      <c r="P22" s="11">
        <f>ROUNDUP(N22/NivBuffer,0)*O22</f>
        <v>4.8</v>
      </c>
      <c r="Q22" s="11">
        <f>P22*CoefCirc</f>
        <v>7.2</v>
      </c>
    </row>
    <row r="23" ht="15.75" customHeight="1">
      <c r="A23" s="7" t="s">
        <v>477</v>
      </c>
      <c r="B23" s="7" t="s">
        <v>150</v>
      </c>
      <c r="C23" s="15">
        <f t="shared" ref="C23:C24" si="12">C7</f>
        <v>65364.6</v>
      </c>
      <c r="D23" s="11">
        <f t="shared" si="6"/>
        <v>5447.05</v>
      </c>
      <c r="E23" s="11">
        <f>C23/DiasAnio</f>
        <v>272.3525</v>
      </c>
      <c r="F23" s="14">
        <f>DiasManual</f>
        <v>7</v>
      </c>
      <c r="G23" s="15">
        <f t="shared" si="7"/>
        <v>1907</v>
      </c>
      <c r="H23" s="19">
        <v>153.0</v>
      </c>
      <c r="I23" s="28">
        <v>0.309</v>
      </c>
      <c r="J23" s="15">
        <f t="shared" si="8"/>
        <v>589.263</v>
      </c>
      <c r="K23" s="14">
        <f>PiezasPilaEmb</f>
        <v>20</v>
      </c>
      <c r="L23" s="14">
        <f>MAX(1,INT(PalL*1000/(H23+30))*INT(PalA*1000/(H23+30)))</f>
        <v>30</v>
      </c>
      <c r="M23" s="15">
        <f>MAX(1,MIN(INT(KgPallet/I23),K23*L23))</f>
        <v>600</v>
      </c>
      <c r="N23" s="14">
        <f t="shared" si="9"/>
        <v>4</v>
      </c>
      <c r="O23" s="21">
        <f>HuellaPallet</f>
        <v>1.2</v>
      </c>
      <c r="P23" s="11">
        <f>ROUNDUP(N23/NivBuffer,0)*O23</f>
        <v>4.8</v>
      </c>
      <c r="Q23" s="11">
        <f>P23*CoefCirc</f>
        <v>7.2</v>
      </c>
    </row>
    <row r="24" ht="15.75" customHeight="1">
      <c r="A24" s="7" t="s">
        <v>486</v>
      </c>
      <c r="B24" s="7" t="s">
        <v>150</v>
      </c>
      <c r="C24" s="15">
        <f t="shared" si="12"/>
        <v>3854.3</v>
      </c>
      <c r="D24" s="11">
        <f t="shared" si="6"/>
        <v>321.1916667</v>
      </c>
      <c r="E24" s="11">
        <f>C24/DiasAnio</f>
        <v>16.05958333</v>
      </c>
      <c r="F24" s="14">
        <f>DiasManual</f>
        <v>7</v>
      </c>
      <c r="G24" s="15">
        <f t="shared" si="7"/>
        <v>113</v>
      </c>
      <c r="H24" s="19">
        <v>181.5</v>
      </c>
      <c r="I24" s="28">
        <v>0.6445</v>
      </c>
      <c r="J24" s="15">
        <f t="shared" si="8"/>
        <v>72.8285</v>
      </c>
      <c r="K24" s="14">
        <f>PiezasPilaEmb</f>
        <v>20</v>
      </c>
      <c r="L24" s="14">
        <f>MAX(1,INT(PalL*1000/(H24+30))*INT(PalA*1000/(H24+30)))</f>
        <v>20</v>
      </c>
      <c r="M24" s="15">
        <f>MAX(1,MIN(INT(KgPallet/I24),K24*L24))</f>
        <v>400</v>
      </c>
      <c r="N24" s="14">
        <f t="shared" si="9"/>
        <v>1</v>
      </c>
      <c r="O24" s="21">
        <f>HuellaPallet</f>
        <v>1.2</v>
      </c>
      <c r="P24" s="11">
        <f>ROUNDUP(N24/NivBuffer,0)*O24</f>
        <v>1.2</v>
      </c>
      <c r="Q24" s="11">
        <f>P24*CoefCirc</f>
        <v>1.8</v>
      </c>
    </row>
    <row r="25" ht="15.75" customHeight="1">
      <c r="A25" s="7" t="s">
        <v>496</v>
      </c>
      <c r="B25" s="7" t="s">
        <v>150</v>
      </c>
      <c r="C25" s="15">
        <f>C8</f>
        <v>3854.3</v>
      </c>
      <c r="D25" s="11">
        <f t="shared" si="6"/>
        <v>321.1916667</v>
      </c>
      <c r="E25" s="11">
        <f>C25/DiasAnio</f>
        <v>16.05958333</v>
      </c>
      <c r="F25" s="14">
        <f>DiasManual</f>
        <v>7</v>
      </c>
      <c r="G25" s="15">
        <f t="shared" si="7"/>
        <v>113</v>
      </c>
      <c r="H25" s="19">
        <v>181.5</v>
      </c>
      <c r="I25" s="28">
        <v>0.5182</v>
      </c>
      <c r="J25" s="15">
        <f t="shared" si="8"/>
        <v>58.5566</v>
      </c>
      <c r="K25" s="14">
        <f>PiezasPilaEmb</f>
        <v>20</v>
      </c>
      <c r="L25" s="14">
        <f>MAX(1,INT(PalL*1000/(H25+30))*INT(PalA*1000/(H25+30)))</f>
        <v>20</v>
      </c>
      <c r="M25" s="15">
        <f>MAX(1,MIN(INT(KgPallet/I25),K25*L25))</f>
        <v>400</v>
      </c>
      <c r="N25" s="14">
        <f t="shared" si="9"/>
        <v>1</v>
      </c>
      <c r="O25" s="21">
        <f>HuellaPallet</f>
        <v>1.2</v>
      </c>
      <c r="P25" s="11">
        <f>ROUNDUP(N25/NivBuffer,0)*O25</f>
        <v>1.2</v>
      </c>
      <c r="Q25" s="11">
        <f>P25*CoefCirc</f>
        <v>1.8</v>
      </c>
    </row>
    <row r="26" ht="15.75" customHeight="1">
      <c r="A26" s="24" t="s">
        <v>514</v>
      </c>
      <c r="G26" s="25">
        <f>SUM(G18:G25)</f>
        <v>16684</v>
      </c>
      <c r="J26" s="25">
        <f>SUM(J18:J25)</f>
        <v>2599.9326</v>
      </c>
      <c r="N26" s="26">
        <f>SUM(N18:N25)</f>
        <v>18</v>
      </c>
      <c r="P26" s="27">
        <f t="shared" ref="P26:Q26" si="13">SUM(P18:P25)</f>
        <v>21.6</v>
      </c>
      <c r="Q26" s="27">
        <f t="shared" si="13"/>
        <v>32.4</v>
      </c>
    </row>
    <row r="27" ht="15.75" customHeight="1">
      <c r="A27" s="2" t="s">
        <v>521</v>
      </c>
    </row>
    <row r="28" ht="15.75" customHeight="1">
      <c r="L28" s="2" t="s">
        <v>523</v>
      </c>
      <c r="N28" s="2" t="s">
        <v>145</v>
      </c>
      <c r="P28" s="2" t="s">
        <v>90</v>
      </c>
      <c r="Q28" s="2" t="s">
        <v>92</v>
      </c>
    </row>
    <row r="29" ht="15.75" customHeight="1">
      <c r="A29" s="24" t="s">
        <v>524</v>
      </c>
      <c r="L29" s="27">
        <f>(L13+J26)/1000</f>
        <v>12.0410933</v>
      </c>
      <c r="N29" s="26">
        <f>P13+N26</f>
        <v>42</v>
      </c>
      <c r="P29" s="27">
        <f t="shared" ref="P29:Q29" si="14">R13+P26</f>
        <v>50.512</v>
      </c>
      <c r="Q29" s="27">
        <f t="shared" si="14"/>
        <v>75.768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